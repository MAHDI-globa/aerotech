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lobasoft\aerotech\fic\"/>
    </mc:Choice>
  </mc:AlternateContent>
  <xr:revisionPtr revIDLastSave="0" documentId="13_ncr:1_{7437509B-030A-4C97-B613-0E1C50439B12}" xr6:coauthVersionLast="47" xr6:coauthVersionMax="47" xr10:uidLastSave="{00000000-0000-0000-0000-000000000000}"/>
  <bookViews>
    <workbookView xWindow="-28920" yWindow="-120" windowWidth="29040" windowHeight="15720" tabRatio="498" xr2:uid="{00000000-000D-0000-FFFF-FFFF00000000}"/>
  </bookViews>
  <sheets>
    <sheet name="2025mai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26" i="1" l="1"/>
  <c r="BM226" i="1"/>
  <c r="BE226" i="1"/>
  <c r="BD226" i="1"/>
  <c r="BY226" i="1" s="1"/>
  <c r="BC226" i="1"/>
  <c r="AZ226" i="1"/>
  <c r="AX226" i="1"/>
  <c r="BA226" i="1" s="1"/>
  <c r="AW226" i="1"/>
  <c r="AV226" i="1"/>
  <c r="BB226" i="1" s="1"/>
  <c r="AT226" i="1"/>
  <c r="AS226" i="1"/>
  <c r="AQ226" i="1"/>
  <c r="AP226" i="1"/>
  <c r="AN226" i="1"/>
  <c r="AM226" i="1"/>
  <c r="AL226" i="1"/>
  <c r="AJ226" i="1" s="1"/>
  <c r="S226" i="1" s="1"/>
  <c r="BG226" i="1" s="1"/>
  <c r="AI226" i="1"/>
  <c r="AH226" i="1"/>
  <c r="AG226" i="1"/>
  <c r="AU226" i="1" s="1"/>
  <c r="AF226" i="1"/>
  <c r="AD226" i="1"/>
  <c r="R226" i="1" s="1"/>
  <c r="AC226" i="1"/>
  <c r="AA226" i="1"/>
  <c r="Y226" i="1"/>
  <c r="X226" i="1"/>
  <c r="CD226" i="1" s="1"/>
  <c r="W226" i="1"/>
  <c r="V226" i="1"/>
  <c r="Q226" i="1"/>
  <c r="P226" i="1"/>
  <c r="BJ226" i="1" s="1"/>
  <c r="N226" i="1"/>
  <c r="M226" i="1"/>
  <c r="L226" i="1"/>
  <c r="J226" i="1"/>
  <c r="I226" i="1"/>
  <c r="F226" i="1"/>
  <c r="E226" i="1"/>
  <c r="C226" i="1"/>
  <c r="CD225" i="1"/>
  <c r="CA225" i="1"/>
  <c r="BM225" i="1"/>
  <c r="BJ225" i="1"/>
  <c r="BE225" i="1"/>
  <c r="BD225" i="1"/>
  <c r="BY225" i="1" s="1"/>
  <c r="BC225" i="1"/>
  <c r="BB225" i="1"/>
  <c r="AZ225" i="1"/>
  <c r="AY225" i="1"/>
  <c r="AX225" i="1"/>
  <c r="BA225" i="1" s="1"/>
  <c r="AW225" i="1"/>
  <c r="AV225" i="1"/>
  <c r="AU225" i="1"/>
  <c r="AS225" i="1"/>
  <c r="AQ225" i="1"/>
  <c r="AP225" i="1"/>
  <c r="AT225" i="1" s="1"/>
  <c r="AN225" i="1"/>
  <c r="AM225" i="1" s="1"/>
  <c r="AL225" i="1"/>
  <c r="AJ225" i="1" s="1"/>
  <c r="S225" i="1" s="1"/>
  <c r="BG225" i="1" s="1"/>
  <c r="AI225" i="1"/>
  <c r="AH225" i="1"/>
  <c r="AG225" i="1"/>
  <c r="AD225" i="1"/>
  <c r="AC225" i="1"/>
  <c r="AF225" i="1" s="1"/>
  <c r="AA225" i="1"/>
  <c r="Z225" i="1"/>
  <c r="AE225" i="1" s="1"/>
  <c r="Y225" i="1"/>
  <c r="X225" i="1"/>
  <c r="AB225" i="1" s="1"/>
  <c r="V225" i="1"/>
  <c r="P225" i="1"/>
  <c r="N225" i="1"/>
  <c r="M225" i="1"/>
  <c r="L225" i="1"/>
  <c r="J225" i="1"/>
  <c r="I225" i="1"/>
  <c r="F225" i="1"/>
  <c r="E225" i="1"/>
  <c r="C225" i="1"/>
  <c r="CA224" i="1"/>
  <c r="BM224" i="1"/>
  <c r="BJ224" i="1"/>
  <c r="BE224" i="1"/>
  <c r="BD224" i="1"/>
  <c r="BY224" i="1" s="1"/>
  <c r="BC224" i="1"/>
  <c r="BB224" i="1"/>
  <c r="AZ224" i="1"/>
  <c r="AY224" i="1"/>
  <c r="AX224" i="1"/>
  <c r="BA224" i="1" s="1"/>
  <c r="AW224" i="1"/>
  <c r="AV224" i="1"/>
  <c r="AS224" i="1"/>
  <c r="AQ224" i="1"/>
  <c r="AP224" i="1"/>
  <c r="AI224" i="1" s="1"/>
  <c r="AN224" i="1"/>
  <c r="AM224" i="1"/>
  <c r="AL224" i="1"/>
  <c r="AJ224" i="1"/>
  <c r="AH224" i="1"/>
  <c r="AG224" i="1"/>
  <c r="BO224" i="1" s="1"/>
  <c r="AD224" i="1"/>
  <c r="AC224" i="1"/>
  <c r="AF224" i="1" s="1"/>
  <c r="AA224" i="1"/>
  <c r="Z224" i="1"/>
  <c r="AE224" i="1" s="1"/>
  <c r="Y224" i="1"/>
  <c r="AB224" i="1" s="1"/>
  <c r="X224" i="1"/>
  <c r="V224" i="1"/>
  <c r="U224" i="1"/>
  <c r="T224" i="1"/>
  <c r="Q224" i="1"/>
  <c r="P224" i="1"/>
  <c r="N224" i="1"/>
  <c r="M224" i="1"/>
  <c r="L224" i="1"/>
  <c r="J224" i="1"/>
  <c r="I224" i="1"/>
  <c r="F224" i="1"/>
  <c r="E224" i="1"/>
  <c r="C224" i="1"/>
  <c r="CA223" i="1"/>
  <c r="BY223" i="1"/>
  <c r="BM223" i="1"/>
  <c r="BE223" i="1"/>
  <c r="BD223" i="1"/>
  <c r="BU223" i="1" s="1"/>
  <c r="BC223" i="1"/>
  <c r="BB223" i="1"/>
  <c r="AZ223" i="1"/>
  <c r="AX223" i="1"/>
  <c r="AY223" i="1" s="1"/>
  <c r="AW223" i="1"/>
  <c r="AV223" i="1"/>
  <c r="AS223" i="1"/>
  <c r="AQ223" i="1"/>
  <c r="AP223" i="1"/>
  <c r="AT223" i="1" s="1"/>
  <c r="AN223" i="1"/>
  <c r="AL223" i="1"/>
  <c r="AJ223" i="1"/>
  <c r="AH223" i="1"/>
  <c r="AG223" i="1"/>
  <c r="AU223" i="1" s="1"/>
  <c r="AF223" i="1"/>
  <c r="AD223" i="1"/>
  <c r="AC223" i="1"/>
  <c r="AA223" i="1"/>
  <c r="Z223" i="1"/>
  <c r="AE223" i="1" s="1"/>
  <c r="Y223" i="1"/>
  <c r="X223" i="1"/>
  <c r="CD223" i="1" s="1"/>
  <c r="W223" i="1"/>
  <c r="P223" i="1"/>
  <c r="Q223" i="1" s="1"/>
  <c r="N223" i="1"/>
  <c r="M223" i="1"/>
  <c r="L223" i="1"/>
  <c r="J223" i="1"/>
  <c r="I223" i="1"/>
  <c r="F223" i="1"/>
  <c r="E223" i="1"/>
  <c r="C223" i="1"/>
  <c r="CA222" i="1"/>
  <c r="BM222" i="1"/>
  <c r="BE222" i="1"/>
  <c r="BD222" i="1"/>
  <c r="BU222" i="1" s="1"/>
  <c r="BC222" i="1"/>
  <c r="AZ222" i="1"/>
  <c r="AX222" i="1"/>
  <c r="BA222" i="1" s="1"/>
  <c r="AW222" i="1"/>
  <c r="AV222" i="1"/>
  <c r="BB222" i="1" s="1"/>
  <c r="AS222" i="1"/>
  <c r="AQ222" i="1"/>
  <c r="AP222" i="1"/>
  <c r="AT222" i="1" s="1"/>
  <c r="AO222" i="1"/>
  <c r="AN222" i="1"/>
  <c r="AL222" i="1"/>
  <c r="AJ222" i="1" s="1"/>
  <c r="S222" i="1" s="1"/>
  <c r="BG222" i="1" s="1"/>
  <c r="AI222" i="1"/>
  <c r="AM222" i="1" s="1"/>
  <c r="AH222" i="1"/>
  <c r="AG222" i="1"/>
  <c r="AU222" i="1" s="1"/>
  <c r="AD222" i="1"/>
  <c r="R222" i="1" s="1"/>
  <c r="AA222" i="1"/>
  <c r="Y222" i="1"/>
  <c r="CD222" i="1" s="1"/>
  <c r="X222" i="1"/>
  <c r="AB222" i="1" s="1"/>
  <c r="V222" i="1"/>
  <c r="Q222" i="1"/>
  <c r="AC222" i="1" s="1"/>
  <c r="P222" i="1"/>
  <c r="BJ222" i="1" s="1"/>
  <c r="N222" i="1"/>
  <c r="M222" i="1"/>
  <c r="L222" i="1"/>
  <c r="J222" i="1"/>
  <c r="I222" i="1"/>
  <c r="F222" i="1"/>
  <c r="E222" i="1"/>
  <c r="C222" i="1"/>
  <c r="CA221" i="1"/>
  <c r="BM221" i="1"/>
  <c r="BE221" i="1"/>
  <c r="BD221" i="1"/>
  <c r="BU221" i="1" s="1"/>
  <c r="BC221" i="1"/>
  <c r="BB221" i="1"/>
  <c r="AZ221" i="1"/>
  <c r="AY221" i="1"/>
  <c r="AX221" i="1"/>
  <c r="BA221" i="1" s="1"/>
  <c r="AW221" i="1"/>
  <c r="AV221" i="1"/>
  <c r="AU221" i="1"/>
  <c r="AS221" i="1"/>
  <c r="AQ221" i="1"/>
  <c r="AP221" i="1"/>
  <c r="AT221" i="1" s="1"/>
  <c r="AN221" i="1"/>
  <c r="AM221" i="1" s="1"/>
  <c r="AL221" i="1"/>
  <c r="AJ221" i="1" s="1"/>
  <c r="AH221" i="1"/>
  <c r="AG221" i="1"/>
  <c r="AF221" i="1"/>
  <c r="AD221" i="1"/>
  <c r="AC221" i="1"/>
  <c r="AA221" i="1"/>
  <c r="Y221" i="1"/>
  <c r="X221" i="1"/>
  <c r="CD221" i="1" s="1"/>
  <c r="W221" i="1"/>
  <c r="P221" i="1"/>
  <c r="V221" i="1" s="1"/>
  <c r="N221" i="1"/>
  <c r="M221" i="1"/>
  <c r="L221" i="1"/>
  <c r="J221" i="1"/>
  <c r="I221" i="1"/>
  <c r="F221" i="1"/>
  <c r="E221" i="1"/>
  <c r="C221" i="1"/>
  <c r="CA220" i="1"/>
  <c r="BM220" i="1"/>
  <c r="BJ220" i="1"/>
  <c r="BE220" i="1"/>
  <c r="BD220" i="1"/>
  <c r="BU220" i="1" s="1"/>
  <c r="BC220" i="1"/>
  <c r="AZ220" i="1"/>
  <c r="AX220" i="1"/>
  <c r="BA220" i="1" s="1"/>
  <c r="AW220" i="1"/>
  <c r="AV220" i="1"/>
  <c r="BB220" i="1" s="1"/>
  <c r="AT220" i="1"/>
  <c r="AS220" i="1"/>
  <c r="AQ220" i="1"/>
  <c r="AP220" i="1"/>
  <c r="AO220" i="1"/>
  <c r="AN220" i="1"/>
  <c r="AM220" i="1"/>
  <c r="AL220" i="1"/>
  <c r="AK220" i="1"/>
  <c r="AJ220" i="1"/>
  <c r="AI220" i="1"/>
  <c r="AH220" i="1"/>
  <c r="AG220" i="1"/>
  <c r="AU220" i="1" s="1"/>
  <c r="AD220" i="1"/>
  <c r="S220" i="1" s="1"/>
  <c r="BG220" i="1" s="1"/>
  <c r="AC220" i="1"/>
  <c r="AF220" i="1" s="1"/>
  <c r="AA220" i="1"/>
  <c r="Y220" i="1"/>
  <c r="CD220" i="1" s="1"/>
  <c r="X220" i="1"/>
  <c r="W220" i="1"/>
  <c r="V220" i="1"/>
  <c r="U220" i="1"/>
  <c r="T220" i="1"/>
  <c r="Q220" i="1"/>
  <c r="P220" i="1"/>
  <c r="N220" i="1"/>
  <c r="M220" i="1"/>
  <c r="L220" i="1"/>
  <c r="J220" i="1"/>
  <c r="I220" i="1"/>
  <c r="F220" i="1"/>
  <c r="E220" i="1"/>
  <c r="C220" i="1"/>
  <c r="CD219" i="1"/>
  <c r="CA219" i="1"/>
  <c r="BY219" i="1"/>
  <c r="BM219" i="1"/>
  <c r="BE219" i="1"/>
  <c r="BD219" i="1"/>
  <c r="BU219" i="1" s="1"/>
  <c r="BC219" i="1"/>
  <c r="BB219" i="1"/>
  <c r="BA219" i="1"/>
  <c r="AZ219" i="1"/>
  <c r="AY219" i="1"/>
  <c r="AX219" i="1"/>
  <c r="AW219" i="1"/>
  <c r="AV219" i="1"/>
  <c r="AT219" i="1"/>
  <c r="AS219" i="1"/>
  <c r="AQ219" i="1"/>
  <c r="AP219" i="1"/>
  <c r="AN219" i="1"/>
  <c r="AM219" i="1" s="1"/>
  <c r="AL219" i="1"/>
  <c r="AJ219" i="1" s="1"/>
  <c r="AI219" i="1"/>
  <c r="AK219" i="1" s="1"/>
  <c r="AH219" i="1"/>
  <c r="AF219" i="1"/>
  <c r="AD219" i="1"/>
  <c r="AC219" i="1"/>
  <c r="AA219" i="1"/>
  <c r="Y219" i="1"/>
  <c r="X219" i="1"/>
  <c r="AB219" i="1" s="1"/>
  <c r="W219" i="1"/>
  <c r="V219" i="1"/>
  <c r="P219" i="1"/>
  <c r="BJ219" i="1" s="1"/>
  <c r="N219" i="1"/>
  <c r="M219" i="1"/>
  <c r="L219" i="1"/>
  <c r="J219" i="1"/>
  <c r="I219" i="1"/>
  <c r="F219" i="1"/>
  <c r="E219" i="1"/>
  <c r="C219" i="1"/>
  <c r="CA218" i="1"/>
  <c r="BM218" i="1"/>
  <c r="BJ218" i="1"/>
  <c r="BE218" i="1"/>
  <c r="BD218" i="1"/>
  <c r="BY218" i="1" s="1"/>
  <c r="BC218" i="1"/>
  <c r="BB218" i="1"/>
  <c r="BA218" i="1"/>
  <c r="AZ218" i="1"/>
  <c r="AY218" i="1"/>
  <c r="AX218" i="1"/>
  <c r="AW218" i="1"/>
  <c r="AV218" i="1"/>
  <c r="AT218" i="1"/>
  <c r="AS218" i="1"/>
  <c r="AQ218" i="1"/>
  <c r="AP218" i="1"/>
  <c r="AN218" i="1"/>
  <c r="AM218" i="1"/>
  <c r="AL218" i="1"/>
  <c r="AJ218" i="1"/>
  <c r="AI218" i="1"/>
  <c r="AH218" i="1"/>
  <c r="AG218" i="1"/>
  <c r="AU218" i="1" s="1"/>
  <c r="AD218" i="1"/>
  <c r="AC218" i="1"/>
  <c r="BO218" i="1" s="1"/>
  <c r="AB218" i="1"/>
  <c r="AA218" i="1"/>
  <c r="Z218" i="1"/>
  <c r="AE218" i="1" s="1"/>
  <c r="Y218" i="1"/>
  <c r="X218" i="1"/>
  <c r="CD218" i="1" s="1"/>
  <c r="W218" i="1"/>
  <c r="V218" i="1"/>
  <c r="U218" i="1"/>
  <c r="T218" i="1"/>
  <c r="S218" i="1"/>
  <c r="BG218" i="1" s="1"/>
  <c r="Q218" i="1"/>
  <c r="P218" i="1"/>
  <c r="N218" i="1"/>
  <c r="M218" i="1"/>
  <c r="L218" i="1"/>
  <c r="J218" i="1"/>
  <c r="I218" i="1"/>
  <c r="F218" i="1"/>
  <c r="E218" i="1"/>
  <c r="C218" i="1"/>
  <c r="CA217" i="1"/>
  <c r="BY217" i="1"/>
  <c r="BM217" i="1"/>
  <c r="BJ217" i="1"/>
  <c r="BE217" i="1"/>
  <c r="BD217" i="1"/>
  <c r="BU217" i="1" s="1"/>
  <c r="BC217" i="1"/>
  <c r="BB217" i="1"/>
  <c r="BA217" i="1"/>
  <c r="AZ217" i="1"/>
  <c r="AY217" i="1"/>
  <c r="AX217" i="1"/>
  <c r="AW217" i="1"/>
  <c r="AV217" i="1"/>
  <c r="AS217" i="1"/>
  <c r="AQ217" i="1"/>
  <c r="AP217" i="1"/>
  <c r="AT217" i="1" s="1"/>
  <c r="AN217" i="1"/>
  <c r="AM217" i="1" s="1"/>
  <c r="AL217" i="1"/>
  <c r="AJ217" i="1" s="1"/>
  <c r="S217" i="1" s="1"/>
  <c r="BG217" i="1" s="1"/>
  <c r="AI217" i="1"/>
  <c r="R217" i="1" s="1"/>
  <c r="AH217" i="1"/>
  <c r="AG217" i="1"/>
  <c r="BO217" i="1" s="1"/>
  <c r="AD217" i="1"/>
  <c r="AC217" i="1"/>
  <c r="AF217" i="1" s="1"/>
  <c r="AB217" i="1"/>
  <c r="AA217" i="1"/>
  <c r="Z217" i="1"/>
  <c r="AE217" i="1" s="1"/>
  <c r="BH217" i="1" s="1"/>
  <c r="BP217" i="1" s="1"/>
  <c r="Y217" i="1"/>
  <c r="CD217" i="1" s="1"/>
  <c r="X217" i="1"/>
  <c r="V217" i="1"/>
  <c r="T217" i="1"/>
  <c r="U217" i="1" s="1"/>
  <c r="Q217" i="1"/>
  <c r="P217" i="1"/>
  <c r="N217" i="1"/>
  <c r="M217" i="1"/>
  <c r="L217" i="1"/>
  <c r="J217" i="1"/>
  <c r="I217" i="1"/>
  <c r="F217" i="1"/>
  <c r="E217" i="1"/>
  <c r="C217" i="1"/>
  <c r="CA216" i="1"/>
  <c r="BY216" i="1"/>
  <c r="BM216" i="1"/>
  <c r="BE216" i="1"/>
  <c r="BD216" i="1"/>
  <c r="BU216" i="1" s="1"/>
  <c r="BC216" i="1"/>
  <c r="BB216" i="1"/>
  <c r="AZ216" i="1"/>
  <c r="AX216" i="1"/>
  <c r="BA216" i="1" s="1"/>
  <c r="AW216" i="1"/>
  <c r="AV216" i="1"/>
  <c r="AS216" i="1"/>
  <c r="AQ216" i="1"/>
  <c r="AP216" i="1"/>
  <c r="AN216" i="1"/>
  <c r="AL216" i="1"/>
  <c r="AJ216" i="1"/>
  <c r="AH216" i="1"/>
  <c r="AD216" i="1"/>
  <c r="AA216" i="1"/>
  <c r="Y216" i="1"/>
  <c r="X216" i="1"/>
  <c r="Z216" i="1" s="1"/>
  <c r="AE216" i="1" s="1"/>
  <c r="W216" i="1"/>
  <c r="AC216" i="1" s="1"/>
  <c r="AG216" i="1" s="1"/>
  <c r="AU216" i="1" s="1"/>
  <c r="P216" i="1"/>
  <c r="N216" i="1"/>
  <c r="M216" i="1"/>
  <c r="L216" i="1"/>
  <c r="J216" i="1"/>
  <c r="I216" i="1"/>
  <c r="F216" i="1"/>
  <c r="E216" i="1"/>
  <c r="C216" i="1"/>
  <c r="CA215" i="1"/>
  <c r="BU215" i="1"/>
  <c r="BO215" i="1"/>
  <c r="BM215" i="1"/>
  <c r="BE215" i="1"/>
  <c r="BD215" i="1"/>
  <c r="BY215" i="1" s="1"/>
  <c r="BC215" i="1"/>
  <c r="AZ215" i="1"/>
  <c r="AX215" i="1"/>
  <c r="AW215" i="1"/>
  <c r="AV215" i="1"/>
  <c r="BB215" i="1" s="1"/>
  <c r="AT215" i="1"/>
  <c r="AS215" i="1"/>
  <c r="AQ215" i="1"/>
  <c r="AP215" i="1"/>
  <c r="AO215" i="1"/>
  <c r="AN215" i="1"/>
  <c r="AM215" i="1" s="1"/>
  <c r="AL215" i="1"/>
  <c r="AJ215" i="1" s="1"/>
  <c r="AI215" i="1"/>
  <c r="AK215" i="1" s="1"/>
  <c r="AH215" i="1"/>
  <c r="AG215" i="1"/>
  <c r="AU215" i="1" s="1"/>
  <c r="AF215" i="1"/>
  <c r="AD215" i="1"/>
  <c r="R215" i="1" s="1"/>
  <c r="AC215" i="1"/>
  <c r="AA215" i="1"/>
  <c r="Y215" i="1"/>
  <c r="X215" i="1"/>
  <c r="W215" i="1"/>
  <c r="Q215" i="1"/>
  <c r="P215" i="1"/>
  <c r="V215" i="1" s="1"/>
  <c r="N215" i="1"/>
  <c r="M215" i="1"/>
  <c r="L215" i="1"/>
  <c r="J215" i="1"/>
  <c r="I215" i="1"/>
  <c r="F215" i="1"/>
  <c r="E215" i="1"/>
  <c r="C215" i="1"/>
  <c r="CA214" i="1"/>
  <c r="BM214" i="1"/>
  <c r="BE214" i="1"/>
  <c r="BD214" i="1"/>
  <c r="BY214" i="1" s="1"/>
  <c r="BC214" i="1"/>
  <c r="BA214" i="1"/>
  <c r="AZ214" i="1"/>
  <c r="AX214" i="1"/>
  <c r="AW214" i="1"/>
  <c r="AV214" i="1"/>
  <c r="AU214" i="1"/>
  <c r="AT214" i="1"/>
  <c r="AS214" i="1"/>
  <c r="AQ214" i="1"/>
  <c r="AP214" i="1"/>
  <c r="AI214" i="1" s="1"/>
  <c r="AO214" i="1" s="1"/>
  <c r="AN214" i="1"/>
  <c r="AM214" i="1" s="1"/>
  <c r="AL214" i="1"/>
  <c r="AJ214" i="1" s="1"/>
  <c r="AK214" i="1" s="1"/>
  <c r="AH214" i="1"/>
  <c r="AG214" i="1"/>
  <c r="AD214" i="1"/>
  <c r="AC214" i="1"/>
  <c r="AF214" i="1" s="1"/>
  <c r="AA214" i="1"/>
  <c r="Z214" i="1"/>
  <c r="AE214" i="1" s="1"/>
  <c r="Y214" i="1"/>
  <c r="X214" i="1"/>
  <c r="AB214" i="1" s="1"/>
  <c r="W214" i="1"/>
  <c r="P214" i="1"/>
  <c r="N214" i="1"/>
  <c r="M214" i="1"/>
  <c r="L214" i="1"/>
  <c r="J214" i="1"/>
  <c r="I214" i="1"/>
  <c r="F214" i="1"/>
  <c r="E214" i="1"/>
  <c r="C214" i="1"/>
  <c r="CD213" i="1"/>
  <c r="CA213" i="1"/>
  <c r="BM213" i="1"/>
  <c r="BE213" i="1"/>
  <c r="BD213" i="1"/>
  <c r="BY213" i="1" s="1"/>
  <c r="BC213" i="1"/>
  <c r="BB213" i="1"/>
  <c r="BA213" i="1"/>
  <c r="AZ213" i="1"/>
  <c r="AX213" i="1"/>
  <c r="AW213" i="1"/>
  <c r="AV213" i="1"/>
  <c r="AU213" i="1"/>
  <c r="AT213" i="1"/>
  <c r="AS213" i="1"/>
  <c r="AQ213" i="1"/>
  <c r="AP213" i="1"/>
  <c r="AN213" i="1"/>
  <c r="AM213" i="1" s="1"/>
  <c r="AL213" i="1"/>
  <c r="AJ213" i="1" s="1"/>
  <c r="S213" i="1" s="1"/>
  <c r="BG213" i="1" s="1"/>
  <c r="AK213" i="1"/>
  <c r="AI213" i="1"/>
  <c r="AO213" i="1" s="1"/>
  <c r="AH213" i="1"/>
  <c r="AG213" i="1"/>
  <c r="AD213" i="1"/>
  <c r="AC213" i="1"/>
  <c r="W213" i="1" s="1"/>
  <c r="AB213" i="1"/>
  <c r="AA213" i="1"/>
  <c r="Y213" i="1"/>
  <c r="X213" i="1"/>
  <c r="Z213" i="1" s="1"/>
  <c r="AE213" i="1" s="1"/>
  <c r="V213" i="1"/>
  <c r="P213" i="1"/>
  <c r="O213" i="1"/>
  <c r="N213" i="1"/>
  <c r="M213" i="1"/>
  <c r="L213" i="1"/>
  <c r="J213" i="1"/>
  <c r="I213" i="1"/>
  <c r="E213" i="1"/>
  <c r="C213" i="1"/>
  <c r="CA212" i="1"/>
  <c r="BM212" i="1"/>
  <c r="BJ212" i="1"/>
  <c r="BE212" i="1"/>
  <c r="BD212" i="1"/>
  <c r="BY212" i="1" s="1"/>
  <c r="BC212" i="1"/>
  <c r="BA212" i="1"/>
  <c r="AZ212" i="1"/>
  <c r="AX212" i="1"/>
  <c r="AW212" i="1"/>
  <c r="AV212" i="1"/>
  <c r="BB212" i="1" s="1"/>
  <c r="AT212" i="1"/>
  <c r="AS212" i="1"/>
  <c r="AQ212" i="1"/>
  <c r="S212" i="1" s="1"/>
  <c r="BG212" i="1" s="1"/>
  <c r="AP212" i="1"/>
  <c r="AN212" i="1"/>
  <c r="AM212" i="1"/>
  <c r="AL212" i="1"/>
  <c r="AK212" i="1"/>
  <c r="AJ212" i="1"/>
  <c r="AI212" i="1"/>
  <c r="AO212" i="1" s="1"/>
  <c r="AH212" i="1"/>
  <c r="AG212" i="1"/>
  <c r="AU212" i="1" s="1"/>
  <c r="AE212" i="1"/>
  <c r="AD212" i="1"/>
  <c r="AC212" i="1"/>
  <c r="AF212" i="1" s="1"/>
  <c r="AB212" i="1"/>
  <c r="AA212" i="1"/>
  <c r="Z212" i="1"/>
  <c r="Y212" i="1"/>
  <c r="X212" i="1"/>
  <c r="CD212" i="1" s="1"/>
  <c r="V212" i="1"/>
  <c r="T212" i="1"/>
  <c r="U212" i="1" s="1"/>
  <c r="R212" i="1"/>
  <c r="Q212" i="1"/>
  <c r="P212" i="1"/>
  <c r="O212" i="1"/>
  <c r="N212" i="1"/>
  <c r="M212" i="1"/>
  <c r="L212" i="1"/>
  <c r="J212" i="1"/>
  <c r="I212" i="1"/>
  <c r="E212" i="1"/>
  <c r="C212" i="1"/>
  <c r="CA211" i="1"/>
  <c r="BY211" i="1"/>
  <c r="BO211" i="1"/>
  <c r="BM211" i="1"/>
  <c r="BE211" i="1"/>
  <c r="BD211" i="1"/>
  <c r="BU211" i="1" s="1"/>
  <c r="BC211" i="1"/>
  <c r="BB211" i="1"/>
  <c r="AZ211" i="1"/>
  <c r="AX211" i="1"/>
  <c r="AW211" i="1"/>
  <c r="AV211" i="1"/>
  <c r="AS211" i="1"/>
  <c r="AQ211" i="1"/>
  <c r="AP211" i="1"/>
  <c r="AT211" i="1" s="1"/>
  <c r="AN211" i="1"/>
  <c r="AM211" i="1" s="1"/>
  <c r="AL211" i="1"/>
  <c r="AJ211" i="1" s="1"/>
  <c r="AH211" i="1"/>
  <c r="AG211" i="1"/>
  <c r="AU211" i="1" s="1"/>
  <c r="AD211" i="1"/>
  <c r="AC211" i="1"/>
  <c r="AF211" i="1" s="1"/>
  <c r="AA211" i="1"/>
  <c r="Y211" i="1"/>
  <c r="X211" i="1"/>
  <c r="Q211" i="1"/>
  <c r="P211" i="1"/>
  <c r="BJ211" i="1" s="1"/>
  <c r="O211" i="1"/>
  <c r="N211" i="1"/>
  <c r="M211" i="1"/>
  <c r="L211" i="1"/>
  <c r="J211" i="1"/>
  <c r="I211" i="1"/>
  <c r="E211" i="1"/>
  <c r="C211" i="1"/>
  <c r="CA210" i="1"/>
  <c r="BY210" i="1"/>
  <c r="BU210" i="1"/>
  <c r="BO210" i="1"/>
  <c r="BM210" i="1"/>
  <c r="BE210" i="1"/>
  <c r="BD210" i="1"/>
  <c r="BC210" i="1"/>
  <c r="AZ210" i="1"/>
  <c r="AX210" i="1"/>
  <c r="AW210" i="1"/>
  <c r="AV210" i="1"/>
  <c r="BB210" i="1" s="1"/>
  <c r="AS210" i="1"/>
  <c r="AQ210" i="1"/>
  <c r="AP210" i="1"/>
  <c r="AT210" i="1" s="1"/>
  <c r="AN210" i="1"/>
  <c r="AM210" i="1" s="1"/>
  <c r="AL210" i="1"/>
  <c r="AJ210" i="1" s="1"/>
  <c r="AI210" i="1"/>
  <c r="R210" i="1" s="1"/>
  <c r="AH210" i="1"/>
  <c r="AG210" i="1"/>
  <c r="AU210" i="1" s="1"/>
  <c r="AF210" i="1"/>
  <c r="AD210" i="1"/>
  <c r="AC210" i="1"/>
  <c r="AA210" i="1"/>
  <c r="Y210" i="1"/>
  <c r="CD210" i="1" s="1"/>
  <c r="X210" i="1"/>
  <c r="V210" i="1"/>
  <c r="P210" i="1"/>
  <c r="O210" i="1"/>
  <c r="N210" i="1"/>
  <c r="M210" i="1"/>
  <c r="L210" i="1"/>
  <c r="J210" i="1"/>
  <c r="I210" i="1"/>
  <c r="E210" i="1"/>
  <c r="C210" i="1"/>
  <c r="CA209" i="1"/>
  <c r="BM209" i="1"/>
  <c r="BE209" i="1"/>
  <c r="BD209" i="1"/>
  <c r="BY209" i="1" s="1"/>
  <c r="BC209" i="1"/>
  <c r="BA209" i="1"/>
  <c r="AZ209" i="1"/>
  <c r="AX209" i="1"/>
  <c r="AY209" i="1" s="1"/>
  <c r="AW209" i="1"/>
  <c r="AV209" i="1"/>
  <c r="BB209" i="1" s="1"/>
  <c r="AS209" i="1"/>
  <c r="AQ209" i="1"/>
  <c r="AP209" i="1"/>
  <c r="AN209" i="1"/>
  <c r="AM209" i="1"/>
  <c r="AL209" i="1"/>
  <c r="AJ209" i="1" s="1"/>
  <c r="AH209" i="1"/>
  <c r="AG209" i="1"/>
  <c r="AU209" i="1" s="1"/>
  <c r="AD209" i="1"/>
  <c r="AC209" i="1"/>
  <c r="AF209" i="1" s="1"/>
  <c r="AA209" i="1"/>
  <c r="Y209" i="1"/>
  <c r="X209" i="1"/>
  <c r="P209" i="1"/>
  <c r="O209" i="1"/>
  <c r="N209" i="1"/>
  <c r="M209" i="1"/>
  <c r="L209" i="1"/>
  <c r="J209" i="1"/>
  <c r="I209" i="1"/>
  <c r="E209" i="1"/>
  <c r="C209" i="1"/>
  <c r="CA208" i="1"/>
  <c r="BY208" i="1"/>
  <c r="BO208" i="1"/>
  <c r="BM208" i="1"/>
  <c r="BE208" i="1"/>
  <c r="BD208" i="1"/>
  <c r="BU208" i="1" s="1"/>
  <c r="BC208" i="1"/>
  <c r="BA208" i="1"/>
  <c r="AZ208" i="1"/>
  <c r="AX208" i="1"/>
  <c r="AW208" i="1"/>
  <c r="AV208" i="1"/>
  <c r="BB208" i="1" s="1"/>
  <c r="AT208" i="1"/>
  <c r="AS208" i="1"/>
  <c r="AQ208" i="1"/>
  <c r="AP208" i="1"/>
  <c r="AN208" i="1"/>
  <c r="AM208" i="1"/>
  <c r="AL208" i="1"/>
  <c r="AJ208" i="1"/>
  <c r="AI208" i="1"/>
  <c r="AO208" i="1" s="1"/>
  <c r="AH208" i="1"/>
  <c r="AG208" i="1"/>
  <c r="AU208" i="1" s="1"/>
  <c r="AD208" i="1"/>
  <c r="AC208" i="1"/>
  <c r="AF208" i="1" s="1"/>
  <c r="AA208" i="1"/>
  <c r="Z208" i="1"/>
  <c r="AE208" i="1" s="1"/>
  <c r="Y208" i="1"/>
  <c r="X208" i="1"/>
  <c r="CD208" i="1" s="1"/>
  <c r="W208" i="1"/>
  <c r="T208" i="1"/>
  <c r="U208" i="1" s="1"/>
  <c r="Q208" i="1"/>
  <c r="P208" i="1"/>
  <c r="V208" i="1" s="1"/>
  <c r="O208" i="1"/>
  <c r="N208" i="1"/>
  <c r="M208" i="1"/>
  <c r="L208" i="1"/>
  <c r="J208" i="1"/>
  <c r="I208" i="1"/>
  <c r="E208" i="1"/>
  <c r="C208" i="1"/>
  <c r="CA207" i="1"/>
  <c r="BY207" i="1"/>
  <c r="BM207" i="1"/>
  <c r="BE207" i="1"/>
  <c r="BD207" i="1"/>
  <c r="BU207" i="1" s="1"/>
  <c r="BC207" i="1"/>
  <c r="BB207" i="1"/>
  <c r="AZ207" i="1"/>
  <c r="AX207" i="1"/>
  <c r="AW207" i="1"/>
  <c r="AV207" i="1"/>
  <c r="AT207" i="1"/>
  <c r="AS207" i="1"/>
  <c r="AQ207" i="1"/>
  <c r="AP207" i="1"/>
  <c r="AO207" i="1"/>
  <c r="AN207" i="1"/>
  <c r="AM207" i="1" s="1"/>
  <c r="AL207" i="1"/>
  <c r="AJ207" i="1" s="1"/>
  <c r="AK207" i="1"/>
  <c r="AI207" i="1"/>
  <c r="AH207" i="1"/>
  <c r="AG207" i="1"/>
  <c r="AU207" i="1" s="1"/>
  <c r="AD207" i="1"/>
  <c r="AA207" i="1"/>
  <c r="Y207" i="1"/>
  <c r="X207" i="1"/>
  <c r="P207" i="1"/>
  <c r="V207" i="1" s="1"/>
  <c r="O207" i="1"/>
  <c r="N207" i="1"/>
  <c r="M207" i="1"/>
  <c r="L207" i="1"/>
  <c r="J207" i="1"/>
  <c r="I207" i="1"/>
  <c r="E207" i="1"/>
  <c r="C207" i="1"/>
  <c r="CA206" i="1"/>
  <c r="BU206" i="1"/>
  <c r="BM206" i="1"/>
  <c r="BJ206" i="1"/>
  <c r="BG206" i="1"/>
  <c r="BW206" i="1" s="1"/>
  <c r="BE206" i="1"/>
  <c r="BD206" i="1"/>
  <c r="BY206" i="1" s="1"/>
  <c r="BC206" i="1"/>
  <c r="BB206" i="1"/>
  <c r="BA206" i="1"/>
  <c r="AZ206" i="1"/>
  <c r="AY206" i="1"/>
  <c r="AX206" i="1"/>
  <c r="AW206" i="1"/>
  <c r="AV206" i="1"/>
  <c r="AU206" i="1"/>
  <c r="AS206" i="1"/>
  <c r="AQ206" i="1"/>
  <c r="AP206" i="1"/>
  <c r="AT206" i="1" s="1"/>
  <c r="AN206" i="1"/>
  <c r="AM206" i="1" s="1"/>
  <c r="AL206" i="1"/>
  <c r="AJ206" i="1"/>
  <c r="AH206" i="1"/>
  <c r="AG206" i="1"/>
  <c r="AD206" i="1"/>
  <c r="AC206" i="1"/>
  <c r="AF206" i="1" s="1"/>
  <c r="AA206" i="1"/>
  <c r="Y206" i="1"/>
  <c r="X206" i="1"/>
  <c r="CD206" i="1" s="1"/>
  <c r="V206" i="1"/>
  <c r="T206" i="1"/>
  <c r="U206" i="1" s="1"/>
  <c r="S206" i="1"/>
  <c r="Q206" i="1"/>
  <c r="P206" i="1"/>
  <c r="O206" i="1"/>
  <c r="N206" i="1"/>
  <c r="M206" i="1"/>
  <c r="L206" i="1"/>
  <c r="J206" i="1"/>
  <c r="I206" i="1"/>
  <c r="E206" i="1"/>
  <c r="C206" i="1"/>
  <c r="CA205" i="1"/>
  <c r="BY205" i="1"/>
  <c r="BM205" i="1"/>
  <c r="BJ205" i="1"/>
  <c r="BE205" i="1"/>
  <c r="BD205" i="1"/>
  <c r="BU205" i="1" s="1"/>
  <c r="BC205" i="1"/>
  <c r="BB205" i="1"/>
  <c r="AZ205" i="1"/>
  <c r="AX205" i="1"/>
  <c r="BA205" i="1" s="1"/>
  <c r="AW205" i="1"/>
  <c r="AV205" i="1"/>
  <c r="AT205" i="1"/>
  <c r="AS205" i="1"/>
  <c r="AQ205" i="1"/>
  <c r="AP205" i="1"/>
  <c r="AO205" i="1"/>
  <c r="AN205" i="1"/>
  <c r="AM205" i="1" s="1"/>
  <c r="AL205" i="1"/>
  <c r="AJ205" i="1" s="1"/>
  <c r="AI205" i="1"/>
  <c r="AK205" i="1" s="1"/>
  <c r="AH205" i="1"/>
  <c r="AG205" i="1"/>
  <c r="AU205" i="1" s="1"/>
  <c r="AD205" i="1"/>
  <c r="AC205" i="1"/>
  <c r="W205" i="1" s="1"/>
  <c r="AA205" i="1"/>
  <c r="Y205" i="1"/>
  <c r="CD205" i="1" s="1"/>
  <c r="X205" i="1"/>
  <c r="AB205" i="1" s="1"/>
  <c r="V205" i="1"/>
  <c r="T205" i="1"/>
  <c r="U205" i="1" s="1"/>
  <c r="P205" i="1"/>
  <c r="Q205" i="1" s="1"/>
  <c r="O205" i="1"/>
  <c r="N205" i="1"/>
  <c r="M205" i="1"/>
  <c r="L205" i="1"/>
  <c r="J205" i="1"/>
  <c r="I205" i="1"/>
  <c r="E205" i="1"/>
  <c r="C205" i="1"/>
  <c r="CA204" i="1"/>
  <c r="BY204" i="1"/>
  <c r="BU204" i="1"/>
  <c r="BO204" i="1"/>
  <c r="BM204" i="1"/>
  <c r="BE204" i="1"/>
  <c r="BD204" i="1"/>
  <c r="BC204" i="1"/>
  <c r="BB204" i="1"/>
  <c r="BA204" i="1"/>
  <c r="AZ204" i="1"/>
  <c r="AY204" i="1"/>
  <c r="AX204" i="1"/>
  <c r="AW204" i="1"/>
  <c r="AV204" i="1"/>
  <c r="AT204" i="1"/>
  <c r="AS204" i="1"/>
  <c r="AQ204" i="1"/>
  <c r="S204" i="1" s="1"/>
  <c r="BG204" i="1" s="1"/>
  <c r="AP204" i="1"/>
  <c r="AN204" i="1"/>
  <c r="AM204" i="1"/>
  <c r="AL204" i="1"/>
  <c r="AJ204" i="1"/>
  <c r="AI204" i="1"/>
  <c r="AO204" i="1" s="1"/>
  <c r="AH204" i="1"/>
  <c r="AG204" i="1"/>
  <c r="AU204" i="1" s="1"/>
  <c r="AD204" i="1"/>
  <c r="AC204" i="1"/>
  <c r="AF204" i="1" s="1"/>
  <c r="AA204" i="1"/>
  <c r="Y204" i="1"/>
  <c r="AB204" i="1" s="1"/>
  <c r="X204" i="1"/>
  <c r="W204" i="1"/>
  <c r="R204" i="1"/>
  <c r="P204" i="1"/>
  <c r="V204" i="1" s="1"/>
  <c r="O204" i="1"/>
  <c r="N204" i="1"/>
  <c r="M204" i="1"/>
  <c r="L204" i="1"/>
  <c r="J204" i="1"/>
  <c r="I204" i="1"/>
  <c r="E204" i="1"/>
  <c r="C204" i="1"/>
  <c r="CA203" i="1"/>
  <c r="BM203" i="1"/>
  <c r="BE203" i="1"/>
  <c r="BD203" i="1"/>
  <c r="BU203" i="1" s="1"/>
  <c r="BC203" i="1"/>
  <c r="BA203" i="1"/>
  <c r="AZ203" i="1"/>
  <c r="AY203" i="1"/>
  <c r="AX203" i="1"/>
  <c r="AW203" i="1"/>
  <c r="AV203" i="1"/>
  <c r="BB203" i="1" s="1"/>
  <c r="AU203" i="1"/>
  <c r="AS203" i="1"/>
  <c r="AQ203" i="1"/>
  <c r="AP203" i="1"/>
  <c r="AT203" i="1" s="1"/>
  <c r="AN203" i="1"/>
  <c r="AM203" i="1"/>
  <c r="AL203" i="1"/>
  <c r="AJ203" i="1"/>
  <c r="AH203" i="1"/>
  <c r="AG203" i="1"/>
  <c r="AF203" i="1"/>
  <c r="AD203" i="1"/>
  <c r="AC203" i="1"/>
  <c r="AB203" i="1"/>
  <c r="AA203" i="1"/>
  <c r="Z203" i="1"/>
  <c r="AE203" i="1" s="1"/>
  <c r="Y203" i="1"/>
  <c r="X203" i="1"/>
  <c r="CD203" i="1" s="1"/>
  <c r="W203" i="1"/>
  <c r="V203" i="1"/>
  <c r="T203" i="1"/>
  <c r="U203" i="1" s="1"/>
  <c r="S203" i="1"/>
  <c r="BG203" i="1" s="1"/>
  <c r="Q203" i="1"/>
  <c r="P203" i="1"/>
  <c r="BJ203" i="1" s="1"/>
  <c r="O203" i="1"/>
  <c r="N203" i="1"/>
  <c r="M203" i="1"/>
  <c r="L203" i="1"/>
  <c r="J203" i="1"/>
  <c r="I203" i="1"/>
  <c r="E203" i="1"/>
  <c r="C203" i="1"/>
  <c r="CA202" i="1"/>
  <c r="BM202" i="1"/>
  <c r="BE202" i="1"/>
  <c r="BD202" i="1"/>
  <c r="BU202" i="1" s="1"/>
  <c r="BC202" i="1"/>
  <c r="BB202" i="1"/>
  <c r="AZ202" i="1"/>
  <c r="AY202" i="1"/>
  <c r="AX202" i="1"/>
  <c r="BA202" i="1" s="1"/>
  <c r="AW202" i="1"/>
  <c r="AV202" i="1"/>
  <c r="AU202" i="1"/>
  <c r="AS202" i="1"/>
  <c r="AQ202" i="1"/>
  <c r="AP202" i="1"/>
  <c r="AI202" i="1" s="1"/>
  <c r="AO202" i="1" s="1"/>
  <c r="AN202" i="1"/>
  <c r="AL202" i="1"/>
  <c r="AJ202" i="1" s="1"/>
  <c r="AK202" i="1" s="1"/>
  <c r="AH202" i="1"/>
  <c r="AG202" i="1"/>
  <c r="AD202" i="1"/>
  <c r="AC202" i="1"/>
  <c r="BO202" i="1" s="1"/>
  <c r="AB202" i="1"/>
  <c r="AA202" i="1"/>
  <c r="Z202" i="1"/>
  <c r="AE202" i="1" s="1"/>
  <c r="Y202" i="1"/>
  <c r="X202" i="1"/>
  <c r="CD202" i="1" s="1"/>
  <c r="U202" i="1"/>
  <c r="T202" i="1"/>
  <c r="Q202" i="1"/>
  <c r="P202" i="1"/>
  <c r="V202" i="1" s="1"/>
  <c r="O202" i="1"/>
  <c r="N202" i="1"/>
  <c r="M202" i="1"/>
  <c r="L202" i="1"/>
  <c r="J202" i="1"/>
  <c r="I202" i="1"/>
  <c r="E202" i="1"/>
  <c r="C202" i="1"/>
  <c r="CA201" i="1"/>
  <c r="BY201" i="1"/>
  <c r="BM201" i="1"/>
  <c r="BE201" i="1"/>
  <c r="BD201" i="1"/>
  <c r="BU201" i="1" s="1"/>
  <c r="BC201" i="1"/>
  <c r="BA201" i="1"/>
  <c r="AZ201" i="1"/>
  <c r="AX201" i="1"/>
  <c r="AW201" i="1"/>
  <c r="AV201" i="1"/>
  <c r="BB201" i="1" s="1"/>
  <c r="AT201" i="1"/>
  <c r="AS201" i="1"/>
  <c r="AQ201" i="1"/>
  <c r="AP201" i="1"/>
  <c r="AN201" i="1"/>
  <c r="AM201" i="1"/>
  <c r="AL201" i="1"/>
  <c r="AJ201" i="1" s="1"/>
  <c r="AI201" i="1"/>
  <c r="AK201" i="1" s="1"/>
  <c r="AH201" i="1"/>
  <c r="AF201" i="1"/>
  <c r="AD201" i="1"/>
  <c r="R201" i="1" s="1"/>
  <c r="AC201" i="1"/>
  <c r="AB201" i="1"/>
  <c r="AA201" i="1"/>
  <c r="Y201" i="1"/>
  <c r="CD201" i="1" s="1"/>
  <c r="X201" i="1"/>
  <c r="W201" i="1"/>
  <c r="V201" i="1"/>
  <c r="Q201" i="1"/>
  <c r="P201" i="1"/>
  <c r="T201" i="1" s="1"/>
  <c r="U201" i="1" s="1"/>
  <c r="O201" i="1"/>
  <c r="N201" i="1"/>
  <c r="M201" i="1"/>
  <c r="L201" i="1"/>
  <c r="J201" i="1"/>
  <c r="I201" i="1"/>
  <c r="E201" i="1"/>
  <c r="C201" i="1"/>
  <c r="CA200" i="1"/>
  <c r="BY200" i="1"/>
  <c r="BU200" i="1"/>
  <c r="BM200" i="1"/>
  <c r="BJ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Q200" i="1"/>
  <c r="AP200" i="1"/>
  <c r="AN200" i="1"/>
  <c r="AM200" i="1"/>
  <c r="AL200" i="1"/>
  <c r="AJ200" i="1"/>
  <c r="AK200" i="1" s="1"/>
  <c r="AI200" i="1"/>
  <c r="AO200" i="1" s="1"/>
  <c r="AH200" i="1"/>
  <c r="AG200" i="1"/>
  <c r="AF200" i="1"/>
  <c r="AD200" i="1"/>
  <c r="AC200" i="1"/>
  <c r="AB200" i="1"/>
  <c r="AA200" i="1"/>
  <c r="Y200" i="1"/>
  <c r="X200" i="1"/>
  <c r="CD200" i="1" s="1"/>
  <c r="W200" i="1"/>
  <c r="T200" i="1"/>
  <c r="U200" i="1" s="1"/>
  <c r="P200" i="1"/>
  <c r="O200" i="1"/>
  <c r="N200" i="1"/>
  <c r="M200" i="1"/>
  <c r="L200" i="1"/>
  <c r="J200" i="1"/>
  <c r="I200" i="1"/>
  <c r="E200" i="1"/>
  <c r="C200" i="1"/>
  <c r="CD199" i="1"/>
  <c r="CA199" i="1"/>
  <c r="BY199" i="1"/>
  <c r="BM199" i="1"/>
  <c r="BJ199" i="1"/>
  <c r="BE199" i="1"/>
  <c r="BD199" i="1"/>
  <c r="BU199" i="1" s="1"/>
  <c r="BC199" i="1"/>
  <c r="BB199" i="1"/>
  <c r="BA199" i="1"/>
  <c r="AZ199" i="1"/>
  <c r="AX199" i="1"/>
  <c r="AY199" i="1" s="1"/>
  <c r="AW199" i="1"/>
  <c r="AV199" i="1"/>
  <c r="AT199" i="1"/>
  <c r="AS199" i="1"/>
  <c r="AQ199" i="1"/>
  <c r="AP199" i="1"/>
  <c r="AI199" i="1" s="1"/>
  <c r="AN199" i="1"/>
  <c r="AM199" i="1"/>
  <c r="AL199" i="1"/>
  <c r="AJ199" i="1"/>
  <c r="AH199" i="1"/>
  <c r="AG199" i="1"/>
  <c r="BO199" i="1" s="1"/>
  <c r="AD199" i="1"/>
  <c r="AC199" i="1"/>
  <c r="AF199" i="1" s="1"/>
  <c r="AB199" i="1"/>
  <c r="AA199" i="1"/>
  <c r="Y199" i="1"/>
  <c r="Z199" i="1" s="1"/>
  <c r="AE199" i="1" s="1"/>
  <c r="BH199" i="1" s="1"/>
  <c r="BP199" i="1" s="1"/>
  <c r="X199" i="1"/>
  <c r="V199" i="1"/>
  <c r="T199" i="1"/>
  <c r="U199" i="1" s="1"/>
  <c r="S199" i="1"/>
  <c r="BG199" i="1" s="1"/>
  <c r="Q199" i="1"/>
  <c r="P199" i="1"/>
  <c r="O199" i="1"/>
  <c r="N199" i="1"/>
  <c r="M199" i="1"/>
  <c r="L199" i="1"/>
  <c r="J199" i="1"/>
  <c r="I199" i="1"/>
  <c r="E199" i="1"/>
  <c r="C199" i="1"/>
  <c r="CA198" i="1"/>
  <c r="BY198" i="1"/>
  <c r="BO198" i="1"/>
  <c r="BM198" i="1"/>
  <c r="BJ198" i="1"/>
  <c r="BE198" i="1"/>
  <c r="BD198" i="1"/>
  <c r="BU198" i="1" s="1"/>
  <c r="BC198" i="1"/>
  <c r="BB198" i="1"/>
  <c r="AZ198" i="1"/>
  <c r="AX198" i="1"/>
  <c r="BA198" i="1" s="1"/>
  <c r="AW198" i="1"/>
  <c r="AV198" i="1"/>
  <c r="AU198" i="1"/>
  <c r="AT198" i="1"/>
  <c r="AS198" i="1"/>
  <c r="AQ198" i="1"/>
  <c r="AP198" i="1"/>
  <c r="AI198" i="1" s="1"/>
  <c r="AN198" i="1"/>
  <c r="AM198" i="1" s="1"/>
  <c r="AL198" i="1"/>
  <c r="AJ198" i="1" s="1"/>
  <c r="AH198" i="1"/>
  <c r="AG198" i="1"/>
  <c r="AD198" i="1"/>
  <c r="AC198" i="1"/>
  <c r="W198" i="1" s="1"/>
  <c r="AA198" i="1"/>
  <c r="Y198" i="1"/>
  <c r="AB198" i="1" s="1"/>
  <c r="X198" i="1"/>
  <c r="CD198" i="1" s="1"/>
  <c r="V198" i="1"/>
  <c r="U198" i="1"/>
  <c r="T198" i="1"/>
  <c r="P198" i="1"/>
  <c r="Q198" i="1" s="1"/>
  <c r="N198" i="1"/>
  <c r="M198" i="1"/>
  <c r="L198" i="1"/>
  <c r="J198" i="1"/>
  <c r="I198" i="1"/>
  <c r="E198" i="1"/>
  <c r="C198" i="1"/>
  <c r="CA197" i="1"/>
  <c r="BY197" i="1"/>
  <c r="BM197" i="1"/>
  <c r="BE197" i="1"/>
  <c r="BD197" i="1"/>
  <c r="BU197" i="1" s="1"/>
  <c r="BC197" i="1"/>
  <c r="AZ197" i="1"/>
  <c r="AX197" i="1"/>
  <c r="AY197" i="1" s="1"/>
  <c r="AW197" i="1"/>
  <c r="AV197" i="1"/>
  <c r="BB197" i="1" s="1"/>
  <c r="AS197" i="1"/>
  <c r="AQ197" i="1"/>
  <c r="AP197" i="1"/>
  <c r="AT197" i="1" s="1"/>
  <c r="AN197" i="1"/>
  <c r="AM197" i="1" s="1"/>
  <c r="AL197" i="1"/>
  <c r="AJ197" i="1" s="1"/>
  <c r="AI197" i="1"/>
  <c r="AO197" i="1" s="1"/>
  <c r="AH197" i="1"/>
  <c r="AG197" i="1"/>
  <c r="AU197" i="1" s="1"/>
  <c r="AF197" i="1"/>
  <c r="AD197" i="1"/>
  <c r="R197" i="1" s="1"/>
  <c r="AC197" i="1"/>
  <c r="AA197" i="1"/>
  <c r="Y197" i="1"/>
  <c r="X197" i="1"/>
  <c r="Z197" i="1" s="1"/>
  <c r="AE197" i="1" s="1"/>
  <c r="W197" i="1"/>
  <c r="V197" i="1"/>
  <c r="Q197" i="1"/>
  <c r="P197" i="1"/>
  <c r="BJ197" i="1" s="1"/>
  <c r="O197" i="1"/>
  <c r="N197" i="1"/>
  <c r="M197" i="1"/>
  <c r="L197" i="1"/>
  <c r="J197" i="1"/>
  <c r="I197" i="1"/>
  <c r="E197" i="1"/>
  <c r="C197" i="1"/>
  <c r="CA196" i="1"/>
  <c r="BM196" i="1"/>
  <c r="BJ196" i="1"/>
  <c r="BE196" i="1"/>
  <c r="BD196" i="1"/>
  <c r="BU196" i="1" s="1"/>
  <c r="BC196" i="1"/>
  <c r="BB196" i="1"/>
  <c r="AZ196" i="1"/>
  <c r="AY196" i="1"/>
  <c r="AX196" i="1"/>
  <c r="BA196" i="1" s="1"/>
  <c r="AW196" i="1"/>
  <c r="AV196" i="1"/>
  <c r="AT196" i="1"/>
  <c r="AS196" i="1"/>
  <c r="AQ196" i="1"/>
  <c r="AP196" i="1"/>
  <c r="AN196" i="1"/>
  <c r="AM196" i="1" s="1"/>
  <c r="AL196" i="1"/>
  <c r="AJ196" i="1" s="1"/>
  <c r="S196" i="1" s="1"/>
  <c r="BG196" i="1" s="1"/>
  <c r="AI196" i="1"/>
  <c r="AO196" i="1" s="1"/>
  <c r="AH196" i="1"/>
  <c r="AG196" i="1"/>
  <c r="AU196" i="1" s="1"/>
  <c r="AD196" i="1"/>
  <c r="AC196" i="1"/>
  <c r="AF196" i="1" s="1"/>
  <c r="AA196" i="1"/>
  <c r="Z196" i="1"/>
  <c r="AE196" i="1" s="1"/>
  <c r="Y196" i="1"/>
  <c r="X196" i="1"/>
  <c r="CD196" i="1" s="1"/>
  <c r="V196" i="1"/>
  <c r="P196" i="1"/>
  <c r="BO196" i="1" s="1"/>
  <c r="N196" i="1"/>
  <c r="M196" i="1"/>
  <c r="L196" i="1"/>
  <c r="J196" i="1"/>
  <c r="I196" i="1"/>
  <c r="E196" i="1"/>
  <c r="C196" i="1"/>
  <c r="CA195" i="1"/>
  <c r="BY195" i="1"/>
  <c r="BM195" i="1"/>
  <c r="BE195" i="1"/>
  <c r="BD195" i="1"/>
  <c r="BU195" i="1" s="1"/>
  <c r="BC195" i="1"/>
  <c r="BB195" i="1"/>
  <c r="AZ195" i="1"/>
  <c r="AX195" i="1"/>
  <c r="BA195" i="1" s="1"/>
  <c r="AW195" i="1"/>
  <c r="AV195" i="1"/>
  <c r="AT195" i="1"/>
  <c r="AS195" i="1"/>
  <c r="AQ195" i="1"/>
  <c r="AP195" i="1"/>
  <c r="AN195" i="1"/>
  <c r="AM195" i="1" s="1"/>
  <c r="AL195" i="1"/>
  <c r="AJ195" i="1" s="1"/>
  <c r="AI195" i="1"/>
  <c r="AH195" i="1"/>
  <c r="AG195" i="1"/>
  <c r="AU195" i="1" s="1"/>
  <c r="AF195" i="1"/>
  <c r="AD195" i="1"/>
  <c r="R195" i="1" s="1"/>
  <c r="AC195" i="1"/>
  <c r="W195" i="1" s="1"/>
  <c r="AA195" i="1"/>
  <c r="Y195" i="1"/>
  <c r="X195" i="1"/>
  <c r="CD195" i="1" s="1"/>
  <c r="V195" i="1"/>
  <c r="Q195" i="1"/>
  <c r="P195" i="1"/>
  <c r="BJ195" i="1" s="1"/>
  <c r="O195" i="1"/>
  <c r="N195" i="1"/>
  <c r="M195" i="1"/>
  <c r="L195" i="1"/>
  <c r="J195" i="1"/>
  <c r="I195" i="1"/>
  <c r="E195" i="1"/>
  <c r="C195" i="1"/>
  <c r="CA194" i="1"/>
  <c r="BM194" i="1"/>
  <c r="BJ194" i="1"/>
  <c r="BE194" i="1"/>
  <c r="BD194" i="1"/>
  <c r="BY194" i="1" s="1"/>
  <c r="BC194" i="1"/>
  <c r="BB194" i="1"/>
  <c r="BA194" i="1"/>
  <c r="AZ194" i="1"/>
  <c r="AY194" i="1"/>
  <c r="AX194" i="1"/>
  <c r="AW194" i="1"/>
  <c r="AV194" i="1"/>
  <c r="AU194" i="1"/>
  <c r="AS194" i="1"/>
  <c r="AQ194" i="1"/>
  <c r="AP194" i="1"/>
  <c r="AI194" i="1" s="1"/>
  <c r="AN194" i="1"/>
  <c r="AM194" i="1" s="1"/>
  <c r="AL194" i="1"/>
  <c r="AJ194" i="1" s="1"/>
  <c r="S194" i="1" s="1"/>
  <c r="BG194" i="1" s="1"/>
  <c r="AH194" i="1"/>
  <c r="AG194" i="1"/>
  <c r="AD194" i="1"/>
  <c r="AC194" i="1"/>
  <c r="AA194" i="1"/>
  <c r="Z194" i="1"/>
  <c r="AE194" i="1" s="1"/>
  <c r="Y194" i="1"/>
  <c r="X194" i="1"/>
  <c r="CD194" i="1" s="1"/>
  <c r="P194" i="1"/>
  <c r="V194" i="1" s="1"/>
  <c r="O194" i="1"/>
  <c r="N194" i="1"/>
  <c r="M194" i="1"/>
  <c r="L194" i="1"/>
  <c r="J194" i="1"/>
  <c r="I194" i="1"/>
  <c r="E194" i="1"/>
  <c r="C194" i="1"/>
  <c r="CA193" i="1"/>
  <c r="BM193" i="1"/>
  <c r="BJ193" i="1"/>
  <c r="BE193" i="1"/>
  <c r="BD193" i="1"/>
  <c r="BY193" i="1" s="1"/>
  <c r="BC193" i="1"/>
  <c r="AZ193" i="1"/>
  <c r="AY193" i="1"/>
  <c r="AX193" i="1"/>
  <c r="BA193" i="1" s="1"/>
  <c r="AW193" i="1"/>
  <c r="AV193" i="1"/>
  <c r="BB193" i="1" s="1"/>
  <c r="AS193" i="1"/>
  <c r="AQ193" i="1"/>
  <c r="AP193" i="1"/>
  <c r="AT193" i="1" s="1"/>
  <c r="AN193" i="1"/>
  <c r="AM193" i="1"/>
  <c r="AL193" i="1"/>
  <c r="AJ193" i="1"/>
  <c r="AI193" i="1"/>
  <c r="AK193" i="1" s="1"/>
  <c r="AH193" i="1"/>
  <c r="AG193" i="1"/>
  <c r="AU193" i="1" s="1"/>
  <c r="AD193" i="1"/>
  <c r="R193" i="1" s="1"/>
  <c r="AC193" i="1"/>
  <c r="AF193" i="1" s="1"/>
  <c r="AA193" i="1"/>
  <c r="Y193" i="1"/>
  <c r="CD193" i="1" s="1"/>
  <c r="X193" i="1"/>
  <c r="W193" i="1"/>
  <c r="V193" i="1"/>
  <c r="T193" i="1"/>
  <c r="U193" i="1" s="1"/>
  <c r="S193" i="1"/>
  <c r="BG193" i="1" s="1"/>
  <c r="Q193" i="1"/>
  <c r="P193" i="1"/>
  <c r="N193" i="1"/>
  <c r="M193" i="1"/>
  <c r="L193" i="1"/>
  <c r="J193" i="1"/>
  <c r="I193" i="1"/>
  <c r="E193" i="1"/>
  <c r="C193" i="1"/>
  <c r="CA192" i="1"/>
  <c r="BU192" i="1"/>
  <c r="BM192" i="1"/>
  <c r="BE192" i="1"/>
  <c r="BD192" i="1"/>
  <c r="BY192" i="1" s="1"/>
  <c r="BC192" i="1"/>
  <c r="BA192" i="1"/>
  <c r="AZ192" i="1"/>
  <c r="AX192" i="1"/>
  <c r="AY192" i="1" s="1"/>
  <c r="AW192" i="1"/>
  <c r="AV192" i="1"/>
  <c r="BB192" i="1" s="1"/>
  <c r="AS192" i="1"/>
  <c r="AQ192" i="1"/>
  <c r="AP192" i="1"/>
  <c r="AT192" i="1" s="1"/>
  <c r="AN192" i="1"/>
  <c r="AM192" i="1"/>
  <c r="AL192" i="1"/>
  <c r="AJ192" i="1"/>
  <c r="AH192" i="1"/>
  <c r="AG192" i="1"/>
  <c r="AU192" i="1" s="1"/>
  <c r="AF192" i="1"/>
  <c r="AD192" i="1"/>
  <c r="AC192" i="1"/>
  <c r="AA192" i="1"/>
  <c r="Y192" i="1"/>
  <c r="Z192" i="1" s="1"/>
  <c r="AE192" i="1" s="1"/>
  <c r="X192" i="1"/>
  <c r="W192" i="1"/>
  <c r="T192" i="1"/>
  <c r="U192" i="1" s="1"/>
  <c r="P192" i="1"/>
  <c r="N192" i="1"/>
  <c r="M192" i="1"/>
  <c r="L192" i="1"/>
  <c r="J192" i="1"/>
  <c r="I192" i="1"/>
  <c r="E192" i="1"/>
  <c r="C192" i="1"/>
  <c r="CA191" i="1"/>
  <c r="BM191" i="1"/>
  <c r="BE191" i="1"/>
  <c r="BD191" i="1"/>
  <c r="BY191" i="1" s="1"/>
  <c r="BC191" i="1"/>
  <c r="AZ191" i="1"/>
  <c r="AX191" i="1"/>
  <c r="BA191" i="1" s="1"/>
  <c r="AW191" i="1"/>
  <c r="AV191" i="1"/>
  <c r="BB191" i="1" s="1"/>
  <c r="AU191" i="1"/>
  <c r="AT191" i="1"/>
  <c r="AS191" i="1"/>
  <c r="AQ191" i="1"/>
  <c r="AP191" i="1"/>
  <c r="AO191" i="1"/>
  <c r="AN191" i="1"/>
  <c r="AM191" i="1"/>
  <c r="AL191" i="1"/>
  <c r="AJ191" i="1" s="1"/>
  <c r="AK191" i="1" s="1"/>
  <c r="AI191" i="1"/>
  <c r="AH191" i="1"/>
  <c r="AG191" i="1"/>
  <c r="AD191" i="1"/>
  <c r="AC191" i="1"/>
  <c r="AF191" i="1" s="1"/>
  <c r="AB191" i="1"/>
  <c r="AA191" i="1"/>
  <c r="Y191" i="1"/>
  <c r="CD191" i="1" s="1"/>
  <c r="X191" i="1"/>
  <c r="U191" i="1"/>
  <c r="T191" i="1"/>
  <c r="P191" i="1"/>
  <c r="BJ191" i="1" s="1"/>
  <c r="O191" i="1"/>
  <c r="N191" i="1"/>
  <c r="M191" i="1"/>
  <c r="L191" i="1"/>
  <c r="J191" i="1"/>
  <c r="I191" i="1"/>
  <c r="E191" i="1"/>
  <c r="C191" i="1"/>
  <c r="CD190" i="1"/>
  <c r="CA190" i="1"/>
  <c r="BY190" i="1"/>
  <c r="BM190" i="1"/>
  <c r="BJ190" i="1"/>
  <c r="BE190" i="1"/>
  <c r="BD190" i="1"/>
  <c r="BU190" i="1" s="1"/>
  <c r="BC190" i="1"/>
  <c r="BA190" i="1"/>
  <c r="AZ190" i="1"/>
  <c r="AX190" i="1"/>
  <c r="AW190" i="1"/>
  <c r="AV190" i="1"/>
  <c r="AU190" i="1"/>
  <c r="AS190" i="1"/>
  <c r="AQ190" i="1"/>
  <c r="AP190" i="1"/>
  <c r="AT190" i="1" s="1"/>
  <c r="AN190" i="1"/>
  <c r="AM190" i="1"/>
  <c r="AL190" i="1"/>
  <c r="AJ190" i="1" s="1"/>
  <c r="AK190" i="1" s="1"/>
  <c r="AI190" i="1"/>
  <c r="AO190" i="1" s="1"/>
  <c r="AH190" i="1"/>
  <c r="AG190" i="1"/>
  <c r="AD190" i="1"/>
  <c r="AC190" i="1"/>
  <c r="AF190" i="1" s="1"/>
  <c r="AA190" i="1"/>
  <c r="Z190" i="1"/>
  <c r="AE190" i="1" s="1"/>
  <c r="Y190" i="1"/>
  <c r="X190" i="1"/>
  <c r="AB190" i="1" s="1"/>
  <c r="W190" i="1"/>
  <c r="V190" i="1"/>
  <c r="R190" i="1"/>
  <c r="P190" i="1"/>
  <c r="T190" i="1" s="1"/>
  <c r="U190" i="1" s="1"/>
  <c r="O190" i="1"/>
  <c r="N190" i="1"/>
  <c r="M190" i="1"/>
  <c r="L190" i="1"/>
  <c r="J190" i="1"/>
  <c r="I190" i="1"/>
  <c r="F190" i="1"/>
  <c r="E190" i="1"/>
  <c r="C190" i="1"/>
  <c r="CD189" i="1"/>
  <c r="CA189" i="1"/>
  <c r="BM189" i="1"/>
  <c r="BE189" i="1"/>
  <c r="BD189" i="1"/>
  <c r="BU189" i="1" s="1"/>
  <c r="BC189" i="1"/>
  <c r="BA189" i="1"/>
  <c r="AZ189" i="1"/>
  <c r="AY189" i="1"/>
  <c r="AX189" i="1"/>
  <c r="AW189" i="1"/>
  <c r="AV189" i="1"/>
  <c r="BB189" i="1" s="1"/>
  <c r="AU189" i="1"/>
  <c r="AS189" i="1"/>
  <c r="AQ189" i="1"/>
  <c r="AP189" i="1"/>
  <c r="AN189" i="1"/>
  <c r="AM189" i="1" s="1"/>
  <c r="AL189" i="1"/>
  <c r="AJ189" i="1" s="1"/>
  <c r="AH189" i="1"/>
  <c r="AG189" i="1"/>
  <c r="AD189" i="1"/>
  <c r="AC189" i="1"/>
  <c r="AF189" i="1" s="1"/>
  <c r="AA189" i="1"/>
  <c r="Z189" i="1"/>
  <c r="AE189" i="1" s="1"/>
  <c r="Y189" i="1"/>
  <c r="X189" i="1"/>
  <c r="AB189" i="1" s="1"/>
  <c r="W189" i="1"/>
  <c r="V189" i="1"/>
  <c r="P189" i="1"/>
  <c r="O189" i="1"/>
  <c r="N189" i="1"/>
  <c r="M189" i="1"/>
  <c r="L189" i="1"/>
  <c r="J189" i="1"/>
  <c r="I189" i="1"/>
  <c r="E189" i="1"/>
  <c r="C189" i="1"/>
  <c r="CA188" i="1"/>
  <c r="BM188" i="1"/>
  <c r="BJ188" i="1"/>
  <c r="BE188" i="1"/>
  <c r="BD188" i="1"/>
  <c r="BU188" i="1" s="1"/>
  <c r="BC188" i="1"/>
  <c r="BA188" i="1"/>
  <c r="AZ188" i="1"/>
  <c r="AY188" i="1"/>
  <c r="AX188" i="1"/>
  <c r="AW188" i="1"/>
  <c r="AV188" i="1"/>
  <c r="BB188" i="1" s="1"/>
  <c r="AU188" i="1"/>
  <c r="AS188" i="1"/>
  <c r="AQ188" i="1"/>
  <c r="AP188" i="1"/>
  <c r="AT188" i="1" s="1"/>
  <c r="AN188" i="1"/>
  <c r="AM188" i="1"/>
  <c r="AL188" i="1"/>
  <c r="AJ188" i="1" s="1"/>
  <c r="AH188" i="1"/>
  <c r="AG188" i="1"/>
  <c r="AD188" i="1"/>
  <c r="S188" i="1" s="1"/>
  <c r="BG188" i="1" s="1"/>
  <c r="AC188" i="1"/>
  <c r="AA188" i="1"/>
  <c r="Y188" i="1"/>
  <c r="X188" i="1"/>
  <c r="V188" i="1"/>
  <c r="U188" i="1"/>
  <c r="T188" i="1"/>
  <c r="Q188" i="1"/>
  <c r="P188" i="1"/>
  <c r="O188" i="1"/>
  <c r="N188" i="1"/>
  <c r="M188" i="1"/>
  <c r="L188" i="1"/>
  <c r="J188" i="1"/>
  <c r="I188" i="1"/>
  <c r="F188" i="1"/>
  <c r="E188" i="1"/>
  <c r="C188" i="1"/>
  <c r="CA187" i="1"/>
  <c r="BM187" i="1"/>
  <c r="BE187" i="1"/>
  <c r="BD187" i="1"/>
  <c r="BU187" i="1" s="1"/>
  <c r="BC187" i="1"/>
  <c r="BB187" i="1"/>
  <c r="AZ187" i="1"/>
  <c r="AX187" i="1"/>
  <c r="BA187" i="1" s="1"/>
  <c r="AW187" i="1"/>
  <c r="AV187" i="1"/>
  <c r="AT187" i="1"/>
  <c r="AS187" i="1"/>
  <c r="AQ187" i="1"/>
  <c r="AP187" i="1"/>
  <c r="AI187" i="1" s="1"/>
  <c r="AO187" i="1"/>
  <c r="AN187" i="1"/>
  <c r="AL187" i="1"/>
  <c r="AJ187" i="1"/>
  <c r="AK187" i="1" s="1"/>
  <c r="AH187" i="1"/>
  <c r="AG187" i="1"/>
  <c r="AU187" i="1" s="1"/>
  <c r="AD187" i="1"/>
  <c r="S187" i="1" s="1"/>
  <c r="BG187" i="1" s="1"/>
  <c r="AC187" i="1"/>
  <c r="AF187" i="1" s="1"/>
  <c r="AA187" i="1"/>
  <c r="Y187" i="1"/>
  <c r="X187" i="1"/>
  <c r="Z187" i="1" s="1"/>
  <c r="AE187" i="1" s="1"/>
  <c r="W187" i="1"/>
  <c r="V187" i="1"/>
  <c r="T187" i="1"/>
  <c r="U187" i="1" s="1"/>
  <c r="Q187" i="1"/>
  <c r="P187" i="1"/>
  <c r="BJ187" i="1" s="1"/>
  <c r="N187" i="1"/>
  <c r="M187" i="1"/>
  <c r="L187" i="1"/>
  <c r="J187" i="1"/>
  <c r="I187" i="1"/>
  <c r="E187" i="1"/>
  <c r="C187" i="1"/>
  <c r="CA186" i="1"/>
  <c r="BY186" i="1"/>
  <c r="BU186" i="1"/>
  <c r="BM186" i="1"/>
  <c r="BE186" i="1"/>
  <c r="BD186" i="1"/>
  <c r="BC186" i="1"/>
  <c r="BA186" i="1"/>
  <c r="AZ186" i="1"/>
  <c r="AX186" i="1"/>
  <c r="AW186" i="1"/>
  <c r="AV186" i="1"/>
  <c r="BB186" i="1" s="1"/>
  <c r="AU186" i="1"/>
  <c r="AS186" i="1"/>
  <c r="AQ186" i="1"/>
  <c r="S186" i="1" s="1"/>
  <c r="BG186" i="1" s="1"/>
  <c r="AP186" i="1"/>
  <c r="AT186" i="1" s="1"/>
  <c r="AN186" i="1"/>
  <c r="AM186" i="1"/>
  <c r="AL186" i="1"/>
  <c r="AJ186" i="1"/>
  <c r="AH186" i="1"/>
  <c r="AG186" i="1"/>
  <c r="AF186" i="1"/>
  <c r="AD186" i="1"/>
  <c r="AC186" i="1"/>
  <c r="AB186" i="1"/>
  <c r="AA186" i="1"/>
  <c r="Z186" i="1"/>
  <c r="AE186" i="1" s="1"/>
  <c r="Y186" i="1"/>
  <c r="X186" i="1"/>
  <c r="CD186" i="1" s="1"/>
  <c r="W186" i="1"/>
  <c r="P186" i="1"/>
  <c r="O186" i="1"/>
  <c r="N186" i="1"/>
  <c r="M186" i="1"/>
  <c r="L186" i="1"/>
  <c r="J186" i="1"/>
  <c r="I186" i="1"/>
  <c r="F186" i="1"/>
  <c r="E186" i="1"/>
  <c r="C186" i="1"/>
  <c r="CD185" i="1"/>
  <c r="CA185" i="1"/>
  <c r="BU185" i="1"/>
  <c r="BM185" i="1"/>
  <c r="BE185" i="1"/>
  <c r="BD185" i="1"/>
  <c r="BY185" i="1" s="1"/>
  <c r="BC185" i="1"/>
  <c r="BA185" i="1"/>
  <c r="AZ185" i="1"/>
  <c r="AY185" i="1"/>
  <c r="AX185" i="1"/>
  <c r="AW185" i="1"/>
  <c r="AV185" i="1"/>
  <c r="BB185" i="1" s="1"/>
  <c r="AU185" i="1"/>
  <c r="AS185" i="1"/>
  <c r="AQ185" i="1"/>
  <c r="AP185" i="1"/>
  <c r="AT185" i="1" s="1"/>
  <c r="AN185" i="1"/>
  <c r="AM185" i="1" s="1"/>
  <c r="AL185" i="1"/>
  <c r="AJ185" i="1" s="1"/>
  <c r="AI185" i="1"/>
  <c r="AH185" i="1"/>
  <c r="AG185" i="1"/>
  <c r="AF185" i="1"/>
  <c r="AE185" i="1"/>
  <c r="BH185" i="1" s="1"/>
  <c r="AD185" i="1"/>
  <c r="AC185" i="1"/>
  <c r="AB185" i="1"/>
  <c r="AA185" i="1"/>
  <c r="Z185" i="1"/>
  <c r="Y185" i="1"/>
  <c r="X185" i="1"/>
  <c r="W185" i="1"/>
  <c r="V185" i="1"/>
  <c r="T185" i="1"/>
  <c r="U185" i="1" s="1"/>
  <c r="P185" i="1"/>
  <c r="O185" i="1"/>
  <c r="N185" i="1"/>
  <c r="M185" i="1"/>
  <c r="L185" i="1"/>
  <c r="J185" i="1"/>
  <c r="I185" i="1"/>
  <c r="F185" i="1"/>
  <c r="E185" i="1"/>
  <c r="C185" i="1"/>
  <c r="CA184" i="1"/>
  <c r="BY184" i="1"/>
  <c r="BM184" i="1"/>
  <c r="BE184" i="1"/>
  <c r="BD184" i="1"/>
  <c r="BU184" i="1" s="1"/>
  <c r="BC184" i="1"/>
  <c r="BA184" i="1"/>
  <c r="AZ184" i="1"/>
  <c r="AX184" i="1"/>
  <c r="AW184" i="1"/>
  <c r="AV184" i="1"/>
  <c r="BB184" i="1" s="1"/>
  <c r="AS184" i="1"/>
  <c r="AQ184" i="1"/>
  <c r="AP184" i="1"/>
  <c r="AT184" i="1" s="1"/>
  <c r="AN184" i="1"/>
  <c r="AL184" i="1"/>
  <c r="AJ184" i="1" s="1"/>
  <c r="AI184" i="1"/>
  <c r="AO184" i="1" s="1"/>
  <c r="AH184" i="1"/>
  <c r="AG184" i="1"/>
  <c r="AU184" i="1" s="1"/>
  <c r="AD184" i="1"/>
  <c r="S184" i="1" s="1"/>
  <c r="BG184" i="1" s="1"/>
  <c r="AC184" i="1"/>
  <c r="AF184" i="1" s="1"/>
  <c r="AA184" i="1"/>
  <c r="Y184" i="1"/>
  <c r="CD184" i="1" s="1"/>
  <c r="X184" i="1"/>
  <c r="W184" i="1"/>
  <c r="V184" i="1"/>
  <c r="R184" i="1"/>
  <c r="Q184" i="1"/>
  <c r="P184" i="1"/>
  <c r="BJ184" i="1" s="1"/>
  <c r="N184" i="1"/>
  <c r="M184" i="1"/>
  <c r="L184" i="1"/>
  <c r="J184" i="1"/>
  <c r="I184" i="1"/>
  <c r="E184" i="1"/>
  <c r="C184" i="1"/>
  <c r="CA183" i="1"/>
  <c r="BY183" i="1"/>
  <c r="BM183" i="1"/>
  <c r="BE183" i="1"/>
  <c r="BD183" i="1"/>
  <c r="BU183" i="1" s="1"/>
  <c r="BC183" i="1"/>
  <c r="BA183" i="1"/>
  <c r="AZ183" i="1"/>
  <c r="AX183" i="1"/>
  <c r="AW183" i="1"/>
  <c r="AV183" i="1"/>
  <c r="BB183" i="1" s="1"/>
  <c r="AU183" i="1"/>
  <c r="AS183" i="1"/>
  <c r="AQ183" i="1"/>
  <c r="AP183" i="1"/>
  <c r="AT183" i="1" s="1"/>
  <c r="AN183" i="1"/>
  <c r="AM183" i="1"/>
  <c r="AL183" i="1"/>
  <c r="AJ183" i="1"/>
  <c r="AI183" i="1"/>
  <c r="AH183" i="1"/>
  <c r="AG183" i="1"/>
  <c r="AD183" i="1"/>
  <c r="S183" i="1" s="1"/>
  <c r="BG183" i="1" s="1"/>
  <c r="AA183" i="1"/>
  <c r="Y183" i="1"/>
  <c r="X183" i="1"/>
  <c r="CD183" i="1" s="1"/>
  <c r="W183" i="1"/>
  <c r="AC183" i="1" s="1"/>
  <c r="AF183" i="1" s="1"/>
  <c r="T183" i="1"/>
  <c r="U183" i="1" s="1"/>
  <c r="P183" i="1"/>
  <c r="Q183" i="1" s="1"/>
  <c r="O183" i="1"/>
  <c r="N183" i="1"/>
  <c r="M183" i="1"/>
  <c r="L183" i="1"/>
  <c r="J183" i="1"/>
  <c r="I183" i="1"/>
  <c r="F183" i="1"/>
  <c r="E183" i="1"/>
  <c r="C183" i="1"/>
  <c r="CD182" i="1"/>
  <c r="CA182" i="1"/>
  <c r="BY182" i="1"/>
  <c r="BU182" i="1"/>
  <c r="BM182" i="1"/>
  <c r="BE182" i="1"/>
  <c r="BD182" i="1"/>
  <c r="BC182" i="1"/>
  <c r="BA182" i="1"/>
  <c r="AZ182" i="1"/>
  <c r="AY182" i="1"/>
  <c r="AX182" i="1"/>
  <c r="AW182" i="1"/>
  <c r="AV182" i="1"/>
  <c r="BB182" i="1" s="1"/>
  <c r="AU182" i="1"/>
  <c r="AS182" i="1"/>
  <c r="AQ182" i="1"/>
  <c r="AP182" i="1"/>
  <c r="AT182" i="1" s="1"/>
  <c r="AN182" i="1"/>
  <c r="AM182" i="1"/>
  <c r="AL182" i="1"/>
  <c r="AJ182" i="1" s="1"/>
  <c r="AH182" i="1"/>
  <c r="AG182" i="1"/>
  <c r="AF182" i="1"/>
  <c r="AD182" i="1"/>
  <c r="AC182" i="1"/>
  <c r="AA182" i="1"/>
  <c r="Z182" i="1"/>
  <c r="AE182" i="1" s="1"/>
  <c r="Y182" i="1"/>
  <c r="X182" i="1"/>
  <c r="AB182" i="1" s="1"/>
  <c r="W182" i="1"/>
  <c r="P182" i="1"/>
  <c r="V182" i="1" s="1"/>
  <c r="O182" i="1"/>
  <c r="N182" i="1"/>
  <c r="M182" i="1"/>
  <c r="L182" i="1"/>
  <c r="J182" i="1"/>
  <c r="I182" i="1"/>
  <c r="F182" i="1"/>
  <c r="E182" i="1"/>
  <c r="C182" i="1"/>
  <c r="CD181" i="1"/>
  <c r="CA181" i="1"/>
  <c r="BY181" i="1"/>
  <c r="BU181" i="1"/>
  <c r="BM181" i="1"/>
  <c r="BE181" i="1"/>
  <c r="BD181" i="1"/>
  <c r="BC181" i="1"/>
  <c r="BA181" i="1"/>
  <c r="AZ181" i="1"/>
  <c r="AY181" i="1"/>
  <c r="AX181" i="1"/>
  <c r="AW181" i="1"/>
  <c r="AV181" i="1"/>
  <c r="BB181" i="1" s="1"/>
  <c r="AU181" i="1"/>
  <c r="AS181" i="1"/>
  <c r="AQ181" i="1"/>
  <c r="AP181" i="1"/>
  <c r="AT181" i="1" s="1"/>
  <c r="AN181" i="1"/>
  <c r="AM181" i="1" s="1"/>
  <c r="AL181" i="1"/>
  <c r="AJ181" i="1" s="1"/>
  <c r="AI181" i="1"/>
  <c r="AH181" i="1"/>
  <c r="AG181" i="1"/>
  <c r="AF181" i="1"/>
  <c r="AE181" i="1"/>
  <c r="BH181" i="1" s="1"/>
  <c r="AD181" i="1"/>
  <c r="AC181" i="1"/>
  <c r="AB181" i="1"/>
  <c r="AA181" i="1"/>
  <c r="Z181" i="1"/>
  <c r="Y181" i="1"/>
  <c r="X181" i="1"/>
  <c r="W181" i="1"/>
  <c r="P181" i="1"/>
  <c r="V181" i="1" s="1"/>
  <c r="N181" i="1"/>
  <c r="M181" i="1"/>
  <c r="L181" i="1"/>
  <c r="J181" i="1"/>
  <c r="I181" i="1"/>
  <c r="E181" i="1"/>
  <c r="C181" i="1"/>
  <c r="CA180" i="1"/>
  <c r="BY180" i="1"/>
  <c r="BM180" i="1"/>
  <c r="BE180" i="1"/>
  <c r="BD180" i="1"/>
  <c r="BU180" i="1" s="1"/>
  <c r="BC180" i="1"/>
  <c r="BB180" i="1"/>
  <c r="AZ180" i="1"/>
  <c r="AY180" i="1"/>
  <c r="AX180" i="1"/>
  <c r="BA180" i="1" s="1"/>
  <c r="AW180" i="1"/>
  <c r="AV180" i="1"/>
  <c r="AS180" i="1"/>
  <c r="AQ180" i="1"/>
  <c r="AP180" i="1"/>
  <c r="AT180" i="1" s="1"/>
  <c r="AN180" i="1"/>
  <c r="AM180" i="1" s="1"/>
  <c r="AL180" i="1"/>
  <c r="AJ180" i="1" s="1"/>
  <c r="S180" i="1" s="1"/>
  <c r="BG180" i="1" s="1"/>
  <c r="AH180" i="1"/>
  <c r="AG180" i="1"/>
  <c r="AU180" i="1" s="1"/>
  <c r="AD180" i="1"/>
  <c r="AC180" i="1"/>
  <c r="AA180" i="1"/>
  <c r="Y180" i="1"/>
  <c r="X180" i="1"/>
  <c r="CD180" i="1" s="1"/>
  <c r="W180" i="1"/>
  <c r="P180" i="1"/>
  <c r="O180" i="1"/>
  <c r="N180" i="1"/>
  <c r="M180" i="1"/>
  <c r="L180" i="1"/>
  <c r="J180" i="1"/>
  <c r="I180" i="1"/>
  <c r="F180" i="1"/>
  <c r="E180" i="1"/>
  <c r="C180" i="1"/>
  <c r="CA179" i="1"/>
  <c r="BY179" i="1"/>
  <c r="BM179" i="1"/>
  <c r="BJ179" i="1"/>
  <c r="BE179" i="1"/>
  <c r="BD179" i="1"/>
  <c r="BU179" i="1" s="1"/>
  <c r="BC179" i="1"/>
  <c r="BB179" i="1"/>
  <c r="AZ179" i="1"/>
  <c r="AX179" i="1"/>
  <c r="BA179" i="1" s="1"/>
  <c r="AW179" i="1"/>
  <c r="AV179" i="1"/>
  <c r="AU179" i="1"/>
  <c r="AT179" i="1"/>
  <c r="AS179" i="1"/>
  <c r="AQ179" i="1"/>
  <c r="AP179" i="1"/>
  <c r="AI179" i="1" s="1"/>
  <c r="AN179" i="1"/>
  <c r="AM179" i="1" s="1"/>
  <c r="AL179" i="1"/>
  <c r="AJ179" i="1" s="1"/>
  <c r="AH179" i="1"/>
  <c r="AG179" i="1"/>
  <c r="AD179" i="1"/>
  <c r="AC179" i="1"/>
  <c r="AF179" i="1" s="1"/>
  <c r="AA179" i="1"/>
  <c r="Y179" i="1"/>
  <c r="AB179" i="1" s="1"/>
  <c r="X179" i="1"/>
  <c r="CD179" i="1" s="1"/>
  <c r="W179" i="1"/>
  <c r="T179" i="1"/>
  <c r="U179" i="1" s="1"/>
  <c r="Q179" i="1"/>
  <c r="P179" i="1"/>
  <c r="N179" i="1"/>
  <c r="M179" i="1"/>
  <c r="L179" i="1"/>
  <c r="J179" i="1"/>
  <c r="I179" i="1"/>
  <c r="E179" i="1"/>
  <c r="C179" i="1"/>
  <c r="CA178" i="1"/>
  <c r="BY178" i="1"/>
  <c r="BU178" i="1"/>
  <c r="BM178" i="1"/>
  <c r="BE178" i="1"/>
  <c r="BD178" i="1"/>
  <c r="BC178" i="1"/>
  <c r="BA178" i="1"/>
  <c r="AZ178" i="1"/>
  <c r="AX178" i="1"/>
  <c r="AW178" i="1"/>
  <c r="AV178" i="1"/>
  <c r="BB178" i="1" s="1"/>
  <c r="AS178" i="1"/>
  <c r="AQ178" i="1"/>
  <c r="S178" i="1" s="1"/>
  <c r="BG178" i="1" s="1"/>
  <c r="AP178" i="1"/>
  <c r="AT178" i="1" s="1"/>
  <c r="AO178" i="1"/>
  <c r="AN178" i="1"/>
  <c r="AL178" i="1"/>
  <c r="AJ178" i="1" s="1"/>
  <c r="AK178" i="1" s="1"/>
  <c r="AI178" i="1"/>
  <c r="AH178" i="1"/>
  <c r="AG178" i="1"/>
  <c r="AU178" i="1" s="1"/>
  <c r="AD178" i="1"/>
  <c r="AC178" i="1"/>
  <c r="BO178" i="1" s="1"/>
  <c r="AA178" i="1"/>
  <c r="Y178" i="1"/>
  <c r="X178" i="1"/>
  <c r="W178" i="1"/>
  <c r="V178" i="1"/>
  <c r="R178" i="1"/>
  <c r="Q178" i="1"/>
  <c r="P178" i="1"/>
  <c r="O178" i="1"/>
  <c r="N178" i="1"/>
  <c r="M178" i="1"/>
  <c r="L178" i="1"/>
  <c r="J178" i="1"/>
  <c r="I178" i="1"/>
  <c r="F178" i="1"/>
  <c r="E178" i="1"/>
  <c r="C178" i="1"/>
  <c r="CA177" i="1"/>
  <c r="BM177" i="1"/>
  <c r="BJ177" i="1"/>
  <c r="BE177" i="1"/>
  <c r="BD177" i="1"/>
  <c r="BU177" i="1" s="1"/>
  <c r="BC177" i="1"/>
  <c r="AZ177" i="1"/>
  <c r="AX177" i="1"/>
  <c r="BA177" i="1" s="1"/>
  <c r="AW177" i="1"/>
  <c r="AT177" i="1"/>
  <c r="AS177" i="1"/>
  <c r="AQ177" i="1"/>
  <c r="AP177" i="1"/>
  <c r="AO177" i="1"/>
  <c r="AN177" i="1"/>
  <c r="AM177" i="1"/>
  <c r="AL177" i="1"/>
  <c r="AJ177" i="1"/>
  <c r="AI177" i="1"/>
  <c r="AK177" i="1" s="1"/>
  <c r="AH177" i="1"/>
  <c r="AG177" i="1"/>
  <c r="AA177" i="1"/>
  <c r="Y177" i="1"/>
  <c r="X177" i="1"/>
  <c r="W177" i="1"/>
  <c r="V177" i="1"/>
  <c r="T177" i="1"/>
  <c r="U177" i="1" s="1"/>
  <c r="P177" i="1"/>
  <c r="N177" i="1"/>
  <c r="M177" i="1"/>
  <c r="L177" i="1"/>
  <c r="J177" i="1"/>
  <c r="I177" i="1"/>
  <c r="E177" i="1"/>
  <c r="C177" i="1"/>
  <c r="CA176" i="1"/>
  <c r="BS176" i="1"/>
  <c r="BM176" i="1"/>
  <c r="BJ176" i="1"/>
  <c r="BE176" i="1"/>
  <c r="BD176" i="1"/>
  <c r="BU176" i="1" s="1"/>
  <c r="BC176" i="1"/>
  <c r="BB176" i="1"/>
  <c r="AZ176" i="1"/>
  <c r="AX176" i="1"/>
  <c r="BA176" i="1" s="1"/>
  <c r="AW176" i="1"/>
  <c r="AV176" i="1"/>
  <c r="AT176" i="1"/>
  <c r="AS176" i="1"/>
  <c r="AQ176" i="1"/>
  <c r="AP176" i="1"/>
  <c r="AN176" i="1"/>
  <c r="AM176" i="1"/>
  <c r="AL176" i="1"/>
  <c r="AJ176" i="1"/>
  <c r="AI176" i="1"/>
  <c r="AH176" i="1"/>
  <c r="AG176" i="1"/>
  <c r="AU176" i="1" s="1"/>
  <c r="AD176" i="1"/>
  <c r="AC176" i="1"/>
  <c r="AA176" i="1"/>
  <c r="Y176" i="1"/>
  <c r="X176" i="1"/>
  <c r="CD176" i="1" s="1"/>
  <c r="S176" i="1"/>
  <c r="BG176" i="1" s="1"/>
  <c r="Q176" i="1"/>
  <c r="P176" i="1"/>
  <c r="V176" i="1" s="1"/>
  <c r="N176" i="1"/>
  <c r="M176" i="1"/>
  <c r="L176" i="1"/>
  <c r="J176" i="1"/>
  <c r="I176" i="1"/>
  <c r="E176" i="1"/>
  <c r="C176" i="1"/>
  <c r="CA175" i="1"/>
  <c r="BY175" i="1"/>
  <c r="BM175" i="1"/>
  <c r="BJ175" i="1"/>
  <c r="BE175" i="1"/>
  <c r="BD175" i="1"/>
  <c r="BU175" i="1" s="1"/>
  <c r="BC175" i="1"/>
  <c r="BB175" i="1"/>
  <c r="AZ175" i="1"/>
  <c r="AX175" i="1"/>
  <c r="AW175" i="1"/>
  <c r="AV175" i="1"/>
  <c r="AT175" i="1"/>
  <c r="AS175" i="1"/>
  <c r="AQ175" i="1"/>
  <c r="AP175" i="1"/>
  <c r="AO175" i="1"/>
  <c r="AN175" i="1"/>
  <c r="AM175" i="1"/>
  <c r="AL175" i="1"/>
  <c r="AJ175" i="1" s="1"/>
  <c r="AI175" i="1"/>
  <c r="AK175" i="1" s="1"/>
  <c r="AH175" i="1"/>
  <c r="AG175" i="1"/>
  <c r="AD175" i="1"/>
  <c r="AC175" i="1"/>
  <c r="AF175" i="1" s="1"/>
  <c r="AA175" i="1"/>
  <c r="Y175" i="1"/>
  <c r="CD175" i="1" s="1"/>
  <c r="X175" i="1"/>
  <c r="W175" i="1"/>
  <c r="V175" i="1"/>
  <c r="S175" i="1"/>
  <c r="BG175" i="1" s="1"/>
  <c r="Q175" i="1"/>
  <c r="P175" i="1"/>
  <c r="O175" i="1"/>
  <c r="N175" i="1"/>
  <c r="M175" i="1"/>
  <c r="L175" i="1"/>
  <c r="J175" i="1"/>
  <c r="I175" i="1"/>
  <c r="E175" i="1"/>
  <c r="C175" i="1"/>
  <c r="CA174" i="1"/>
  <c r="BM174" i="1"/>
  <c r="BE174" i="1"/>
  <c r="BD174" i="1"/>
  <c r="BY174" i="1" s="1"/>
  <c r="BC174" i="1"/>
  <c r="BB174" i="1"/>
  <c r="BA174" i="1"/>
  <c r="AZ174" i="1"/>
  <c r="AY174" i="1"/>
  <c r="AX174" i="1"/>
  <c r="AW174" i="1"/>
  <c r="AV174" i="1"/>
  <c r="AU174" i="1"/>
  <c r="AT174" i="1"/>
  <c r="AS174" i="1"/>
  <c r="AQ174" i="1"/>
  <c r="AP174" i="1"/>
  <c r="AI174" i="1" s="1"/>
  <c r="AO174" i="1" s="1"/>
  <c r="AN174" i="1"/>
  <c r="AM174" i="1" s="1"/>
  <c r="AL174" i="1"/>
  <c r="AJ174" i="1" s="1"/>
  <c r="AK174" i="1"/>
  <c r="AH174" i="1"/>
  <c r="AG174" i="1"/>
  <c r="AF174" i="1"/>
  <c r="AD174" i="1"/>
  <c r="AC174" i="1"/>
  <c r="AA174" i="1"/>
  <c r="Z174" i="1"/>
  <c r="AE174" i="1" s="1"/>
  <c r="Y174" i="1"/>
  <c r="X174" i="1"/>
  <c r="W174" i="1"/>
  <c r="P174" i="1"/>
  <c r="N174" i="1"/>
  <c r="M174" i="1"/>
  <c r="L174" i="1"/>
  <c r="J174" i="1"/>
  <c r="I174" i="1"/>
  <c r="E174" i="1"/>
  <c r="C174" i="1"/>
  <c r="CD173" i="1"/>
  <c r="CA173" i="1"/>
  <c r="BY173" i="1"/>
  <c r="BM173" i="1"/>
  <c r="BE173" i="1"/>
  <c r="BD173" i="1"/>
  <c r="BU173" i="1" s="1"/>
  <c r="BC173" i="1"/>
  <c r="BB173" i="1"/>
  <c r="BA173" i="1"/>
  <c r="AZ173" i="1"/>
  <c r="AY173" i="1"/>
  <c r="AX173" i="1"/>
  <c r="AW173" i="1"/>
  <c r="AV173" i="1"/>
  <c r="AU173" i="1"/>
  <c r="AS173" i="1"/>
  <c r="AQ173" i="1"/>
  <c r="AP173" i="1"/>
  <c r="AT173" i="1" s="1"/>
  <c r="AN173" i="1"/>
  <c r="AM173" i="1" s="1"/>
  <c r="AL173" i="1"/>
  <c r="AJ173" i="1"/>
  <c r="AI173" i="1"/>
  <c r="AH173" i="1"/>
  <c r="AG173" i="1"/>
  <c r="AF173" i="1"/>
  <c r="AD173" i="1"/>
  <c r="AC173" i="1"/>
  <c r="AA173" i="1"/>
  <c r="Y173" i="1"/>
  <c r="X173" i="1"/>
  <c r="W173" i="1"/>
  <c r="V173" i="1"/>
  <c r="P173" i="1"/>
  <c r="T173" i="1" s="1"/>
  <c r="U173" i="1" s="1"/>
  <c r="N173" i="1"/>
  <c r="M173" i="1"/>
  <c r="L173" i="1"/>
  <c r="J173" i="1"/>
  <c r="I173" i="1"/>
  <c r="E173" i="1"/>
  <c r="C173" i="1"/>
  <c r="CA172" i="1"/>
  <c r="BM172" i="1"/>
  <c r="BE172" i="1"/>
  <c r="BD172" i="1"/>
  <c r="BU172" i="1" s="1"/>
  <c r="BC172" i="1"/>
  <c r="BA172" i="1"/>
  <c r="AZ172" i="1"/>
  <c r="AY172" i="1"/>
  <c r="AX172" i="1"/>
  <c r="AW172" i="1"/>
  <c r="AV172" i="1"/>
  <c r="BB172" i="1" s="1"/>
  <c r="AS172" i="1"/>
  <c r="AQ172" i="1"/>
  <c r="AP172" i="1"/>
  <c r="AT172" i="1" s="1"/>
  <c r="AO172" i="1"/>
  <c r="AN172" i="1"/>
  <c r="AM172" i="1" s="1"/>
  <c r="AL172" i="1"/>
  <c r="AJ172" i="1" s="1"/>
  <c r="AI172" i="1"/>
  <c r="AH172" i="1"/>
  <c r="AG172" i="1"/>
  <c r="BO172" i="1" s="1"/>
  <c r="AF172" i="1"/>
  <c r="AD172" i="1"/>
  <c r="R172" i="1" s="1"/>
  <c r="AC172" i="1"/>
  <c r="AB172" i="1"/>
  <c r="AA172" i="1"/>
  <c r="Y172" i="1"/>
  <c r="CD172" i="1" s="1"/>
  <c r="X172" i="1"/>
  <c r="W172" i="1"/>
  <c r="V172" i="1"/>
  <c r="T172" i="1"/>
  <c r="U172" i="1" s="1"/>
  <c r="Q172" i="1"/>
  <c r="P172" i="1"/>
  <c r="BJ172" i="1" s="1"/>
  <c r="O172" i="1"/>
  <c r="N172" i="1"/>
  <c r="M172" i="1"/>
  <c r="L172" i="1"/>
  <c r="J172" i="1"/>
  <c r="I172" i="1"/>
  <c r="F172" i="1"/>
  <c r="E172" i="1"/>
  <c r="C172" i="1"/>
  <c r="CA171" i="1"/>
  <c r="BY171" i="1"/>
  <c r="BM171" i="1"/>
  <c r="BE171" i="1"/>
  <c r="BD171" i="1"/>
  <c r="BU171" i="1" s="1"/>
  <c r="BC171" i="1"/>
  <c r="AZ171" i="1"/>
  <c r="AX171" i="1"/>
  <c r="AY171" i="1" s="1"/>
  <c r="AW171" i="1"/>
  <c r="AV171" i="1"/>
  <c r="BB171" i="1" s="1"/>
  <c r="AS171" i="1"/>
  <c r="AQ171" i="1"/>
  <c r="AP171" i="1"/>
  <c r="AT171" i="1" s="1"/>
  <c r="AN171" i="1"/>
  <c r="AM171" i="1" s="1"/>
  <c r="AL171" i="1"/>
  <c r="AJ171" i="1"/>
  <c r="S171" i="1" s="1"/>
  <c r="BG171" i="1" s="1"/>
  <c r="AH171" i="1"/>
  <c r="AG171" i="1"/>
  <c r="AF171" i="1"/>
  <c r="AD171" i="1"/>
  <c r="AC171" i="1"/>
  <c r="AA171" i="1"/>
  <c r="Y171" i="1"/>
  <c r="X171" i="1"/>
  <c r="W171" i="1"/>
  <c r="V171" i="1"/>
  <c r="T171" i="1"/>
  <c r="U171" i="1" s="1"/>
  <c r="Q171" i="1"/>
  <c r="P171" i="1"/>
  <c r="BJ171" i="1" s="1"/>
  <c r="O171" i="1"/>
  <c r="N171" i="1"/>
  <c r="M171" i="1"/>
  <c r="L171" i="1"/>
  <c r="J171" i="1"/>
  <c r="I171" i="1"/>
  <c r="F171" i="1"/>
  <c r="E171" i="1"/>
  <c r="C171" i="1"/>
  <c r="CA170" i="1"/>
  <c r="BY170" i="1"/>
  <c r="BM170" i="1"/>
  <c r="BE170" i="1"/>
  <c r="BD170" i="1"/>
  <c r="BU170" i="1" s="1"/>
  <c r="BC170" i="1"/>
  <c r="AZ170" i="1"/>
  <c r="AY170" i="1"/>
  <c r="AX170" i="1"/>
  <c r="BA170" i="1" s="1"/>
  <c r="AW170" i="1"/>
  <c r="AV170" i="1"/>
  <c r="BB170" i="1" s="1"/>
  <c r="AS170" i="1"/>
  <c r="AQ170" i="1"/>
  <c r="AP170" i="1"/>
  <c r="AT170" i="1" s="1"/>
  <c r="AO170" i="1"/>
  <c r="AN170" i="1"/>
  <c r="AM170" i="1" s="1"/>
  <c r="AL170" i="1"/>
  <c r="AJ170" i="1" s="1"/>
  <c r="AI170" i="1"/>
  <c r="AH170" i="1"/>
  <c r="AG170" i="1"/>
  <c r="AF170" i="1"/>
  <c r="AD170" i="1"/>
  <c r="AC170" i="1"/>
  <c r="AA170" i="1"/>
  <c r="Y170" i="1"/>
  <c r="Z170" i="1" s="1"/>
  <c r="AE170" i="1" s="1"/>
  <c r="BH170" i="1" s="1"/>
  <c r="X170" i="1"/>
  <c r="W170" i="1"/>
  <c r="V170" i="1"/>
  <c r="T170" i="1"/>
  <c r="U170" i="1" s="1"/>
  <c r="Q170" i="1"/>
  <c r="P170" i="1"/>
  <c r="BJ170" i="1" s="1"/>
  <c r="O170" i="1"/>
  <c r="N170" i="1"/>
  <c r="M170" i="1"/>
  <c r="L170" i="1"/>
  <c r="J170" i="1"/>
  <c r="I170" i="1"/>
  <c r="F170" i="1"/>
  <c r="E170" i="1"/>
  <c r="C170" i="1"/>
  <c r="CA169" i="1"/>
  <c r="BY169" i="1"/>
  <c r="BM169" i="1"/>
  <c r="BE169" i="1"/>
  <c r="BD169" i="1"/>
  <c r="BU169" i="1" s="1"/>
  <c r="BC169" i="1"/>
  <c r="AZ169" i="1"/>
  <c r="AX169" i="1"/>
  <c r="AW169" i="1"/>
  <c r="AV169" i="1"/>
  <c r="BB169" i="1" s="1"/>
  <c r="AU169" i="1"/>
  <c r="AS169" i="1"/>
  <c r="AQ169" i="1"/>
  <c r="AP169" i="1"/>
  <c r="AT169" i="1" s="1"/>
  <c r="AN169" i="1"/>
  <c r="AM169" i="1" s="1"/>
  <c r="AL169" i="1"/>
  <c r="AJ169" i="1"/>
  <c r="AI169" i="1"/>
  <c r="AH169" i="1"/>
  <c r="AG169" i="1"/>
  <c r="BO169" i="1" s="1"/>
  <c r="AF169" i="1"/>
  <c r="AD169" i="1"/>
  <c r="AC169" i="1"/>
  <c r="AB169" i="1"/>
  <c r="AA169" i="1"/>
  <c r="Z169" i="1"/>
  <c r="AE169" i="1" s="1"/>
  <c r="Y169" i="1"/>
  <c r="CD169" i="1" s="1"/>
  <c r="X169" i="1"/>
  <c r="W169" i="1"/>
  <c r="V169" i="1"/>
  <c r="T169" i="1"/>
  <c r="U169" i="1" s="1"/>
  <c r="R169" i="1"/>
  <c r="Q169" i="1"/>
  <c r="P169" i="1"/>
  <c r="BJ169" i="1" s="1"/>
  <c r="N169" i="1"/>
  <c r="M169" i="1"/>
  <c r="L169" i="1"/>
  <c r="J169" i="1"/>
  <c r="I169" i="1"/>
  <c r="F169" i="1"/>
  <c r="E169" i="1"/>
  <c r="C169" i="1"/>
  <c r="CA168" i="1"/>
  <c r="BY168" i="1"/>
  <c r="BO168" i="1"/>
  <c r="BM168" i="1"/>
  <c r="BJ168" i="1"/>
  <c r="BE168" i="1"/>
  <c r="BD168" i="1"/>
  <c r="BU168" i="1" s="1"/>
  <c r="BC168" i="1"/>
  <c r="BB168" i="1"/>
  <c r="AZ168" i="1"/>
  <c r="AY168" i="1"/>
  <c r="AX168" i="1"/>
  <c r="BA168" i="1" s="1"/>
  <c r="AW168" i="1"/>
  <c r="AV168" i="1"/>
  <c r="AS168" i="1"/>
  <c r="AQ168" i="1"/>
  <c r="AP168" i="1"/>
  <c r="AT168" i="1" s="1"/>
  <c r="AN168" i="1"/>
  <c r="AM168" i="1" s="1"/>
  <c r="AL168" i="1"/>
  <c r="AJ168" i="1" s="1"/>
  <c r="AH168" i="1"/>
  <c r="AG168" i="1"/>
  <c r="AU168" i="1" s="1"/>
  <c r="AF168" i="1"/>
  <c r="AD168" i="1"/>
  <c r="S168" i="1" s="1"/>
  <c r="BG168" i="1" s="1"/>
  <c r="AC168" i="1"/>
  <c r="AA168" i="1"/>
  <c r="Z168" i="1"/>
  <c r="AE168" i="1" s="1"/>
  <c r="Y168" i="1"/>
  <c r="X168" i="1"/>
  <c r="W168" i="1"/>
  <c r="V168" i="1"/>
  <c r="Q168" i="1"/>
  <c r="P168" i="1"/>
  <c r="N168" i="1"/>
  <c r="M168" i="1"/>
  <c r="L168" i="1"/>
  <c r="J168" i="1"/>
  <c r="I168" i="1"/>
  <c r="E168" i="1"/>
  <c r="C168" i="1"/>
  <c r="CA167" i="1"/>
  <c r="BO167" i="1"/>
  <c r="BM167" i="1"/>
  <c r="BE167" i="1"/>
  <c r="BD167" i="1"/>
  <c r="BY167" i="1" s="1"/>
  <c r="BC167" i="1"/>
  <c r="AZ167" i="1"/>
  <c r="AX167" i="1"/>
  <c r="AY167" i="1" s="1"/>
  <c r="AW167" i="1"/>
  <c r="AV167" i="1"/>
  <c r="BB167" i="1" s="1"/>
  <c r="AU167" i="1"/>
  <c r="AT167" i="1"/>
  <c r="AS167" i="1"/>
  <c r="AQ167" i="1"/>
  <c r="AP167" i="1"/>
  <c r="AO167" i="1"/>
  <c r="AN167" i="1"/>
  <c r="AM167" i="1" s="1"/>
  <c r="AL167" i="1"/>
  <c r="AJ167" i="1" s="1"/>
  <c r="S167" i="1" s="1"/>
  <c r="BG167" i="1" s="1"/>
  <c r="AI167" i="1"/>
  <c r="AH167" i="1"/>
  <c r="AG167" i="1"/>
  <c r="AF167" i="1"/>
  <c r="AD167" i="1"/>
  <c r="AC167" i="1"/>
  <c r="AA167" i="1"/>
  <c r="Y167" i="1"/>
  <c r="AB167" i="1" s="1"/>
  <c r="X167" i="1"/>
  <c r="CD167" i="1" s="1"/>
  <c r="W167" i="1"/>
  <c r="V167" i="1"/>
  <c r="Q167" i="1"/>
  <c r="P167" i="1"/>
  <c r="BJ167" i="1" s="1"/>
  <c r="O167" i="1"/>
  <c r="N167" i="1"/>
  <c r="M167" i="1"/>
  <c r="L167" i="1"/>
  <c r="J167" i="1"/>
  <c r="I167" i="1"/>
  <c r="F167" i="1"/>
  <c r="E167" i="1"/>
  <c r="C167" i="1"/>
  <c r="CA166" i="1"/>
  <c r="BM166" i="1"/>
  <c r="BE166" i="1"/>
  <c r="BD166" i="1"/>
  <c r="BC166" i="1"/>
  <c r="BA166" i="1"/>
  <c r="AZ166" i="1"/>
  <c r="AX166" i="1"/>
  <c r="AY166" i="1" s="1"/>
  <c r="AW166" i="1"/>
  <c r="AV166" i="1"/>
  <c r="BB166" i="1" s="1"/>
  <c r="AT166" i="1"/>
  <c r="AS166" i="1"/>
  <c r="AQ166" i="1"/>
  <c r="AP166" i="1"/>
  <c r="AO166" i="1"/>
  <c r="AN166" i="1"/>
  <c r="AM166" i="1" s="1"/>
  <c r="AL166" i="1"/>
  <c r="AJ166" i="1" s="1"/>
  <c r="S166" i="1" s="1"/>
  <c r="BG166" i="1" s="1"/>
  <c r="AI166" i="1"/>
  <c r="AH166" i="1"/>
  <c r="AG166" i="1"/>
  <c r="AU166" i="1" s="1"/>
  <c r="AF166" i="1"/>
  <c r="AD166" i="1"/>
  <c r="AC166" i="1"/>
  <c r="AA166" i="1"/>
  <c r="Y166" i="1"/>
  <c r="X166" i="1"/>
  <c r="W166" i="1"/>
  <c r="V166" i="1"/>
  <c r="T166" i="1"/>
  <c r="U166" i="1" s="1"/>
  <c r="Q166" i="1"/>
  <c r="P166" i="1"/>
  <c r="BJ166" i="1" s="1"/>
  <c r="N166" i="1"/>
  <c r="M166" i="1"/>
  <c r="L166" i="1"/>
  <c r="J166" i="1"/>
  <c r="I166" i="1"/>
  <c r="F166" i="1"/>
  <c r="E166" i="1"/>
  <c r="C166" i="1"/>
  <c r="CA165" i="1"/>
  <c r="BM165" i="1"/>
  <c r="BJ165" i="1"/>
  <c r="BE165" i="1"/>
  <c r="BD165" i="1"/>
  <c r="BY165" i="1" s="1"/>
  <c r="BC165" i="1"/>
  <c r="BA165" i="1"/>
  <c r="AZ165" i="1"/>
  <c r="AX165" i="1"/>
  <c r="AW165" i="1"/>
  <c r="AV165" i="1"/>
  <c r="BB165" i="1" s="1"/>
  <c r="AU165" i="1"/>
  <c r="AS165" i="1"/>
  <c r="AQ165" i="1"/>
  <c r="AP165" i="1"/>
  <c r="AI165" i="1" s="1"/>
  <c r="AN165" i="1"/>
  <c r="AM165" i="1"/>
  <c r="AL165" i="1"/>
  <c r="AJ165" i="1" s="1"/>
  <c r="S165" i="1" s="1"/>
  <c r="BG165" i="1" s="1"/>
  <c r="AH165" i="1"/>
  <c r="AG165" i="1"/>
  <c r="AF165" i="1"/>
  <c r="AD165" i="1"/>
  <c r="AC165" i="1"/>
  <c r="W165" i="1" s="1"/>
  <c r="AA165" i="1"/>
  <c r="Z165" i="1"/>
  <c r="AE165" i="1" s="1"/>
  <c r="Y165" i="1"/>
  <c r="X165" i="1"/>
  <c r="AB165" i="1" s="1"/>
  <c r="P165" i="1"/>
  <c r="O165" i="1"/>
  <c r="N165" i="1"/>
  <c r="M165" i="1"/>
  <c r="L165" i="1"/>
  <c r="J165" i="1"/>
  <c r="I165" i="1"/>
  <c r="E165" i="1"/>
  <c r="C165" i="1"/>
  <c r="CA164" i="1"/>
  <c r="BU164" i="1"/>
  <c r="BM164" i="1"/>
  <c r="BJ164" i="1"/>
  <c r="BE164" i="1"/>
  <c r="BD164" i="1"/>
  <c r="BY164" i="1" s="1"/>
  <c r="BC164" i="1"/>
  <c r="BB164" i="1"/>
  <c r="AZ164" i="1"/>
  <c r="AX164" i="1"/>
  <c r="AW164" i="1"/>
  <c r="AV164" i="1"/>
  <c r="AT164" i="1"/>
  <c r="AS164" i="1"/>
  <c r="AQ164" i="1"/>
  <c r="AP164" i="1"/>
  <c r="AN164" i="1"/>
  <c r="AM164" i="1"/>
  <c r="AL164" i="1"/>
  <c r="AJ164" i="1" s="1"/>
  <c r="S164" i="1" s="1"/>
  <c r="BG164" i="1" s="1"/>
  <c r="BW164" i="1" s="1"/>
  <c r="AI164" i="1"/>
  <c r="AO164" i="1" s="1"/>
  <c r="AH164" i="1"/>
  <c r="AG164" i="1"/>
  <c r="AU164" i="1" s="1"/>
  <c r="AD164" i="1"/>
  <c r="AC164" i="1"/>
  <c r="AF164" i="1" s="1"/>
  <c r="AB164" i="1"/>
  <c r="AA164" i="1"/>
  <c r="Z164" i="1"/>
  <c r="AE164" i="1" s="1"/>
  <c r="Y164" i="1"/>
  <c r="CD164" i="1" s="1"/>
  <c r="X164" i="1"/>
  <c r="W164" i="1"/>
  <c r="V164" i="1"/>
  <c r="T164" i="1"/>
  <c r="U164" i="1" s="1"/>
  <c r="R164" i="1"/>
  <c r="Q164" i="1"/>
  <c r="P164" i="1"/>
  <c r="N164" i="1"/>
  <c r="M164" i="1"/>
  <c r="L164" i="1"/>
  <c r="J164" i="1"/>
  <c r="I164" i="1"/>
  <c r="E164" i="1"/>
  <c r="C164" i="1"/>
  <c r="CA163" i="1"/>
  <c r="BM163" i="1"/>
  <c r="BJ163" i="1"/>
  <c r="BE163" i="1"/>
  <c r="BD163" i="1"/>
  <c r="BY163" i="1" s="1"/>
  <c r="BC163" i="1"/>
  <c r="BA163" i="1"/>
  <c r="AZ163" i="1"/>
  <c r="AX163" i="1"/>
  <c r="AW163" i="1"/>
  <c r="AV163" i="1"/>
  <c r="AY163" i="1" s="1"/>
  <c r="AS163" i="1"/>
  <c r="AQ163" i="1"/>
  <c r="AP163" i="1"/>
  <c r="AT163" i="1" s="1"/>
  <c r="AN163" i="1"/>
  <c r="AM163" i="1"/>
  <c r="AL163" i="1"/>
  <c r="AJ163" i="1"/>
  <c r="S163" i="1" s="1"/>
  <c r="BG163" i="1" s="1"/>
  <c r="AH163" i="1"/>
  <c r="AG163" i="1"/>
  <c r="AU163" i="1" s="1"/>
  <c r="AE163" i="1"/>
  <c r="AD163" i="1"/>
  <c r="AC163" i="1"/>
  <c r="AF163" i="1" s="1"/>
  <c r="AA163" i="1"/>
  <c r="Z163" i="1"/>
  <c r="Y163" i="1"/>
  <c r="AB163" i="1" s="1"/>
  <c r="X163" i="1"/>
  <c r="W163" i="1"/>
  <c r="Q163" i="1"/>
  <c r="P163" i="1"/>
  <c r="BO163" i="1" s="1"/>
  <c r="O163" i="1"/>
  <c r="N163" i="1"/>
  <c r="M163" i="1"/>
  <c r="L163" i="1"/>
  <c r="J163" i="1"/>
  <c r="I163" i="1"/>
  <c r="F163" i="1"/>
  <c r="E163" i="1"/>
  <c r="C163" i="1"/>
  <c r="CA162" i="1"/>
  <c r="BU162" i="1"/>
  <c r="BO162" i="1"/>
  <c r="BM162" i="1"/>
  <c r="BJ162" i="1"/>
  <c r="BE162" i="1"/>
  <c r="BD162" i="1"/>
  <c r="BY162" i="1" s="1"/>
  <c r="BC162" i="1"/>
  <c r="BB162" i="1"/>
  <c r="AZ162" i="1"/>
  <c r="AX162" i="1"/>
  <c r="BA162" i="1" s="1"/>
  <c r="AW162" i="1"/>
  <c r="AV162" i="1"/>
  <c r="AY162" i="1" s="1"/>
  <c r="AT162" i="1"/>
  <c r="AS162" i="1"/>
  <c r="AQ162" i="1"/>
  <c r="AP162" i="1"/>
  <c r="AN162" i="1"/>
  <c r="AM162" i="1"/>
  <c r="AL162" i="1"/>
  <c r="AJ162" i="1"/>
  <c r="AI162" i="1"/>
  <c r="AO162" i="1" s="1"/>
  <c r="AH162" i="1"/>
  <c r="AG162" i="1"/>
  <c r="AU162" i="1" s="1"/>
  <c r="AD162" i="1"/>
  <c r="S162" i="1" s="1"/>
  <c r="BG162" i="1" s="1"/>
  <c r="AC162" i="1"/>
  <c r="AF162" i="1" s="1"/>
  <c r="AB162" i="1"/>
  <c r="AA162" i="1"/>
  <c r="Z162" i="1"/>
  <c r="AE162" i="1" s="1"/>
  <c r="BH162" i="1" s="1"/>
  <c r="BP162" i="1" s="1"/>
  <c r="Y162" i="1"/>
  <c r="X162" i="1"/>
  <c r="W162" i="1"/>
  <c r="V162" i="1"/>
  <c r="U162" i="1"/>
  <c r="T162" i="1"/>
  <c r="Q162" i="1"/>
  <c r="P162" i="1"/>
  <c r="O162" i="1"/>
  <c r="N162" i="1"/>
  <c r="M162" i="1"/>
  <c r="L162" i="1"/>
  <c r="J162" i="1"/>
  <c r="I162" i="1"/>
  <c r="F162" i="1"/>
  <c r="E162" i="1"/>
  <c r="C162" i="1"/>
  <c r="CD161" i="1"/>
  <c r="CA161" i="1"/>
  <c r="BY161" i="1"/>
  <c r="BM161" i="1"/>
  <c r="BJ161" i="1"/>
  <c r="BE161" i="1"/>
  <c r="BD161" i="1"/>
  <c r="BU161" i="1" s="1"/>
  <c r="BC161" i="1"/>
  <c r="BB161" i="1"/>
  <c r="AZ161" i="1"/>
  <c r="AY161" i="1"/>
  <c r="AX161" i="1"/>
  <c r="BA161" i="1" s="1"/>
  <c r="AW161" i="1"/>
  <c r="AV161" i="1"/>
  <c r="AT161" i="1"/>
  <c r="AS161" i="1"/>
  <c r="AQ161" i="1"/>
  <c r="AP161" i="1"/>
  <c r="AI161" i="1" s="1"/>
  <c r="AN161" i="1"/>
  <c r="AM161" i="1"/>
  <c r="AL161" i="1"/>
  <c r="AJ161" i="1"/>
  <c r="AH161" i="1"/>
  <c r="AG161" i="1"/>
  <c r="AU161" i="1" s="1"/>
  <c r="AD161" i="1"/>
  <c r="AC161" i="1"/>
  <c r="AF161" i="1" s="1"/>
  <c r="AB161" i="1"/>
  <c r="AA161" i="1"/>
  <c r="Y161" i="1"/>
  <c r="Z161" i="1" s="1"/>
  <c r="AE161" i="1" s="1"/>
  <c r="BH161" i="1" s="1"/>
  <c r="X161" i="1"/>
  <c r="W161" i="1"/>
  <c r="V161" i="1"/>
  <c r="T161" i="1"/>
  <c r="U161" i="1" s="1"/>
  <c r="Q161" i="1"/>
  <c r="P161" i="1"/>
  <c r="O161" i="1"/>
  <c r="N161" i="1"/>
  <c r="M161" i="1"/>
  <c r="L161" i="1"/>
  <c r="J161" i="1"/>
  <c r="I161" i="1"/>
  <c r="F161" i="1"/>
  <c r="E161" i="1"/>
  <c r="C161" i="1"/>
  <c r="CA160" i="1"/>
  <c r="BM160" i="1"/>
  <c r="BJ160" i="1"/>
  <c r="BE160" i="1"/>
  <c r="BD160" i="1"/>
  <c r="BY160" i="1" s="1"/>
  <c r="BC160" i="1"/>
  <c r="AZ160" i="1"/>
  <c r="AX160" i="1"/>
  <c r="BA160" i="1" s="1"/>
  <c r="AW160" i="1"/>
  <c r="AV160" i="1"/>
  <c r="BB160" i="1" s="1"/>
  <c r="AS160" i="1"/>
  <c r="AQ160" i="1"/>
  <c r="AP160" i="1"/>
  <c r="AT160" i="1" s="1"/>
  <c r="AN160" i="1"/>
  <c r="AM160" i="1"/>
  <c r="AL160" i="1"/>
  <c r="AJ160" i="1" s="1"/>
  <c r="AI160" i="1"/>
  <c r="AH160" i="1"/>
  <c r="AG160" i="1"/>
  <c r="AU160" i="1" s="1"/>
  <c r="AD160" i="1"/>
  <c r="AC160" i="1"/>
  <c r="AF160" i="1" s="1"/>
  <c r="AA160" i="1"/>
  <c r="Z160" i="1"/>
  <c r="AE160" i="1" s="1"/>
  <c r="Y160" i="1"/>
  <c r="CD160" i="1" s="1"/>
  <c r="X160" i="1"/>
  <c r="W160" i="1"/>
  <c r="V160" i="1"/>
  <c r="U160" i="1"/>
  <c r="T160" i="1"/>
  <c r="R160" i="1"/>
  <c r="Q160" i="1"/>
  <c r="P160" i="1"/>
  <c r="O160" i="1"/>
  <c r="N160" i="1"/>
  <c r="M160" i="1"/>
  <c r="L160" i="1"/>
  <c r="J160" i="1"/>
  <c r="I160" i="1"/>
  <c r="F160" i="1"/>
  <c r="E160" i="1"/>
  <c r="C160" i="1"/>
  <c r="CD159" i="1"/>
  <c r="CA159" i="1"/>
  <c r="BM159" i="1"/>
  <c r="BJ159" i="1"/>
  <c r="BE159" i="1"/>
  <c r="BD159" i="1"/>
  <c r="BY159" i="1" s="1"/>
  <c r="BC159" i="1"/>
  <c r="AZ159" i="1"/>
  <c r="AX159" i="1"/>
  <c r="BA159" i="1" s="1"/>
  <c r="AW159" i="1"/>
  <c r="AV159" i="1"/>
  <c r="BB159" i="1" s="1"/>
  <c r="AT159" i="1"/>
  <c r="AS159" i="1"/>
  <c r="AQ159" i="1"/>
  <c r="AP159" i="1"/>
  <c r="AO159" i="1"/>
  <c r="AN159" i="1"/>
  <c r="AM159" i="1"/>
  <c r="AL159" i="1"/>
  <c r="AJ159" i="1" s="1"/>
  <c r="AK159" i="1" s="1"/>
  <c r="AI159" i="1"/>
  <c r="AH159" i="1"/>
  <c r="AG159" i="1"/>
  <c r="BO159" i="1" s="1"/>
  <c r="AD159" i="1"/>
  <c r="S159" i="1" s="1"/>
  <c r="BG159" i="1" s="1"/>
  <c r="AC159" i="1"/>
  <c r="AF159" i="1" s="1"/>
  <c r="AB159" i="1"/>
  <c r="AA159" i="1"/>
  <c r="Z159" i="1"/>
  <c r="AE159" i="1" s="1"/>
  <c r="Y159" i="1"/>
  <c r="X159" i="1"/>
  <c r="W159" i="1"/>
  <c r="V159" i="1"/>
  <c r="U159" i="1"/>
  <c r="T159" i="1"/>
  <c r="Q159" i="1"/>
  <c r="P159" i="1"/>
  <c r="O159" i="1"/>
  <c r="N159" i="1"/>
  <c r="M159" i="1"/>
  <c r="L159" i="1"/>
  <c r="J159" i="1"/>
  <c r="I159" i="1"/>
  <c r="F159" i="1"/>
  <c r="E159" i="1"/>
  <c r="C159" i="1"/>
  <c r="CD158" i="1"/>
  <c r="CA158" i="1"/>
  <c r="BM158" i="1"/>
  <c r="BJ158" i="1"/>
  <c r="BE158" i="1"/>
  <c r="BD158" i="1"/>
  <c r="BY158" i="1" s="1"/>
  <c r="BC158" i="1"/>
  <c r="BA158" i="1"/>
  <c r="AZ158" i="1"/>
  <c r="AX158" i="1"/>
  <c r="AY158" i="1" s="1"/>
  <c r="AW158" i="1"/>
  <c r="AV158" i="1"/>
  <c r="BB158" i="1" s="1"/>
  <c r="AT158" i="1"/>
  <c r="AS158" i="1"/>
  <c r="AQ158" i="1"/>
  <c r="AP158" i="1"/>
  <c r="AN158" i="1"/>
  <c r="AM158" i="1"/>
  <c r="AL158" i="1"/>
  <c r="AJ158" i="1"/>
  <c r="AI158" i="1"/>
  <c r="AO158" i="1" s="1"/>
  <c r="AH158" i="1"/>
  <c r="AG158" i="1"/>
  <c r="BO158" i="1" s="1"/>
  <c r="AD158" i="1"/>
  <c r="S158" i="1" s="1"/>
  <c r="BG158" i="1" s="1"/>
  <c r="AC158" i="1"/>
  <c r="AF158" i="1" s="1"/>
  <c r="AB158" i="1"/>
  <c r="AA158" i="1"/>
  <c r="Z158" i="1"/>
  <c r="AE158" i="1" s="1"/>
  <c r="BH158" i="1" s="1"/>
  <c r="Y158" i="1"/>
  <c r="X158" i="1"/>
  <c r="W158" i="1"/>
  <c r="V158" i="1"/>
  <c r="T158" i="1"/>
  <c r="U158" i="1" s="1"/>
  <c r="Q158" i="1"/>
  <c r="P158" i="1"/>
  <c r="O158" i="1"/>
  <c r="N158" i="1"/>
  <c r="M158" i="1"/>
  <c r="L158" i="1"/>
  <c r="J158" i="1"/>
  <c r="I158" i="1"/>
  <c r="F158" i="1"/>
  <c r="E158" i="1"/>
  <c r="C158" i="1"/>
  <c r="CD157" i="1"/>
  <c r="CA157" i="1"/>
  <c r="BY157" i="1"/>
  <c r="BM157" i="1"/>
  <c r="BJ157" i="1"/>
  <c r="BE157" i="1"/>
  <c r="BD157" i="1"/>
  <c r="BU157" i="1" s="1"/>
  <c r="BC157" i="1"/>
  <c r="BB157" i="1"/>
  <c r="AZ157" i="1"/>
  <c r="AX157" i="1"/>
  <c r="BA157" i="1" s="1"/>
  <c r="AW157" i="1"/>
  <c r="AV157" i="1"/>
  <c r="AT157" i="1"/>
  <c r="AS157" i="1"/>
  <c r="AQ157" i="1"/>
  <c r="AP157" i="1"/>
  <c r="AN157" i="1"/>
  <c r="AM157" i="1"/>
  <c r="AL157" i="1"/>
  <c r="AK157" i="1"/>
  <c r="AJ157" i="1"/>
  <c r="AI157" i="1"/>
  <c r="AO157" i="1" s="1"/>
  <c r="AH157" i="1"/>
  <c r="AG157" i="1"/>
  <c r="AU157" i="1" s="1"/>
  <c r="AD157" i="1"/>
  <c r="S157" i="1" s="1"/>
  <c r="BG157" i="1" s="1"/>
  <c r="AC157" i="1"/>
  <c r="AF157" i="1" s="1"/>
  <c r="AB157" i="1"/>
  <c r="AA157" i="1"/>
  <c r="Z157" i="1"/>
  <c r="AE157" i="1" s="1"/>
  <c r="Y157" i="1"/>
  <c r="X157" i="1"/>
  <c r="W157" i="1"/>
  <c r="V157" i="1"/>
  <c r="T157" i="1"/>
  <c r="U157" i="1" s="1"/>
  <c r="R157" i="1"/>
  <c r="Q157" i="1"/>
  <c r="P157" i="1"/>
  <c r="O157" i="1"/>
  <c r="N157" i="1"/>
  <c r="M157" i="1"/>
  <c r="L157" i="1"/>
  <c r="J157" i="1"/>
  <c r="I157" i="1"/>
  <c r="F157" i="1"/>
  <c r="E157" i="1"/>
  <c r="C157" i="1"/>
  <c r="CD156" i="1"/>
  <c r="CA156" i="1"/>
  <c r="BM156" i="1"/>
  <c r="BJ156" i="1"/>
  <c r="BE156" i="1"/>
  <c r="BD156" i="1"/>
  <c r="BY156" i="1" s="1"/>
  <c r="BC156" i="1"/>
  <c r="AZ156" i="1"/>
  <c r="AX156" i="1"/>
  <c r="BA156" i="1" s="1"/>
  <c r="AW156" i="1"/>
  <c r="AV156" i="1"/>
  <c r="BB156" i="1" s="1"/>
  <c r="AT156" i="1"/>
  <c r="AS156" i="1"/>
  <c r="AQ156" i="1"/>
  <c r="AP156" i="1"/>
  <c r="AN156" i="1"/>
  <c r="AM156" i="1"/>
  <c r="AL156" i="1"/>
  <c r="AJ156" i="1" s="1"/>
  <c r="AI156" i="1"/>
  <c r="R156" i="1" s="1"/>
  <c r="AH156" i="1"/>
  <c r="AG156" i="1"/>
  <c r="AU156" i="1" s="1"/>
  <c r="AD156" i="1"/>
  <c r="AC156" i="1"/>
  <c r="AF156" i="1" s="1"/>
  <c r="AB156" i="1"/>
  <c r="AA156" i="1"/>
  <c r="Z156" i="1"/>
  <c r="AE156" i="1" s="1"/>
  <c r="Y156" i="1"/>
  <c r="X156" i="1"/>
  <c r="W156" i="1"/>
  <c r="V156" i="1"/>
  <c r="U156" i="1"/>
  <c r="T156" i="1"/>
  <c r="Q156" i="1"/>
  <c r="P156" i="1"/>
  <c r="O156" i="1"/>
  <c r="N156" i="1"/>
  <c r="M156" i="1"/>
  <c r="L156" i="1"/>
  <c r="J156" i="1"/>
  <c r="I156" i="1"/>
  <c r="F156" i="1"/>
  <c r="E156" i="1"/>
  <c r="C156" i="1"/>
  <c r="CD155" i="1"/>
  <c r="CA155" i="1"/>
  <c r="BM155" i="1"/>
  <c r="BJ155" i="1"/>
  <c r="BE155" i="1"/>
  <c r="BD155" i="1"/>
  <c r="BY155" i="1" s="1"/>
  <c r="BC155" i="1"/>
  <c r="AZ155" i="1"/>
  <c r="AX155" i="1"/>
  <c r="AW155" i="1"/>
  <c r="AV155" i="1"/>
  <c r="BB155" i="1" s="1"/>
  <c r="AT155" i="1"/>
  <c r="AS155" i="1"/>
  <c r="AQ155" i="1"/>
  <c r="AP155" i="1"/>
  <c r="AO155" i="1"/>
  <c r="AN155" i="1"/>
  <c r="AM155" i="1"/>
  <c r="AL155" i="1"/>
  <c r="AJ155" i="1" s="1"/>
  <c r="AK155" i="1" s="1"/>
  <c r="AI155" i="1"/>
  <c r="AH155" i="1"/>
  <c r="AG155" i="1"/>
  <c r="AU155" i="1" s="1"/>
  <c r="AD155" i="1"/>
  <c r="AC155" i="1"/>
  <c r="AF155" i="1" s="1"/>
  <c r="AB155" i="1"/>
  <c r="AA155" i="1"/>
  <c r="Z155" i="1"/>
  <c r="AE155" i="1" s="1"/>
  <c r="Y155" i="1"/>
  <c r="X155" i="1"/>
  <c r="W155" i="1"/>
  <c r="V155" i="1"/>
  <c r="U155" i="1"/>
  <c r="T155" i="1"/>
  <c r="Q155" i="1"/>
  <c r="P155" i="1"/>
  <c r="O155" i="1"/>
  <c r="N155" i="1"/>
  <c r="M155" i="1"/>
  <c r="L155" i="1"/>
  <c r="J155" i="1"/>
  <c r="I155" i="1"/>
  <c r="F155" i="1"/>
  <c r="E155" i="1"/>
  <c r="C155" i="1"/>
  <c r="CD154" i="1"/>
  <c r="CA154" i="1"/>
  <c r="BM154" i="1"/>
  <c r="BJ154" i="1"/>
  <c r="BE154" i="1"/>
  <c r="BD154" i="1"/>
  <c r="BY154" i="1" s="1"/>
  <c r="BC154" i="1"/>
  <c r="BA154" i="1"/>
  <c r="AZ154" i="1"/>
  <c r="AX154" i="1"/>
  <c r="AW154" i="1"/>
  <c r="AV154" i="1"/>
  <c r="BB154" i="1" s="1"/>
  <c r="AT154" i="1"/>
  <c r="AS154" i="1"/>
  <c r="AQ154" i="1"/>
  <c r="AP154" i="1"/>
  <c r="AN154" i="1"/>
  <c r="AM154" i="1"/>
  <c r="AL154" i="1"/>
  <c r="AJ154" i="1"/>
  <c r="AI154" i="1"/>
  <c r="AO154" i="1" s="1"/>
  <c r="AH154" i="1"/>
  <c r="AG154" i="1"/>
  <c r="AD154" i="1"/>
  <c r="AC154" i="1"/>
  <c r="AF154" i="1" s="1"/>
  <c r="AB154" i="1"/>
  <c r="AA154" i="1"/>
  <c r="Z154" i="1"/>
  <c r="AE154" i="1" s="1"/>
  <c r="Y154" i="1"/>
  <c r="X154" i="1"/>
  <c r="W154" i="1"/>
  <c r="V154" i="1"/>
  <c r="T154" i="1"/>
  <c r="U154" i="1" s="1"/>
  <c r="Q154" i="1"/>
  <c r="P154" i="1"/>
  <c r="N154" i="1"/>
  <c r="M154" i="1"/>
  <c r="L154" i="1"/>
  <c r="J154" i="1"/>
  <c r="I154" i="1"/>
  <c r="E154" i="1"/>
  <c r="C154" i="1"/>
  <c r="CA153" i="1"/>
  <c r="BY153" i="1"/>
  <c r="BU153" i="1"/>
  <c r="BM153" i="1"/>
  <c r="BJ153" i="1"/>
  <c r="BI153" i="1" s="1"/>
  <c r="BF153" i="1" s="1"/>
  <c r="BE153" i="1"/>
  <c r="BD153" i="1"/>
  <c r="BC153" i="1"/>
  <c r="BB153" i="1"/>
  <c r="BA153" i="1"/>
  <c r="AZ153" i="1"/>
  <c r="AX153" i="1"/>
  <c r="AW153" i="1"/>
  <c r="AV153" i="1"/>
  <c r="BO153" i="1" s="1"/>
  <c r="AU153" i="1"/>
  <c r="AS153" i="1"/>
  <c r="AQ153" i="1"/>
  <c r="AP153" i="1"/>
  <c r="AT153" i="1" s="1"/>
  <c r="AN153" i="1"/>
  <c r="AM153" i="1"/>
  <c r="AL153" i="1"/>
  <c r="AJ153" i="1" s="1"/>
  <c r="AI153" i="1"/>
  <c r="AH153" i="1"/>
  <c r="AG153" i="1"/>
  <c r="AF153" i="1"/>
  <c r="AD153" i="1"/>
  <c r="AC153" i="1"/>
  <c r="AB153" i="1"/>
  <c r="AA153" i="1"/>
  <c r="Z153" i="1"/>
  <c r="AE153" i="1" s="1"/>
  <c r="Y153" i="1"/>
  <c r="X153" i="1"/>
  <c r="CD153" i="1" s="1"/>
  <c r="W153" i="1"/>
  <c r="V153" i="1"/>
  <c r="T153" i="1"/>
  <c r="U153" i="1" s="1"/>
  <c r="Q153" i="1"/>
  <c r="P153" i="1"/>
  <c r="O153" i="1"/>
  <c r="N153" i="1"/>
  <c r="M153" i="1"/>
  <c r="L153" i="1"/>
  <c r="J153" i="1"/>
  <c r="I153" i="1"/>
  <c r="F153" i="1"/>
  <c r="E153" i="1"/>
  <c r="C153" i="1"/>
  <c r="CA152" i="1"/>
  <c r="BM152" i="1"/>
  <c r="BE152" i="1"/>
  <c r="BD152" i="1"/>
  <c r="BC152" i="1"/>
  <c r="AZ152" i="1"/>
  <c r="AY152" i="1"/>
  <c r="AX152" i="1"/>
  <c r="BA152" i="1" s="1"/>
  <c r="AW152" i="1"/>
  <c r="AV152" i="1"/>
  <c r="BB152" i="1" s="1"/>
  <c r="AU152" i="1"/>
  <c r="AS152" i="1"/>
  <c r="AQ152" i="1"/>
  <c r="AP152" i="1"/>
  <c r="AT152" i="1" s="1"/>
  <c r="AO152" i="1"/>
  <c r="AN152" i="1"/>
  <c r="AM152" i="1" s="1"/>
  <c r="AL152" i="1"/>
  <c r="AJ152" i="1"/>
  <c r="S152" i="1" s="1"/>
  <c r="BG152" i="1" s="1"/>
  <c r="BW152" i="1" s="1"/>
  <c r="AI152" i="1"/>
  <c r="AH152" i="1"/>
  <c r="AG152" i="1"/>
  <c r="AD152" i="1"/>
  <c r="AB152" i="1"/>
  <c r="AA152" i="1"/>
  <c r="Y152" i="1"/>
  <c r="Z152" i="1" s="1"/>
  <c r="AE152" i="1" s="1"/>
  <c r="BH152" i="1" s="1"/>
  <c r="BP152" i="1" s="1"/>
  <c r="X152" i="1"/>
  <c r="CD152" i="1" s="1"/>
  <c r="R152" i="1"/>
  <c r="P152" i="1"/>
  <c r="O152" i="1"/>
  <c r="N152" i="1"/>
  <c r="M152" i="1"/>
  <c r="L152" i="1"/>
  <c r="J152" i="1"/>
  <c r="I152" i="1"/>
  <c r="F152" i="1"/>
  <c r="E152" i="1"/>
  <c r="C152" i="1"/>
  <c r="CD151" i="1"/>
  <c r="CA151" i="1"/>
  <c r="BY151" i="1"/>
  <c r="BM151" i="1"/>
  <c r="BE151" i="1"/>
  <c r="BD151" i="1"/>
  <c r="BU151" i="1" s="1"/>
  <c r="BC151" i="1"/>
  <c r="AZ151" i="1"/>
  <c r="AX151" i="1"/>
  <c r="BA151" i="1" s="1"/>
  <c r="AW151" i="1"/>
  <c r="AV151" i="1"/>
  <c r="AS151" i="1"/>
  <c r="AQ151" i="1"/>
  <c r="AP151" i="1"/>
  <c r="AN151" i="1"/>
  <c r="AM151" i="1"/>
  <c r="AL151" i="1"/>
  <c r="AJ151" i="1" s="1"/>
  <c r="S151" i="1" s="1"/>
  <c r="BG151" i="1" s="1"/>
  <c r="AH151" i="1"/>
  <c r="AG151" i="1"/>
  <c r="AU151" i="1" s="1"/>
  <c r="AD151" i="1"/>
  <c r="AB151" i="1"/>
  <c r="AA151" i="1"/>
  <c r="Y151" i="1"/>
  <c r="X151" i="1"/>
  <c r="Z151" i="1" s="1"/>
  <c r="AE151" i="1" s="1"/>
  <c r="V151" i="1"/>
  <c r="T151" i="1"/>
  <c r="U151" i="1" s="1"/>
  <c r="Q151" i="1"/>
  <c r="P151" i="1"/>
  <c r="O151" i="1"/>
  <c r="N151" i="1"/>
  <c r="M151" i="1"/>
  <c r="L151" i="1"/>
  <c r="J151" i="1"/>
  <c r="I151" i="1"/>
  <c r="F151" i="1"/>
  <c r="E151" i="1"/>
  <c r="C151" i="1"/>
  <c r="CA150" i="1"/>
  <c r="BY150" i="1"/>
  <c r="BU150" i="1"/>
  <c r="BM150" i="1"/>
  <c r="BE150" i="1"/>
  <c r="BD150" i="1"/>
  <c r="BC150" i="1"/>
  <c r="BA150" i="1"/>
  <c r="AZ150" i="1"/>
  <c r="AX150" i="1"/>
  <c r="AY150" i="1" s="1"/>
  <c r="AW150" i="1"/>
  <c r="AV150" i="1"/>
  <c r="BB150" i="1" s="1"/>
  <c r="AS150" i="1"/>
  <c r="AQ150" i="1"/>
  <c r="AP150" i="1"/>
  <c r="AT150" i="1" s="1"/>
  <c r="AN150" i="1"/>
  <c r="AM150" i="1"/>
  <c r="AL150" i="1"/>
  <c r="AJ150" i="1"/>
  <c r="AH150" i="1"/>
  <c r="AG150" i="1" s="1"/>
  <c r="AD150" i="1"/>
  <c r="AA150" i="1"/>
  <c r="Y150" i="1"/>
  <c r="X150" i="1"/>
  <c r="AB150" i="1" s="1"/>
  <c r="W150" i="1"/>
  <c r="T150" i="1"/>
  <c r="U150" i="1" s="1"/>
  <c r="P150" i="1"/>
  <c r="O150" i="1"/>
  <c r="N150" i="1"/>
  <c r="M150" i="1"/>
  <c r="L150" i="1"/>
  <c r="J150" i="1"/>
  <c r="I150" i="1"/>
  <c r="F150" i="1"/>
  <c r="E150" i="1"/>
  <c r="C150" i="1"/>
  <c r="CA149" i="1"/>
  <c r="BY149" i="1"/>
  <c r="BU149" i="1"/>
  <c r="BM149" i="1"/>
  <c r="BE149" i="1"/>
  <c r="BD149" i="1"/>
  <c r="BC149" i="1"/>
  <c r="BB149" i="1"/>
  <c r="BA149" i="1"/>
  <c r="AZ149" i="1"/>
  <c r="AY149" i="1"/>
  <c r="AX149" i="1"/>
  <c r="AW149" i="1"/>
  <c r="AV149" i="1"/>
  <c r="AU149" i="1"/>
  <c r="AS149" i="1"/>
  <c r="AQ149" i="1"/>
  <c r="AP149" i="1"/>
  <c r="AT149" i="1" s="1"/>
  <c r="AN149" i="1"/>
  <c r="AM149" i="1" s="1"/>
  <c r="AL149" i="1"/>
  <c r="AJ149" i="1" s="1"/>
  <c r="S149" i="1" s="1"/>
  <c r="BG149" i="1" s="1"/>
  <c r="AI149" i="1"/>
  <c r="R149" i="1" s="1"/>
  <c r="AH149" i="1"/>
  <c r="AG149" i="1"/>
  <c r="AD149" i="1"/>
  <c r="AA149" i="1"/>
  <c r="Z149" i="1"/>
  <c r="AE149" i="1" s="1"/>
  <c r="Y149" i="1"/>
  <c r="X149" i="1"/>
  <c r="CD149" i="1" s="1"/>
  <c r="W149" i="1"/>
  <c r="V149" i="1"/>
  <c r="P149" i="1"/>
  <c r="BJ149" i="1" s="1"/>
  <c r="O149" i="1"/>
  <c r="N149" i="1"/>
  <c r="M149" i="1"/>
  <c r="L149" i="1"/>
  <c r="J149" i="1"/>
  <c r="I149" i="1"/>
  <c r="F149" i="1"/>
  <c r="E149" i="1"/>
  <c r="C149" i="1"/>
  <c r="CD148" i="1"/>
  <c r="CA148" i="1"/>
  <c r="BY148" i="1"/>
  <c r="BM148" i="1"/>
  <c r="BE148" i="1"/>
  <c r="BD148" i="1"/>
  <c r="BU148" i="1" s="1"/>
  <c r="BC148" i="1"/>
  <c r="BB148" i="1"/>
  <c r="BA148" i="1"/>
  <c r="AZ148" i="1"/>
  <c r="AY148" i="1"/>
  <c r="AX148" i="1"/>
  <c r="AW148" i="1"/>
  <c r="AV148" i="1"/>
  <c r="AS148" i="1"/>
  <c r="AQ148" i="1"/>
  <c r="AP148" i="1"/>
  <c r="AT148" i="1" s="1"/>
  <c r="AN148" i="1"/>
  <c r="AM148" i="1" s="1"/>
  <c r="AL148" i="1"/>
  <c r="AJ148" i="1" s="1"/>
  <c r="S148" i="1" s="1"/>
  <c r="BG148" i="1" s="1"/>
  <c r="AH148" i="1"/>
  <c r="AG148" i="1"/>
  <c r="AF148" i="1"/>
  <c r="AD148" i="1"/>
  <c r="AC148" i="1"/>
  <c r="AA148" i="1"/>
  <c r="Z148" i="1"/>
  <c r="AE148" i="1" s="1"/>
  <c r="Y148" i="1"/>
  <c r="X148" i="1"/>
  <c r="AB148" i="1" s="1"/>
  <c r="W148" i="1"/>
  <c r="V148" i="1"/>
  <c r="P148" i="1"/>
  <c r="BO148" i="1" s="1"/>
  <c r="O148" i="1"/>
  <c r="N148" i="1"/>
  <c r="M148" i="1"/>
  <c r="L148" i="1"/>
  <c r="J148" i="1"/>
  <c r="I148" i="1"/>
  <c r="E148" i="1"/>
  <c r="C148" i="1"/>
  <c r="CA147" i="1"/>
  <c r="BM147" i="1"/>
  <c r="BJ147" i="1"/>
  <c r="BE147" i="1"/>
  <c r="BD147" i="1"/>
  <c r="BU147" i="1" s="1"/>
  <c r="BC147" i="1"/>
  <c r="BB147" i="1"/>
  <c r="AZ147" i="1"/>
  <c r="AX147" i="1"/>
  <c r="BA147" i="1" s="1"/>
  <c r="AW147" i="1"/>
  <c r="AV147" i="1"/>
  <c r="AS147" i="1"/>
  <c r="AQ147" i="1"/>
  <c r="AP147" i="1"/>
  <c r="AI147" i="1" s="1"/>
  <c r="AK147" i="1" s="1"/>
  <c r="AO147" i="1"/>
  <c r="AN147" i="1"/>
  <c r="AM147" i="1"/>
  <c r="AL147" i="1"/>
  <c r="AJ147" i="1" s="1"/>
  <c r="AH147" i="1"/>
  <c r="AD147" i="1"/>
  <c r="AC147" i="1"/>
  <c r="AA147" i="1"/>
  <c r="Y147" i="1"/>
  <c r="AB147" i="1" s="1"/>
  <c r="X147" i="1"/>
  <c r="W147" i="1"/>
  <c r="V147" i="1"/>
  <c r="U147" i="1"/>
  <c r="T147" i="1"/>
  <c r="R147" i="1"/>
  <c r="Q147" i="1"/>
  <c r="P147" i="1"/>
  <c r="O147" i="1"/>
  <c r="N147" i="1"/>
  <c r="M147" i="1"/>
  <c r="L147" i="1"/>
  <c r="J147" i="1"/>
  <c r="I147" i="1"/>
  <c r="F147" i="1"/>
  <c r="E147" i="1"/>
  <c r="C147" i="1"/>
  <c r="CA146" i="1"/>
  <c r="BM146" i="1"/>
  <c r="BJ146" i="1"/>
  <c r="BE146" i="1"/>
  <c r="BD146" i="1"/>
  <c r="BU146" i="1" s="1"/>
  <c r="BC146" i="1"/>
  <c r="BB146" i="1"/>
  <c r="AZ146" i="1"/>
  <c r="AX146" i="1"/>
  <c r="BA146" i="1" s="1"/>
  <c r="AW146" i="1"/>
  <c r="AV146" i="1"/>
  <c r="AT146" i="1"/>
  <c r="AS146" i="1"/>
  <c r="AQ146" i="1"/>
  <c r="AP146" i="1"/>
  <c r="AI146" i="1" s="1"/>
  <c r="AO146" i="1" s="1"/>
  <c r="AN146" i="1"/>
  <c r="AM146" i="1"/>
  <c r="AL146" i="1"/>
  <c r="AJ146" i="1" s="1"/>
  <c r="S146" i="1" s="1"/>
  <c r="BG146" i="1" s="1"/>
  <c r="AK146" i="1"/>
  <c r="AH146" i="1"/>
  <c r="AG146" i="1"/>
  <c r="AU146" i="1" s="1"/>
  <c r="AD146" i="1"/>
  <c r="AC146" i="1"/>
  <c r="AA146" i="1"/>
  <c r="Z146" i="1"/>
  <c r="AE146" i="1" s="1"/>
  <c r="Y146" i="1"/>
  <c r="X146" i="1"/>
  <c r="V146" i="1"/>
  <c r="U146" i="1"/>
  <c r="T146" i="1"/>
  <c r="Q146" i="1"/>
  <c r="P146" i="1"/>
  <c r="N146" i="1"/>
  <c r="M146" i="1"/>
  <c r="L146" i="1"/>
  <c r="J146" i="1"/>
  <c r="I146" i="1"/>
  <c r="F146" i="1"/>
  <c r="E146" i="1"/>
  <c r="C146" i="1"/>
  <c r="CA145" i="1"/>
  <c r="BY145" i="1"/>
  <c r="BM145" i="1"/>
  <c r="BE145" i="1"/>
  <c r="BD145" i="1"/>
  <c r="BU145" i="1" s="1"/>
  <c r="BC145" i="1"/>
  <c r="BB145" i="1"/>
  <c r="AZ145" i="1"/>
  <c r="AX145" i="1"/>
  <c r="AY145" i="1" s="1"/>
  <c r="AW145" i="1"/>
  <c r="AV145" i="1"/>
  <c r="AS145" i="1"/>
  <c r="AQ145" i="1"/>
  <c r="AP145" i="1"/>
  <c r="AT145" i="1" s="1"/>
  <c r="AN145" i="1"/>
  <c r="AM145" i="1" s="1"/>
  <c r="AL145" i="1"/>
  <c r="AJ145" i="1"/>
  <c r="AH145" i="1"/>
  <c r="AG145" i="1"/>
  <c r="AU145" i="1" s="1"/>
  <c r="AD145" i="1"/>
  <c r="AA145" i="1"/>
  <c r="Y145" i="1"/>
  <c r="X145" i="1"/>
  <c r="AB145" i="1" s="1"/>
  <c r="W145" i="1"/>
  <c r="T145" i="1"/>
  <c r="U145" i="1" s="1"/>
  <c r="Q145" i="1"/>
  <c r="P145" i="1"/>
  <c r="O145" i="1"/>
  <c r="N145" i="1"/>
  <c r="M145" i="1"/>
  <c r="L145" i="1"/>
  <c r="J145" i="1"/>
  <c r="I145" i="1"/>
  <c r="F145" i="1"/>
  <c r="E145" i="1"/>
  <c r="C145" i="1"/>
  <c r="CA144" i="1"/>
  <c r="BY144" i="1"/>
  <c r="BM144" i="1"/>
  <c r="BE144" i="1"/>
  <c r="BD144" i="1"/>
  <c r="BU144" i="1" s="1"/>
  <c r="BC144" i="1"/>
  <c r="AZ144" i="1"/>
  <c r="AX144" i="1"/>
  <c r="BA144" i="1" s="1"/>
  <c r="AW144" i="1"/>
  <c r="AV144" i="1"/>
  <c r="BB144" i="1" s="1"/>
  <c r="AT144" i="1"/>
  <c r="AS144" i="1"/>
  <c r="AQ144" i="1"/>
  <c r="AP144" i="1"/>
  <c r="AO144" i="1"/>
  <c r="AN144" i="1"/>
  <c r="AM144" i="1"/>
  <c r="AL144" i="1"/>
  <c r="AJ144" i="1"/>
  <c r="AI144" i="1"/>
  <c r="AH144" i="1"/>
  <c r="AG144" i="1"/>
  <c r="AU144" i="1" s="1"/>
  <c r="AD144" i="1"/>
  <c r="AA144" i="1"/>
  <c r="Y144" i="1"/>
  <c r="X144" i="1"/>
  <c r="Q144" i="1"/>
  <c r="P144" i="1"/>
  <c r="O144" i="1"/>
  <c r="N144" i="1"/>
  <c r="M144" i="1"/>
  <c r="L144" i="1"/>
  <c r="J144" i="1"/>
  <c r="I144" i="1"/>
  <c r="E144" i="1"/>
  <c r="C144" i="1"/>
  <c r="CD143" i="1"/>
  <c r="CA143" i="1"/>
  <c r="BM143" i="1"/>
  <c r="BE143" i="1"/>
  <c r="BD143" i="1"/>
  <c r="BY143" i="1" s="1"/>
  <c r="BC143" i="1"/>
  <c r="BA143" i="1"/>
  <c r="AZ143" i="1"/>
  <c r="AY143" i="1"/>
  <c r="AX143" i="1"/>
  <c r="AW143" i="1"/>
  <c r="AV143" i="1"/>
  <c r="BB143" i="1" s="1"/>
  <c r="AU143" i="1"/>
  <c r="AS143" i="1"/>
  <c r="AQ143" i="1"/>
  <c r="AP143" i="1"/>
  <c r="AT143" i="1" s="1"/>
  <c r="AN143" i="1"/>
  <c r="AM143" i="1"/>
  <c r="AL143" i="1"/>
  <c r="AJ143" i="1" s="1"/>
  <c r="AI143" i="1"/>
  <c r="AH143" i="1"/>
  <c r="AG143" i="1"/>
  <c r="AF143" i="1"/>
  <c r="AD143" i="1"/>
  <c r="AC143" i="1"/>
  <c r="AA143" i="1"/>
  <c r="Z143" i="1"/>
  <c r="AE143" i="1" s="1"/>
  <c r="BH143" i="1" s="1"/>
  <c r="BP143" i="1" s="1"/>
  <c r="Y143" i="1"/>
  <c r="X143" i="1"/>
  <c r="AB143" i="1" s="1"/>
  <c r="W143" i="1"/>
  <c r="S143" i="1"/>
  <c r="BG143" i="1" s="1"/>
  <c r="R143" i="1"/>
  <c r="P143" i="1"/>
  <c r="V143" i="1" s="1"/>
  <c r="N143" i="1"/>
  <c r="M143" i="1"/>
  <c r="L143" i="1"/>
  <c r="J143" i="1"/>
  <c r="I143" i="1"/>
  <c r="E143" i="1"/>
  <c r="C143" i="1"/>
  <c r="CA142" i="1"/>
  <c r="BM142" i="1"/>
  <c r="BE142" i="1"/>
  <c r="BD142" i="1"/>
  <c r="BY142" i="1" s="1"/>
  <c r="BC142" i="1"/>
  <c r="BB142" i="1"/>
  <c r="BA142" i="1"/>
  <c r="AZ142" i="1"/>
  <c r="AX142" i="1"/>
  <c r="AY142" i="1" s="1"/>
  <c r="AW142" i="1"/>
  <c r="AV142" i="1"/>
  <c r="AU142" i="1"/>
  <c r="AT142" i="1"/>
  <c r="AS142" i="1"/>
  <c r="AQ142" i="1"/>
  <c r="AP142" i="1"/>
  <c r="AO142" i="1"/>
  <c r="AN142" i="1"/>
  <c r="AM142" i="1" s="1"/>
  <c r="AL142" i="1"/>
  <c r="AJ142" i="1" s="1"/>
  <c r="AI142" i="1"/>
  <c r="AH142" i="1"/>
  <c r="AG142" i="1"/>
  <c r="AD142" i="1"/>
  <c r="AC142" i="1"/>
  <c r="W142" i="1" s="1"/>
  <c r="AB142" i="1"/>
  <c r="AA142" i="1"/>
  <c r="Y142" i="1"/>
  <c r="X142" i="1"/>
  <c r="Z142" i="1" s="1"/>
  <c r="AE142" i="1" s="1"/>
  <c r="Q142" i="1"/>
  <c r="P142" i="1"/>
  <c r="BO142" i="1" s="1"/>
  <c r="N142" i="1"/>
  <c r="M142" i="1"/>
  <c r="L142" i="1"/>
  <c r="J142" i="1"/>
  <c r="I142" i="1"/>
  <c r="E142" i="1"/>
  <c r="C142" i="1"/>
  <c r="CA141" i="1"/>
  <c r="BU141" i="1"/>
  <c r="BM141" i="1"/>
  <c r="BE141" i="1"/>
  <c r="BD141" i="1"/>
  <c r="BY141" i="1" s="1"/>
  <c r="BB141" i="1"/>
  <c r="AZ141" i="1"/>
  <c r="AY141" i="1"/>
  <c r="AX141" i="1"/>
  <c r="BA141" i="1" s="1"/>
  <c r="AW141" i="1"/>
  <c r="AV141" i="1"/>
  <c r="AS141" i="1"/>
  <c r="AQ141" i="1"/>
  <c r="AP141" i="1"/>
  <c r="AT141" i="1" s="1"/>
  <c r="AN141" i="1"/>
  <c r="AM141" i="1" s="1"/>
  <c r="AL141" i="1"/>
  <c r="AJ141" i="1" s="1"/>
  <c r="AH141" i="1"/>
  <c r="AG141" i="1"/>
  <c r="AE141" i="1"/>
  <c r="AD141" i="1"/>
  <c r="AC141" i="1"/>
  <c r="AF141" i="1" s="1"/>
  <c r="AA141" i="1"/>
  <c r="Y141" i="1"/>
  <c r="CD141" i="1" s="1"/>
  <c r="X141" i="1"/>
  <c r="V141" i="1"/>
  <c r="P141" i="1"/>
  <c r="BJ141" i="1" s="1"/>
  <c r="O141" i="1"/>
  <c r="N141" i="1"/>
  <c r="M141" i="1"/>
  <c r="L141" i="1"/>
  <c r="J141" i="1"/>
  <c r="I141" i="1"/>
  <c r="E141" i="1"/>
  <c r="C141" i="1"/>
  <c r="CA140" i="1"/>
  <c r="BM140" i="1"/>
  <c r="BE140" i="1"/>
  <c r="BD140" i="1"/>
  <c r="BU140" i="1" s="1"/>
  <c r="BC140" i="1"/>
  <c r="BB140" i="1"/>
  <c r="BA140" i="1"/>
  <c r="AZ140" i="1"/>
  <c r="AX140" i="1"/>
  <c r="AW140" i="1"/>
  <c r="AV140" i="1"/>
  <c r="AY140" i="1" s="1"/>
  <c r="AU140" i="1"/>
  <c r="AT140" i="1"/>
  <c r="AS140" i="1"/>
  <c r="AQ140" i="1"/>
  <c r="S140" i="1" s="1"/>
  <c r="BG140" i="1" s="1"/>
  <c r="AP140" i="1"/>
  <c r="AN140" i="1"/>
  <c r="AM140" i="1" s="1"/>
  <c r="AL140" i="1"/>
  <c r="AJ140" i="1" s="1"/>
  <c r="AI140" i="1"/>
  <c r="AO140" i="1" s="1"/>
  <c r="AH140" i="1"/>
  <c r="AG140" i="1"/>
  <c r="AD140" i="1"/>
  <c r="AC140" i="1"/>
  <c r="AF140" i="1" s="1"/>
  <c r="AA140" i="1"/>
  <c r="Z140" i="1"/>
  <c r="AE140" i="1" s="1"/>
  <c r="BH140" i="1" s="1"/>
  <c r="BP140" i="1" s="1"/>
  <c r="Y140" i="1"/>
  <c r="X140" i="1"/>
  <c r="AB140" i="1" s="1"/>
  <c r="W140" i="1"/>
  <c r="P140" i="1"/>
  <c r="BJ140" i="1" s="1"/>
  <c r="O140" i="1"/>
  <c r="N140" i="1"/>
  <c r="M140" i="1"/>
  <c r="L140" i="1"/>
  <c r="J140" i="1"/>
  <c r="I140" i="1"/>
  <c r="F140" i="1"/>
  <c r="E140" i="1"/>
  <c r="C140" i="1"/>
  <c r="CD139" i="1"/>
  <c r="CA139" i="1"/>
  <c r="BY139" i="1"/>
  <c r="BM139" i="1"/>
  <c r="BJ139" i="1"/>
  <c r="BE139" i="1"/>
  <c r="BD139" i="1"/>
  <c r="BU139" i="1" s="1"/>
  <c r="BC139" i="1"/>
  <c r="BA139" i="1"/>
  <c r="AZ139" i="1"/>
  <c r="AY139" i="1"/>
  <c r="AX139" i="1"/>
  <c r="AW139" i="1"/>
  <c r="AV139" i="1"/>
  <c r="BB139" i="1" s="1"/>
  <c r="AU139" i="1"/>
  <c r="AS139" i="1"/>
  <c r="AQ139" i="1"/>
  <c r="AP139" i="1"/>
  <c r="AT139" i="1" s="1"/>
  <c r="AN139" i="1"/>
  <c r="AM139" i="1"/>
  <c r="AL139" i="1"/>
  <c r="AJ139" i="1" s="1"/>
  <c r="AH139" i="1"/>
  <c r="AG139" i="1"/>
  <c r="AF139" i="1"/>
  <c r="AD139" i="1"/>
  <c r="S139" i="1" s="1"/>
  <c r="BG139" i="1" s="1"/>
  <c r="AC139" i="1"/>
  <c r="AA139" i="1"/>
  <c r="Y139" i="1"/>
  <c r="X139" i="1"/>
  <c r="AB139" i="1" s="1"/>
  <c r="W139" i="1"/>
  <c r="V139" i="1"/>
  <c r="P139" i="1"/>
  <c r="O139" i="1"/>
  <c r="N139" i="1"/>
  <c r="M139" i="1"/>
  <c r="L139" i="1"/>
  <c r="J139" i="1"/>
  <c r="I139" i="1"/>
  <c r="E139" i="1"/>
  <c r="C139" i="1"/>
  <c r="CA138" i="1"/>
  <c r="BM138" i="1"/>
  <c r="BJ138" i="1"/>
  <c r="BE138" i="1"/>
  <c r="BD138" i="1"/>
  <c r="BY138" i="1" s="1"/>
  <c r="BC138" i="1"/>
  <c r="BA138" i="1"/>
  <c r="AZ138" i="1"/>
  <c r="AX138" i="1"/>
  <c r="AW138" i="1"/>
  <c r="AV138" i="1"/>
  <c r="BB138" i="1" s="1"/>
  <c r="AU138" i="1"/>
  <c r="AS138" i="1"/>
  <c r="AQ138" i="1"/>
  <c r="AP138" i="1"/>
  <c r="AT138" i="1" s="1"/>
  <c r="AN138" i="1"/>
  <c r="AM138" i="1"/>
  <c r="AL138" i="1"/>
  <c r="AJ138" i="1" s="1"/>
  <c r="S138" i="1" s="1"/>
  <c r="BG138" i="1" s="1"/>
  <c r="AH138" i="1"/>
  <c r="AG138" i="1"/>
  <c r="AD138" i="1"/>
  <c r="AC138" i="1"/>
  <c r="AF138" i="1" s="1"/>
  <c r="AA138" i="1"/>
  <c r="Y138" i="1"/>
  <c r="AB138" i="1" s="1"/>
  <c r="X138" i="1"/>
  <c r="W138" i="1"/>
  <c r="V138" i="1"/>
  <c r="U138" i="1"/>
  <c r="T138" i="1"/>
  <c r="Q138" i="1"/>
  <c r="P138" i="1"/>
  <c r="O138" i="1"/>
  <c r="N138" i="1"/>
  <c r="M138" i="1"/>
  <c r="L138" i="1"/>
  <c r="J138" i="1"/>
  <c r="I138" i="1"/>
  <c r="F138" i="1"/>
  <c r="E138" i="1"/>
  <c r="C138" i="1"/>
  <c r="CA137" i="1"/>
  <c r="BY137" i="1"/>
  <c r="BM137" i="1"/>
  <c r="BJ137" i="1"/>
  <c r="BE137" i="1"/>
  <c r="BD137" i="1"/>
  <c r="BU137" i="1" s="1"/>
  <c r="BC137" i="1"/>
  <c r="BB137" i="1"/>
  <c r="BA137" i="1"/>
  <c r="AZ137" i="1"/>
  <c r="AY137" i="1"/>
  <c r="AX137" i="1"/>
  <c r="AW137" i="1"/>
  <c r="AV137" i="1"/>
  <c r="AU137" i="1"/>
  <c r="AS137" i="1"/>
  <c r="AQ137" i="1"/>
  <c r="AP137" i="1"/>
  <c r="AT137" i="1" s="1"/>
  <c r="AN137" i="1"/>
  <c r="AM137" i="1"/>
  <c r="AL137" i="1"/>
  <c r="AJ137" i="1"/>
  <c r="AI137" i="1"/>
  <c r="AK137" i="1" s="1"/>
  <c r="AH137" i="1"/>
  <c r="AG137" i="1"/>
  <c r="AD137" i="1"/>
  <c r="AC137" i="1"/>
  <c r="AF137" i="1" s="1"/>
  <c r="AA137" i="1"/>
  <c r="Z137" i="1"/>
  <c r="AE137" i="1" s="1"/>
  <c r="BH137" i="1" s="1"/>
  <c r="BP137" i="1" s="1"/>
  <c r="Y137" i="1"/>
  <c r="CD137" i="1" s="1"/>
  <c r="X137" i="1"/>
  <c r="W137" i="1"/>
  <c r="V137" i="1"/>
  <c r="U137" i="1"/>
  <c r="T137" i="1"/>
  <c r="S137" i="1"/>
  <c r="BG137" i="1" s="1"/>
  <c r="R137" i="1"/>
  <c r="Q137" i="1"/>
  <c r="P137" i="1"/>
  <c r="O137" i="1"/>
  <c r="N137" i="1"/>
  <c r="M137" i="1"/>
  <c r="L137" i="1"/>
  <c r="J137" i="1"/>
  <c r="I137" i="1"/>
  <c r="F137" i="1"/>
  <c r="E137" i="1"/>
  <c r="C137" i="1"/>
  <c r="CA136" i="1"/>
  <c r="BY136" i="1"/>
  <c r="BM136" i="1"/>
  <c r="BJ136" i="1"/>
  <c r="BE136" i="1"/>
  <c r="BD136" i="1"/>
  <c r="BU136" i="1" s="1"/>
  <c r="BC136" i="1"/>
  <c r="BB136" i="1"/>
  <c r="AZ136" i="1"/>
  <c r="AY136" i="1"/>
  <c r="AX136" i="1"/>
  <c r="BA136" i="1" s="1"/>
  <c r="AW136" i="1"/>
  <c r="AV136" i="1"/>
  <c r="AS136" i="1"/>
  <c r="AQ136" i="1"/>
  <c r="AP136" i="1"/>
  <c r="AT136" i="1" s="1"/>
  <c r="AN136" i="1"/>
  <c r="AM136" i="1"/>
  <c r="AL136" i="1"/>
  <c r="AJ136" i="1" s="1"/>
  <c r="S136" i="1" s="1"/>
  <c r="BG136" i="1" s="1"/>
  <c r="AI136" i="1"/>
  <c r="AO136" i="1" s="1"/>
  <c r="AH136" i="1"/>
  <c r="AG136" i="1"/>
  <c r="BO136" i="1" s="1"/>
  <c r="AD136" i="1"/>
  <c r="AC136" i="1"/>
  <c r="AF136" i="1" s="1"/>
  <c r="AA136" i="1"/>
  <c r="Z136" i="1"/>
  <c r="AE136" i="1" s="1"/>
  <c r="BH136" i="1" s="1"/>
  <c r="BP136" i="1" s="1"/>
  <c r="Y136" i="1"/>
  <c r="CD136" i="1" s="1"/>
  <c r="X136" i="1"/>
  <c r="W136" i="1"/>
  <c r="V136" i="1"/>
  <c r="U136" i="1"/>
  <c r="T136" i="1"/>
  <c r="R136" i="1"/>
  <c r="Q136" i="1"/>
  <c r="P136" i="1"/>
  <c r="O136" i="1"/>
  <c r="N136" i="1"/>
  <c r="M136" i="1"/>
  <c r="L136" i="1"/>
  <c r="J136" i="1"/>
  <c r="I136" i="1"/>
  <c r="F136" i="1"/>
  <c r="E136" i="1"/>
  <c r="C136" i="1"/>
  <c r="CA135" i="1"/>
  <c r="BM135" i="1"/>
  <c r="BJ135" i="1"/>
  <c r="BE135" i="1"/>
  <c r="BD135" i="1"/>
  <c r="BY135" i="1" s="1"/>
  <c r="BC135" i="1"/>
  <c r="AZ135" i="1"/>
  <c r="AX135" i="1"/>
  <c r="AY135" i="1" s="1"/>
  <c r="AW135" i="1"/>
  <c r="AV135" i="1"/>
  <c r="BB135" i="1" s="1"/>
  <c r="AS135" i="1"/>
  <c r="AQ135" i="1"/>
  <c r="AP135" i="1"/>
  <c r="AT135" i="1" s="1"/>
  <c r="AO135" i="1"/>
  <c r="AN135" i="1"/>
  <c r="AM135" i="1"/>
  <c r="AL135" i="1"/>
  <c r="AJ135" i="1" s="1"/>
  <c r="AI135" i="1"/>
  <c r="AK135" i="1" s="1"/>
  <c r="AH135" i="1"/>
  <c r="AG135" i="1"/>
  <c r="BO135" i="1" s="1"/>
  <c r="AE135" i="1"/>
  <c r="BH135" i="1" s="1"/>
  <c r="BP135" i="1" s="1"/>
  <c r="AD135" i="1"/>
  <c r="S135" i="1" s="1"/>
  <c r="BG135" i="1" s="1"/>
  <c r="AC135" i="1"/>
  <c r="AF135" i="1" s="1"/>
  <c r="AA135" i="1"/>
  <c r="Z135" i="1"/>
  <c r="Y135" i="1"/>
  <c r="CD135" i="1" s="1"/>
  <c r="X135" i="1"/>
  <c r="W135" i="1"/>
  <c r="V135" i="1"/>
  <c r="U135" i="1"/>
  <c r="T135" i="1"/>
  <c r="Q135" i="1"/>
  <c r="P135" i="1"/>
  <c r="O135" i="1"/>
  <c r="N135" i="1"/>
  <c r="M135" i="1"/>
  <c r="L135" i="1"/>
  <c r="J135" i="1"/>
  <c r="I135" i="1"/>
  <c r="F135" i="1"/>
  <c r="E135" i="1"/>
  <c r="C135" i="1"/>
  <c r="CD134" i="1"/>
  <c r="CA134" i="1"/>
  <c r="BM134" i="1"/>
  <c r="BJ134" i="1"/>
  <c r="BE134" i="1"/>
  <c r="BD134" i="1"/>
  <c r="BU134" i="1" s="1"/>
  <c r="BC134" i="1"/>
  <c r="BA134" i="1"/>
  <c r="AZ134" i="1"/>
  <c r="AX134" i="1"/>
  <c r="AW134" i="1"/>
  <c r="AV134" i="1"/>
  <c r="AU134" i="1"/>
  <c r="AT134" i="1"/>
  <c r="AS134" i="1"/>
  <c r="AQ134" i="1"/>
  <c r="AP134" i="1"/>
  <c r="AI134" i="1" s="1"/>
  <c r="AN134" i="1"/>
  <c r="AM134" i="1"/>
  <c r="AL134" i="1"/>
  <c r="AJ134" i="1" s="1"/>
  <c r="AH134" i="1"/>
  <c r="AG134" i="1"/>
  <c r="AD134" i="1"/>
  <c r="S134" i="1" s="1"/>
  <c r="BG134" i="1" s="1"/>
  <c r="AC134" i="1"/>
  <c r="AF134" i="1" s="1"/>
  <c r="AB134" i="1"/>
  <c r="AA134" i="1"/>
  <c r="Y134" i="1"/>
  <c r="Z134" i="1" s="1"/>
  <c r="AE134" i="1" s="1"/>
  <c r="X134" i="1"/>
  <c r="W134" i="1"/>
  <c r="V134" i="1"/>
  <c r="U134" i="1"/>
  <c r="T134" i="1"/>
  <c r="Q134" i="1"/>
  <c r="P134" i="1"/>
  <c r="O134" i="1"/>
  <c r="N134" i="1"/>
  <c r="M134" i="1"/>
  <c r="L134" i="1"/>
  <c r="J134" i="1"/>
  <c r="I134" i="1"/>
  <c r="F134" i="1"/>
  <c r="E134" i="1"/>
  <c r="C134" i="1"/>
  <c r="CD133" i="1"/>
  <c r="CA133" i="1"/>
  <c r="BY133" i="1"/>
  <c r="BM133" i="1"/>
  <c r="BJ133" i="1"/>
  <c r="BE133" i="1"/>
  <c r="BD133" i="1"/>
  <c r="BU133" i="1" s="1"/>
  <c r="BC133" i="1"/>
  <c r="BB133" i="1"/>
  <c r="BA133" i="1"/>
  <c r="AZ133" i="1"/>
  <c r="AY133" i="1"/>
  <c r="AX133" i="1"/>
  <c r="AW133" i="1"/>
  <c r="AV133" i="1"/>
  <c r="AU133" i="1"/>
  <c r="AT133" i="1"/>
  <c r="AS133" i="1"/>
  <c r="AQ133" i="1"/>
  <c r="S133" i="1" s="1"/>
  <c r="BG133" i="1" s="1"/>
  <c r="AP133" i="1"/>
  <c r="AN133" i="1"/>
  <c r="AM133" i="1"/>
  <c r="AL133" i="1"/>
  <c r="AJ133" i="1"/>
  <c r="AI133" i="1"/>
  <c r="AK133" i="1" s="1"/>
  <c r="AH133" i="1"/>
  <c r="AG133" i="1"/>
  <c r="AD133" i="1"/>
  <c r="AC133" i="1"/>
  <c r="AF133" i="1" s="1"/>
  <c r="AB133" i="1"/>
  <c r="AA133" i="1"/>
  <c r="Z133" i="1"/>
  <c r="AE133" i="1" s="1"/>
  <c r="BH133" i="1" s="1"/>
  <c r="BP133" i="1" s="1"/>
  <c r="Y133" i="1"/>
  <c r="X133" i="1"/>
  <c r="W133" i="1"/>
  <c r="V133" i="1"/>
  <c r="T133" i="1"/>
  <c r="U133" i="1" s="1"/>
  <c r="R133" i="1"/>
  <c r="Q133" i="1"/>
  <c r="P133" i="1"/>
  <c r="O133" i="1"/>
  <c r="N133" i="1"/>
  <c r="M133" i="1"/>
  <c r="L133" i="1"/>
  <c r="J133" i="1"/>
  <c r="I133" i="1"/>
  <c r="F133" i="1"/>
  <c r="E133" i="1"/>
  <c r="C133" i="1"/>
  <c r="CA132" i="1"/>
  <c r="BY132" i="1"/>
  <c r="BM132" i="1"/>
  <c r="BJ132" i="1"/>
  <c r="BE132" i="1"/>
  <c r="BD132" i="1"/>
  <c r="BU132" i="1" s="1"/>
  <c r="BC132" i="1"/>
  <c r="BB132" i="1"/>
  <c r="AZ132" i="1"/>
  <c r="AX132" i="1"/>
  <c r="BA132" i="1" s="1"/>
  <c r="AW132" i="1"/>
  <c r="AV132" i="1"/>
  <c r="AS132" i="1"/>
  <c r="AQ132" i="1"/>
  <c r="AP132" i="1"/>
  <c r="AT132" i="1" s="1"/>
  <c r="AN132" i="1"/>
  <c r="AM132" i="1"/>
  <c r="AL132" i="1"/>
  <c r="AJ132" i="1" s="1"/>
  <c r="S132" i="1" s="1"/>
  <c r="BG132" i="1" s="1"/>
  <c r="AI132" i="1"/>
  <c r="AO132" i="1" s="1"/>
  <c r="AH132" i="1"/>
  <c r="AG132" i="1"/>
  <c r="AU132" i="1" s="1"/>
  <c r="AD132" i="1"/>
  <c r="AA132" i="1"/>
  <c r="Z132" i="1"/>
  <c r="AE132" i="1" s="1"/>
  <c r="Y132" i="1"/>
  <c r="CD132" i="1" s="1"/>
  <c r="X132" i="1"/>
  <c r="W132" i="1"/>
  <c r="V132" i="1"/>
  <c r="U132" i="1"/>
  <c r="T132" i="1"/>
  <c r="R132" i="1"/>
  <c r="Q132" i="1"/>
  <c r="P132" i="1"/>
  <c r="O132" i="1"/>
  <c r="N132" i="1"/>
  <c r="M132" i="1"/>
  <c r="L132" i="1"/>
  <c r="J132" i="1"/>
  <c r="I132" i="1"/>
  <c r="F132" i="1"/>
  <c r="E132" i="1"/>
  <c r="C132" i="1"/>
  <c r="CA131" i="1"/>
  <c r="BM131" i="1"/>
  <c r="BE131" i="1"/>
  <c r="BD131" i="1"/>
  <c r="BY131" i="1" s="1"/>
  <c r="BC131" i="1"/>
  <c r="AZ131" i="1"/>
  <c r="AX131" i="1"/>
  <c r="AY131" i="1" s="1"/>
  <c r="AW131" i="1"/>
  <c r="AV131" i="1"/>
  <c r="BB131" i="1" s="1"/>
  <c r="AS131" i="1"/>
  <c r="AQ131" i="1"/>
  <c r="AP131" i="1"/>
  <c r="AT131" i="1" s="1"/>
  <c r="AO131" i="1"/>
  <c r="AN131" i="1"/>
  <c r="AM131" i="1"/>
  <c r="AL131" i="1"/>
  <c r="AJ131" i="1" s="1"/>
  <c r="AI131" i="1"/>
  <c r="AK131" i="1" s="1"/>
  <c r="AH131" i="1"/>
  <c r="AG131" i="1"/>
  <c r="BO131" i="1" s="1"/>
  <c r="AD131" i="1"/>
  <c r="S131" i="1" s="1"/>
  <c r="BG131" i="1" s="1"/>
  <c r="AB131" i="1"/>
  <c r="AA131" i="1"/>
  <c r="Y131" i="1"/>
  <c r="Z131" i="1" s="1"/>
  <c r="AE131" i="1" s="1"/>
  <c r="BH131" i="1" s="1"/>
  <c r="BP131" i="1" s="1"/>
  <c r="X131" i="1"/>
  <c r="CD131" i="1" s="1"/>
  <c r="W131" i="1"/>
  <c r="V131" i="1"/>
  <c r="U131" i="1"/>
  <c r="T131" i="1"/>
  <c r="Q131" i="1"/>
  <c r="P131" i="1"/>
  <c r="BJ131" i="1" s="1"/>
  <c r="O131" i="1"/>
  <c r="N131" i="1"/>
  <c r="M131" i="1"/>
  <c r="L131" i="1"/>
  <c r="J131" i="1"/>
  <c r="I131" i="1"/>
  <c r="F131" i="1"/>
  <c r="E131" i="1"/>
  <c r="C131" i="1"/>
  <c r="CA130" i="1"/>
  <c r="BY130" i="1"/>
  <c r="BM130" i="1"/>
  <c r="BJ130" i="1"/>
  <c r="BE130" i="1"/>
  <c r="BD130" i="1"/>
  <c r="BU130" i="1" s="1"/>
  <c r="BC130" i="1"/>
  <c r="BB130" i="1"/>
  <c r="BA130" i="1"/>
  <c r="AZ130" i="1"/>
  <c r="AY130" i="1"/>
  <c r="AX130" i="1"/>
  <c r="AW130" i="1"/>
  <c r="AV130" i="1"/>
  <c r="AT130" i="1"/>
  <c r="AS130" i="1"/>
  <c r="AQ130" i="1"/>
  <c r="AP130" i="1"/>
  <c r="AI130" i="1" s="1"/>
  <c r="AN130" i="1"/>
  <c r="AM130" i="1" s="1"/>
  <c r="AL130" i="1"/>
  <c r="AJ130" i="1" s="1"/>
  <c r="S130" i="1" s="1"/>
  <c r="BG130" i="1" s="1"/>
  <c r="AH130" i="1"/>
  <c r="AG130" i="1"/>
  <c r="AU130" i="1" s="1"/>
  <c r="AD130" i="1"/>
  <c r="AC130" i="1"/>
  <c r="AF130" i="1" s="1"/>
  <c r="AA130" i="1"/>
  <c r="Y130" i="1"/>
  <c r="X130" i="1"/>
  <c r="AB130" i="1" s="1"/>
  <c r="W130" i="1"/>
  <c r="Q130" i="1"/>
  <c r="P130" i="1"/>
  <c r="T130" i="1" s="1"/>
  <c r="U130" i="1" s="1"/>
  <c r="N130" i="1"/>
  <c r="M130" i="1"/>
  <c r="L130" i="1"/>
  <c r="J130" i="1"/>
  <c r="I130" i="1"/>
  <c r="F130" i="1"/>
  <c r="E130" i="1"/>
  <c r="C130" i="1"/>
  <c r="CA129" i="1"/>
  <c r="BY129" i="1"/>
  <c r="BU129" i="1"/>
  <c r="BM129" i="1"/>
  <c r="BJ129" i="1"/>
  <c r="BE129" i="1"/>
  <c r="BD129" i="1"/>
  <c r="BC129" i="1"/>
  <c r="BB129" i="1"/>
  <c r="AZ129" i="1"/>
  <c r="AX129" i="1"/>
  <c r="BA129" i="1" s="1"/>
  <c r="AW129" i="1"/>
  <c r="AV129" i="1"/>
  <c r="AT129" i="1"/>
  <c r="AS129" i="1"/>
  <c r="AQ129" i="1"/>
  <c r="AP129" i="1"/>
  <c r="AN129" i="1"/>
  <c r="AM129" i="1" s="1"/>
  <c r="AL129" i="1"/>
  <c r="AJ129" i="1"/>
  <c r="AI129" i="1"/>
  <c r="AH129" i="1"/>
  <c r="AF129" i="1"/>
  <c r="AD129" i="1"/>
  <c r="R129" i="1" s="1"/>
  <c r="AC129" i="1"/>
  <c r="AB129" i="1"/>
  <c r="AA129" i="1"/>
  <c r="Y129" i="1"/>
  <c r="X129" i="1"/>
  <c r="CD129" i="1" s="1"/>
  <c r="W129" i="1"/>
  <c r="T129" i="1"/>
  <c r="U129" i="1" s="1"/>
  <c r="S129" i="1"/>
  <c r="BG129" i="1" s="1"/>
  <c r="P129" i="1"/>
  <c r="O129" i="1"/>
  <c r="N129" i="1"/>
  <c r="M129" i="1"/>
  <c r="L129" i="1"/>
  <c r="J129" i="1"/>
  <c r="I129" i="1"/>
  <c r="F129" i="1"/>
  <c r="E129" i="1"/>
  <c r="C129" i="1"/>
  <c r="CA128" i="1"/>
  <c r="BY128" i="1"/>
  <c r="BM128" i="1"/>
  <c r="BE128" i="1"/>
  <c r="BD128" i="1"/>
  <c r="BU128" i="1" s="1"/>
  <c r="BC128" i="1"/>
  <c r="BB128" i="1"/>
  <c r="BA128" i="1"/>
  <c r="AZ128" i="1"/>
  <c r="AX128" i="1"/>
  <c r="AY128" i="1" s="1"/>
  <c r="AW128" i="1"/>
  <c r="AV128" i="1"/>
  <c r="AT128" i="1"/>
  <c r="AS128" i="1"/>
  <c r="AQ128" i="1"/>
  <c r="AP128" i="1"/>
  <c r="AN128" i="1"/>
  <c r="AM128" i="1" s="1"/>
  <c r="AL128" i="1"/>
  <c r="AJ128" i="1"/>
  <c r="AI128" i="1"/>
  <c r="AH128" i="1"/>
  <c r="AG128" i="1"/>
  <c r="AD128" i="1"/>
  <c r="R128" i="1" s="1"/>
  <c r="AB128" i="1"/>
  <c r="AA128" i="1"/>
  <c r="Y128" i="1"/>
  <c r="X128" i="1"/>
  <c r="CD128" i="1" s="1"/>
  <c r="W128" i="1"/>
  <c r="V128" i="1"/>
  <c r="T128" i="1"/>
  <c r="U128" i="1" s="1"/>
  <c r="S128" i="1"/>
  <c r="BG128" i="1" s="1"/>
  <c r="P128" i="1"/>
  <c r="BJ128" i="1" s="1"/>
  <c r="O128" i="1"/>
  <c r="N128" i="1"/>
  <c r="M128" i="1"/>
  <c r="L128" i="1"/>
  <c r="J128" i="1"/>
  <c r="I128" i="1"/>
  <c r="F128" i="1"/>
  <c r="E128" i="1"/>
  <c r="C128" i="1"/>
  <c r="CD127" i="1"/>
  <c r="CA127" i="1"/>
  <c r="BY127" i="1"/>
  <c r="BM127" i="1"/>
  <c r="BH127" i="1"/>
  <c r="BE127" i="1"/>
  <c r="BD127" i="1"/>
  <c r="BU127" i="1" s="1"/>
  <c r="BC127" i="1"/>
  <c r="BB127" i="1"/>
  <c r="BA127" i="1"/>
  <c r="AZ127" i="1"/>
  <c r="AX127" i="1"/>
  <c r="AY127" i="1" s="1"/>
  <c r="AW127" i="1"/>
  <c r="AV127" i="1"/>
  <c r="AU127" i="1"/>
  <c r="AT127" i="1"/>
  <c r="AS127" i="1"/>
  <c r="AQ127" i="1"/>
  <c r="AP127" i="1"/>
  <c r="AN127" i="1"/>
  <c r="AM127" i="1" s="1"/>
  <c r="AL127" i="1"/>
  <c r="AJ127" i="1"/>
  <c r="AI127" i="1"/>
  <c r="AH127" i="1"/>
  <c r="AG127" i="1"/>
  <c r="AD127" i="1"/>
  <c r="R127" i="1" s="1"/>
  <c r="AB127" i="1"/>
  <c r="AA127" i="1"/>
  <c r="Y127" i="1"/>
  <c r="X127" i="1"/>
  <c r="Z127" i="1" s="1"/>
  <c r="AE127" i="1" s="1"/>
  <c r="W127" i="1"/>
  <c r="V127" i="1"/>
  <c r="T127" i="1"/>
  <c r="U127" i="1" s="1"/>
  <c r="S127" i="1"/>
  <c r="BG127" i="1" s="1"/>
  <c r="BI127" i="1" s="1"/>
  <c r="P127" i="1"/>
  <c r="BJ127" i="1" s="1"/>
  <c r="O127" i="1"/>
  <c r="N127" i="1"/>
  <c r="M127" i="1"/>
  <c r="L127" i="1"/>
  <c r="J127" i="1"/>
  <c r="I127" i="1"/>
  <c r="F127" i="1"/>
  <c r="E127" i="1"/>
  <c r="C127" i="1"/>
  <c r="CD126" i="1"/>
  <c r="CA126" i="1"/>
  <c r="BY126" i="1"/>
  <c r="BQ126" i="1"/>
  <c r="BM126" i="1"/>
  <c r="BK126" i="1"/>
  <c r="BI126" i="1"/>
  <c r="BH126" i="1"/>
  <c r="BP126" i="1" s="1"/>
  <c r="BE126" i="1"/>
  <c r="BD126" i="1"/>
  <c r="BU126" i="1" s="1"/>
  <c r="BC126" i="1"/>
  <c r="BB126" i="1"/>
  <c r="BA126" i="1"/>
  <c r="AZ126" i="1"/>
  <c r="AX126" i="1"/>
  <c r="AY126" i="1" s="1"/>
  <c r="AW126" i="1"/>
  <c r="AV126" i="1"/>
  <c r="AU126" i="1"/>
  <c r="AT126" i="1"/>
  <c r="AS126" i="1"/>
  <c r="AQ126" i="1"/>
  <c r="AP126" i="1"/>
  <c r="AN126" i="1"/>
  <c r="AM126" i="1" s="1"/>
  <c r="AL126" i="1"/>
  <c r="AJ126" i="1"/>
  <c r="AI126" i="1"/>
  <c r="AH126" i="1"/>
  <c r="AG126" i="1"/>
  <c r="AF126" i="1"/>
  <c r="AD126" i="1"/>
  <c r="R126" i="1" s="1"/>
  <c r="AC126" i="1"/>
  <c r="AB126" i="1"/>
  <c r="AA126" i="1"/>
  <c r="Y126" i="1"/>
  <c r="X126" i="1"/>
  <c r="Z126" i="1" s="1"/>
  <c r="AE126" i="1" s="1"/>
  <c r="W126" i="1"/>
  <c r="V126" i="1"/>
  <c r="T126" i="1"/>
  <c r="U126" i="1" s="1"/>
  <c r="S126" i="1"/>
  <c r="BG126" i="1" s="1"/>
  <c r="P126" i="1"/>
  <c r="BJ126" i="1" s="1"/>
  <c r="O126" i="1"/>
  <c r="N126" i="1"/>
  <c r="M126" i="1"/>
  <c r="L126" i="1"/>
  <c r="J126" i="1"/>
  <c r="I126" i="1"/>
  <c r="F126" i="1"/>
  <c r="E126" i="1"/>
  <c r="C126" i="1"/>
  <c r="CD125" i="1"/>
  <c r="CA125" i="1"/>
  <c r="BY125" i="1"/>
  <c r="BM125" i="1"/>
  <c r="BI125" i="1"/>
  <c r="BH125" i="1"/>
  <c r="BP125" i="1" s="1"/>
  <c r="BE125" i="1"/>
  <c r="BD125" i="1"/>
  <c r="BU125" i="1" s="1"/>
  <c r="BC125" i="1"/>
  <c r="BA125" i="1"/>
  <c r="AZ125" i="1"/>
  <c r="AY125" i="1" s="1"/>
  <c r="BB125" i="1" s="1"/>
  <c r="AX125" i="1"/>
  <c r="AW125" i="1"/>
  <c r="AV125" i="1"/>
  <c r="AT125" i="1"/>
  <c r="AS125" i="1"/>
  <c r="AQ125" i="1"/>
  <c r="AP125" i="1"/>
  <c r="AN125" i="1"/>
  <c r="AM125" i="1" s="1"/>
  <c r="AL125" i="1"/>
  <c r="AJ125" i="1"/>
  <c r="AI125" i="1"/>
  <c r="AH125" i="1"/>
  <c r="AD125" i="1"/>
  <c r="AC125" i="1"/>
  <c r="AB125" i="1"/>
  <c r="AA125" i="1"/>
  <c r="Y125" i="1"/>
  <c r="X125" i="1"/>
  <c r="Z125" i="1" s="1"/>
  <c r="AE125" i="1" s="1"/>
  <c r="W125" i="1"/>
  <c r="V125" i="1"/>
  <c r="T125" i="1"/>
  <c r="U125" i="1" s="1"/>
  <c r="S125" i="1"/>
  <c r="BG125" i="1" s="1"/>
  <c r="P125" i="1"/>
  <c r="BJ125" i="1" s="1"/>
  <c r="O125" i="1"/>
  <c r="N125" i="1"/>
  <c r="M125" i="1"/>
  <c r="L125" i="1"/>
  <c r="J125" i="1"/>
  <c r="I125" i="1"/>
  <c r="F125" i="1"/>
  <c r="E125" i="1"/>
  <c r="C125" i="1"/>
  <c r="CD124" i="1"/>
  <c r="CA124" i="1"/>
  <c r="BY124" i="1"/>
  <c r="BQ124" i="1"/>
  <c r="BM124" i="1"/>
  <c r="BK124" i="1"/>
  <c r="BI124" i="1"/>
  <c r="BH124" i="1"/>
  <c r="BP124" i="1" s="1"/>
  <c r="BE124" i="1"/>
  <c r="BD124" i="1"/>
  <c r="BU124" i="1" s="1"/>
  <c r="BC124" i="1"/>
  <c r="BB124" i="1"/>
  <c r="BA124" i="1"/>
  <c r="AZ124" i="1"/>
  <c r="AX124" i="1"/>
  <c r="AY124" i="1" s="1"/>
  <c r="AW124" i="1"/>
  <c r="AV124" i="1"/>
  <c r="AU124" i="1"/>
  <c r="AT124" i="1"/>
  <c r="AS124" i="1"/>
  <c r="AQ124" i="1"/>
  <c r="AP124" i="1"/>
  <c r="AN124" i="1"/>
  <c r="AM124" i="1" s="1"/>
  <c r="AL124" i="1"/>
  <c r="AJ124" i="1"/>
  <c r="AI124" i="1"/>
  <c r="AH124" i="1"/>
  <c r="AG124" i="1"/>
  <c r="AD124" i="1"/>
  <c r="R124" i="1" s="1"/>
  <c r="AB124" i="1"/>
  <c r="AA124" i="1"/>
  <c r="Y124" i="1"/>
  <c r="X124" i="1"/>
  <c r="Z124" i="1" s="1"/>
  <c r="AE124" i="1" s="1"/>
  <c r="W124" i="1"/>
  <c r="V124" i="1"/>
  <c r="T124" i="1"/>
  <c r="U124" i="1" s="1"/>
  <c r="S124" i="1"/>
  <c r="BG124" i="1" s="1"/>
  <c r="P124" i="1"/>
  <c r="BJ124" i="1" s="1"/>
  <c r="O124" i="1"/>
  <c r="N124" i="1"/>
  <c r="M124" i="1"/>
  <c r="L124" i="1"/>
  <c r="J124" i="1"/>
  <c r="I124" i="1"/>
  <c r="F124" i="1"/>
  <c r="E124" i="1"/>
  <c r="C124" i="1"/>
  <c r="CD123" i="1"/>
  <c r="CA123" i="1"/>
  <c r="BY123" i="1"/>
  <c r="BQ123" i="1"/>
  <c r="BM123" i="1"/>
  <c r="BK123" i="1"/>
  <c r="BI123" i="1"/>
  <c r="BH123" i="1"/>
  <c r="BP123" i="1" s="1"/>
  <c r="BE123" i="1"/>
  <c r="BD123" i="1"/>
  <c r="BU123" i="1" s="1"/>
  <c r="BC123" i="1"/>
  <c r="BB123" i="1"/>
  <c r="BA123" i="1"/>
  <c r="AZ123" i="1"/>
  <c r="AX123" i="1"/>
  <c r="AY123" i="1" s="1"/>
  <c r="AW123" i="1"/>
  <c r="AV123" i="1"/>
  <c r="AU123" i="1"/>
  <c r="AT123" i="1"/>
  <c r="AS123" i="1"/>
  <c r="AQ123" i="1"/>
  <c r="AP123" i="1"/>
  <c r="AN123" i="1"/>
  <c r="AM123" i="1" s="1"/>
  <c r="AL123" i="1"/>
  <c r="AJ123" i="1"/>
  <c r="AI123" i="1"/>
  <c r="AH123" i="1"/>
  <c r="AG123" i="1"/>
  <c r="AF123" i="1"/>
  <c r="AD123" i="1"/>
  <c r="R123" i="1" s="1"/>
  <c r="AC123" i="1"/>
  <c r="W123" i="1" s="1"/>
  <c r="AB123" i="1"/>
  <c r="AA123" i="1"/>
  <c r="Y123" i="1"/>
  <c r="X123" i="1"/>
  <c r="Z123" i="1" s="1"/>
  <c r="AE123" i="1" s="1"/>
  <c r="V123" i="1"/>
  <c r="T123" i="1"/>
  <c r="U123" i="1" s="1"/>
  <c r="S123" i="1"/>
  <c r="BG123" i="1" s="1"/>
  <c r="P123" i="1"/>
  <c r="BJ123" i="1" s="1"/>
  <c r="O123" i="1"/>
  <c r="N123" i="1"/>
  <c r="M123" i="1"/>
  <c r="L123" i="1"/>
  <c r="J123" i="1"/>
  <c r="I123" i="1"/>
  <c r="F123" i="1"/>
  <c r="E123" i="1"/>
  <c r="C123" i="1"/>
  <c r="CD122" i="1"/>
  <c r="CA122" i="1"/>
  <c r="BY122" i="1"/>
  <c r="BM122" i="1"/>
  <c r="BE122" i="1"/>
  <c r="BD122" i="1"/>
  <c r="BU122" i="1" s="1"/>
  <c r="BC122" i="1"/>
  <c r="BB122" i="1"/>
  <c r="BA122" i="1"/>
  <c r="AZ122" i="1"/>
  <c r="AX122" i="1"/>
  <c r="AY122" i="1" s="1"/>
  <c r="AW122" i="1"/>
  <c r="AV122" i="1"/>
  <c r="AU122" i="1"/>
  <c r="AT122" i="1"/>
  <c r="AS122" i="1"/>
  <c r="AQ122" i="1"/>
  <c r="AP122" i="1"/>
  <c r="AN122" i="1"/>
  <c r="AM122" i="1" s="1"/>
  <c r="AL122" i="1"/>
  <c r="AJ122" i="1"/>
  <c r="AI122" i="1"/>
  <c r="AH122" i="1"/>
  <c r="AG122" i="1"/>
  <c r="AF122" i="1"/>
  <c r="AD122" i="1"/>
  <c r="R122" i="1" s="1"/>
  <c r="AC122" i="1"/>
  <c r="W122" i="1" s="1"/>
  <c r="AB122" i="1"/>
  <c r="AA122" i="1"/>
  <c r="Y122" i="1"/>
  <c r="X122" i="1"/>
  <c r="Z122" i="1" s="1"/>
  <c r="AE122" i="1" s="1"/>
  <c r="V122" i="1"/>
  <c r="T122" i="1"/>
  <c r="U122" i="1" s="1"/>
  <c r="P122" i="1"/>
  <c r="BJ122" i="1" s="1"/>
  <c r="O122" i="1"/>
  <c r="N122" i="1"/>
  <c r="M122" i="1"/>
  <c r="L122" i="1"/>
  <c r="J122" i="1"/>
  <c r="I122" i="1"/>
  <c r="F122" i="1"/>
  <c r="E122" i="1"/>
  <c r="C122" i="1"/>
  <c r="CD121" i="1"/>
  <c r="CA121" i="1"/>
  <c r="BY121" i="1"/>
  <c r="BM121" i="1"/>
  <c r="BH121" i="1"/>
  <c r="BE121" i="1"/>
  <c r="BD121" i="1"/>
  <c r="BU121" i="1" s="1"/>
  <c r="BC121" i="1"/>
  <c r="BB121" i="1"/>
  <c r="BA121" i="1"/>
  <c r="AZ121" i="1"/>
  <c r="AX121" i="1"/>
  <c r="AY121" i="1" s="1"/>
  <c r="AW121" i="1"/>
  <c r="AV121" i="1"/>
  <c r="AU121" i="1"/>
  <c r="AT121" i="1"/>
  <c r="AS121" i="1"/>
  <c r="AQ121" i="1"/>
  <c r="AP121" i="1"/>
  <c r="AN121" i="1"/>
  <c r="AM121" i="1" s="1"/>
  <c r="AL121" i="1"/>
  <c r="AJ121" i="1"/>
  <c r="AI121" i="1"/>
  <c r="AH121" i="1"/>
  <c r="AG121" i="1"/>
  <c r="AF121" i="1"/>
  <c r="AD121" i="1"/>
  <c r="R121" i="1" s="1"/>
  <c r="AC121" i="1"/>
  <c r="W121" i="1" s="1"/>
  <c r="AB121" i="1"/>
  <c r="AA121" i="1"/>
  <c r="Y121" i="1"/>
  <c r="X121" i="1"/>
  <c r="Z121" i="1" s="1"/>
  <c r="AE121" i="1" s="1"/>
  <c r="V121" i="1"/>
  <c r="T121" i="1"/>
  <c r="U121" i="1" s="1"/>
  <c r="S121" i="1"/>
  <c r="BG121" i="1" s="1"/>
  <c r="BI121" i="1" s="1"/>
  <c r="BQ121" i="1" s="1"/>
  <c r="P121" i="1"/>
  <c r="BJ121" i="1" s="1"/>
  <c r="O121" i="1"/>
  <c r="N121" i="1"/>
  <c r="M121" i="1"/>
  <c r="L121" i="1"/>
  <c r="J121" i="1"/>
  <c r="I121" i="1"/>
  <c r="F121" i="1"/>
  <c r="E121" i="1"/>
  <c r="C121" i="1"/>
  <c r="CD120" i="1"/>
  <c r="CA120" i="1"/>
  <c r="BY120" i="1"/>
  <c r="BQ120" i="1"/>
  <c r="BM120" i="1"/>
  <c r="BK120" i="1"/>
  <c r="BI120" i="1"/>
  <c r="BH120" i="1"/>
  <c r="BP120" i="1" s="1"/>
  <c r="BE120" i="1"/>
  <c r="BD120" i="1"/>
  <c r="BU120" i="1" s="1"/>
  <c r="BC120" i="1"/>
  <c r="BB120" i="1"/>
  <c r="BA120" i="1"/>
  <c r="AZ120" i="1"/>
  <c r="AX120" i="1"/>
  <c r="AY120" i="1" s="1"/>
  <c r="AW120" i="1"/>
  <c r="AV120" i="1"/>
  <c r="AU120" i="1"/>
  <c r="AT120" i="1"/>
  <c r="AS120" i="1"/>
  <c r="AQ120" i="1"/>
  <c r="AP120" i="1"/>
  <c r="AN120" i="1"/>
  <c r="AM120" i="1" s="1"/>
  <c r="AL120" i="1"/>
  <c r="AJ120" i="1"/>
  <c r="AI120" i="1"/>
  <c r="AH120" i="1"/>
  <c r="AG120" i="1"/>
  <c r="AF120" i="1"/>
  <c r="AD120" i="1"/>
  <c r="R120" i="1" s="1"/>
  <c r="AC120" i="1"/>
  <c r="W120" i="1" s="1"/>
  <c r="AB120" i="1"/>
  <c r="AA120" i="1"/>
  <c r="Y120" i="1"/>
  <c r="X120" i="1"/>
  <c r="Z120" i="1" s="1"/>
  <c r="AE120" i="1" s="1"/>
  <c r="V120" i="1"/>
  <c r="T120" i="1"/>
  <c r="U120" i="1" s="1"/>
  <c r="S120" i="1"/>
  <c r="BG120" i="1" s="1"/>
  <c r="P120" i="1"/>
  <c r="BJ120" i="1" s="1"/>
  <c r="N120" i="1"/>
  <c r="M120" i="1"/>
  <c r="L120" i="1"/>
  <c r="J120" i="1"/>
  <c r="I120" i="1"/>
  <c r="E120" i="1"/>
  <c r="C120" i="1"/>
  <c r="CA119" i="1"/>
  <c r="BY119" i="1"/>
  <c r="BW119" i="1"/>
  <c r="BP119" i="1"/>
  <c r="BO119" i="1"/>
  <c r="BM119" i="1"/>
  <c r="BJ119" i="1"/>
  <c r="BI119" i="1"/>
  <c r="BG119" i="1"/>
  <c r="BS119" i="1" s="1"/>
  <c r="BF119" i="1"/>
  <c r="BE119" i="1"/>
  <c r="BD119" i="1"/>
  <c r="BU119" i="1" s="1"/>
  <c r="BC119" i="1"/>
  <c r="BA119" i="1"/>
  <c r="AZ119" i="1"/>
  <c r="AY119" i="1"/>
  <c r="AX119" i="1"/>
  <c r="AW119" i="1"/>
  <c r="AV119" i="1"/>
  <c r="BB119" i="1" s="1"/>
  <c r="AS119" i="1"/>
  <c r="AQ119" i="1"/>
  <c r="AP119" i="1"/>
  <c r="AT119" i="1" s="1"/>
  <c r="AO119" i="1"/>
  <c r="AN119" i="1"/>
  <c r="AM119" i="1"/>
  <c r="AL119" i="1"/>
  <c r="AJ119" i="1"/>
  <c r="AI119" i="1"/>
  <c r="AK119" i="1" s="1"/>
  <c r="AH119" i="1"/>
  <c r="AG119" i="1"/>
  <c r="AU119" i="1" s="1"/>
  <c r="AD119" i="1"/>
  <c r="AC119" i="1"/>
  <c r="AF119" i="1" s="1"/>
  <c r="AB119" i="1"/>
  <c r="AA119" i="1"/>
  <c r="Z119" i="1"/>
  <c r="AE119" i="1" s="1"/>
  <c r="BH119" i="1" s="1"/>
  <c r="Y119" i="1"/>
  <c r="CD119" i="1" s="1"/>
  <c r="X119" i="1"/>
  <c r="W119" i="1"/>
  <c r="V119" i="1"/>
  <c r="T119" i="1"/>
  <c r="U119" i="1" s="1"/>
  <c r="S119" i="1"/>
  <c r="R119" i="1"/>
  <c r="Q119" i="1"/>
  <c r="P119" i="1"/>
  <c r="O119" i="1"/>
  <c r="N119" i="1"/>
  <c r="M119" i="1"/>
  <c r="L119" i="1"/>
  <c r="J119" i="1"/>
  <c r="I119" i="1"/>
  <c r="F119" i="1"/>
  <c r="E119" i="1"/>
  <c r="C119" i="1"/>
  <c r="CD118" i="1"/>
  <c r="CA118" i="1"/>
  <c r="BZ118" i="1"/>
  <c r="BY118" i="1"/>
  <c r="BX118" i="1"/>
  <c r="BW118" i="1"/>
  <c r="BQ118" i="1"/>
  <c r="BP118" i="1"/>
  <c r="BM118" i="1"/>
  <c r="BI118" i="1"/>
  <c r="BH118" i="1"/>
  <c r="BG118" i="1"/>
  <c r="BS118" i="1" s="1"/>
  <c r="BF118" i="1"/>
  <c r="BV118" i="1" s="1"/>
  <c r="BE118" i="1"/>
  <c r="BD118" i="1"/>
  <c r="BU118" i="1" s="1"/>
  <c r="BC118" i="1"/>
  <c r="BB118" i="1"/>
  <c r="BA118" i="1"/>
  <c r="AZ118" i="1"/>
  <c r="AX118" i="1"/>
  <c r="AW118" i="1"/>
  <c r="AV118" i="1"/>
  <c r="AT118" i="1"/>
  <c r="AS118" i="1"/>
  <c r="AQ118" i="1"/>
  <c r="AP118" i="1"/>
  <c r="AO118" i="1"/>
  <c r="AN118" i="1"/>
  <c r="AM118" i="1" s="1"/>
  <c r="AL118" i="1"/>
  <c r="AJ118" i="1" s="1"/>
  <c r="AK118" i="1"/>
  <c r="AI118" i="1"/>
  <c r="AH118" i="1"/>
  <c r="AG118" i="1"/>
  <c r="AF118" i="1"/>
  <c r="AD118" i="1"/>
  <c r="AC118" i="1"/>
  <c r="AA118" i="1"/>
  <c r="Z118" i="1"/>
  <c r="AE118" i="1" s="1"/>
  <c r="Y118" i="1"/>
  <c r="X118" i="1"/>
  <c r="AB118" i="1" s="1"/>
  <c r="W118" i="1"/>
  <c r="S118" i="1"/>
  <c r="R118" i="1"/>
  <c r="Q118" i="1"/>
  <c r="P118" i="1"/>
  <c r="O118" i="1"/>
  <c r="N118" i="1"/>
  <c r="M118" i="1"/>
  <c r="L118" i="1"/>
  <c r="J118" i="1"/>
  <c r="I118" i="1"/>
  <c r="F118" i="1"/>
  <c r="E118" i="1"/>
  <c r="C118" i="1"/>
  <c r="CA117" i="1"/>
  <c r="BY117" i="1"/>
  <c r="BW117" i="1"/>
  <c r="BS117" i="1"/>
  <c r="BQ117" i="1"/>
  <c r="BP117" i="1"/>
  <c r="BO117" i="1"/>
  <c r="BM117" i="1"/>
  <c r="BJ117" i="1"/>
  <c r="BH117" i="1"/>
  <c r="BG117" i="1"/>
  <c r="BI117" i="1" s="1"/>
  <c r="BF117" i="1"/>
  <c r="BR117" i="1" s="1"/>
  <c r="BT117" i="1" s="1"/>
  <c r="BE117" i="1"/>
  <c r="BD117" i="1"/>
  <c r="BU117" i="1" s="1"/>
  <c r="BC117" i="1"/>
  <c r="BB117" i="1"/>
  <c r="AZ117" i="1"/>
  <c r="AY117" i="1"/>
  <c r="AX117" i="1"/>
  <c r="BA117" i="1" s="1"/>
  <c r="AW117" i="1"/>
  <c r="AV117" i="1"/>
  <c r="AT117" i="1"/>
  <c r="AS117" i="1"/>
  <c r="AQ117" i="1"/>
  <c r="AP117" i="1"/>
  <c r="AO117" i="1"/>
  <c r="AN117" i="1"/>
  <c r="AM117" i="1" s="1"/>
  <c r="AL117" i="1"/>
  <c r="AJ117" i="1" s="1"/>
  <c r="AK117" i="1"/>
  <c r="AI117" i="1"/>
  <c r="AH117" i="1"/>
  <c r="AG117" i="1"/>
  <c r="AU117" i="1" s="1"/>
  <c r="AF117" i="1"/>
  <c r="AD117" i="1"/>
  <c r="AC117" i="1"/>
  <c r="W117" i="1" s="1"/>
  <c r="AA117" i="1"/>
  <c r="Z117" i="1"/>
  <c r="AE117" i="1" s="1"/>
  <c r="Y117" i="1"/>
  <c r="X117" i="1"/>
  <c r="V117" i="1"/>
  <c r="S117" i="1"/>
  <c r="R117" i="1"/>
  <c r="Q117" i="1"/>
  <c r="P117" i="1"/>
  <c r="O117" i="1"/>
  <c r="N117" i="1"/>
  <c r="M117" i="1"/>
  <c r="L117" i="1"/>
  <c r="J117" i="1"/>
  <c r="I117" i="1"/>
  <c r="F117" i="1"/>
  <c r="E117" i="1"/>
  <c r="C117" i="1"/>
  <c r="CD116" i="1"/>
  <c r="CA116" i="1"/>
  <c r="BY116" i="1"/>
  <c r="BW116" i="1"/>
  <c r="BS116" i="1"/>
  <c r="BP116" i="1"/>
  <c r="BM116" i="1"/>
  <c r="BJ116" i="1"/>
  <c r="BH116" i="1"/>
  <c r="BG116" i="1"/>
  <c r="BE116" i="1"/>
  <c r="BD116" i="1"/>
  <c r="BU116" i="1" s="1"/>
  <c r="BC116" i="1"/>
  <c r="BB116" i="1"/>
  <c r="AZ116" i="1"/>
  <c r="AY116" i="1"/>
  <c r="AX116" i="1"/>
  <c r="BA116" i="1" s="1"/>
  <c r="AW116" i="1"/>
  <c r="AV116" i="1"/>
  <c r="AT116" i="1"/>
  <c r="AS116" i="1"/>
  <c r="AQ116" i="1"/>
  <c r="AP116" i="1"/>
  <c r="AO116" i="1"/>
  <c r="AN116" i="1"/>
  <c r="AM116" i="1" s="1"/>
  <c r="AL116" i="1"/>
  <c r="AJ116" i="1" s="1"/>
  <c r="AK116" i="1"/>
  <c r="AI116" i="1"/>
  <c r="AH116" i="1"/>
  <c r="AG116" i="1"/>
  <c r="AU116" i="1" s="1"/>
  <c r="AD116" i="1"/>
  <c r="AA116" i="1"/>
  <c r="Z116" i="1"/>
  <c r="AE116" i="1" s="1"/>
  <c r="Y116" i="1"/>
  <c r="X116" i="1"/>
  <c r="AB116" i="1" s="1"/>
  <c r="V116" i="1"/>
  <c r="S116" i="1"/>
  <c r="R116" i="1"/>
  <c r="Q116" i="1"/>
  <c r="P116" i="1"/>
  <c r="O116" i="1"/>
  <c r="N116" i="1"/>
  <c r="M116" i="1"/>
  <c r="L116" i="1"/>
  <c r="J116" i="1"/>
  <c r="I116" i="1"/>
  <c r="F116" i="1"/>
  <c r="E116" i="1"/>
  <c r="C116" i="1"/>
  <c r="CA115" i="1"/>
  <c r="BY115" i="1"/>
  <c r="BM115" i="1"/>
  <c r="BJ115" i="1"/>
  <c r="BE115" i="1"/>
  <c r="BD115" i="1"/>
  <c r="BU115" i="1" s="1"/>
  <c r="BC115" i="1"/>
  <c r="BB115" i="1"/>
  <c r="AZ115" i="1"/>
  <c r="AY115" i="1"/>
  <c r="AX115" i="1"/>
  <c r="BA115" i="1" s="1"/>
  <c r="AW115" i="1"/>
  <c r="AV115" i="1"/>
  <c r="AT115" i="1"/>
  <c r="AS115" i="1"/>
  <c r="AQ115" i="1"/>
  <c r="AP115" i="1"/>
  <c r="AI115" i="1" s="1"/>
  <c r="AO115" i="1"/>
  <c r="AN115" i="1"/>
  <c r="AL115" i="1"/>
  <c r="AK115" i="1"/>
  <c r="AJ115" i="1"/>
  <c r="S115" i="1" s="1"/>
  <c r="BG115" i="1" s="1"/>
  <c r="AH115" i="1"/>
  <c r="AG115" i="1"/>
  <c r="AF115" i="1"/>
  <c r="AD115" i="1"/>
  <c r="AC115" i="1"/>
  <c r="AA115" i="1"/>
  <c r="Y115" i="1"/>
  <c r="X115" i="1"/>
  <c r="W115" i="1"/>
  <c r="U115" i="1"/>
  <c r="T115" i="1"/>
  <c r="R115" i="1"/>
  <c r="Q115" i="1"/>
  <c r="P115" i="1"/>
  <c r="O115" i="1"/>
  <c r="N115" i="1"/>
  <c r="M115" i="1"/>
  <c r="L115" i="1"/>
  <c r="J115" i="1"/>
  <c r="I115" i="1"/>
  <c r="F115" i="1"/>
  <c r="E115" i="1"/>
  <c r="C115" i="1"/>
  <c r="CA114" i="1"/>
  <c r="BU114" i="1"/>
  <c r="BO114" i="1"/>
  <c r="BM114" i="1"/>
  <c r="BJ114" i="1"/>
  <c r="BE114" i="1"/>
  <c r="BD114" i="1"/>
  <c r="BY114" i="1" s="1"/>
  <c r="BC114" i="1"/>
  <c r="BB114" i="1"/>
  <c r="AZ114" i="1"/>
  <c r="AX114" i="1"/>
  <c r="AW114" i="1"/>
  <c r="AV114" i="1"/>
  <c r="AT114" i="1"/>
  <c r="AS114" i="1"/>
  <c r="AQ114" i="1"/>
  <c r="AP114" i="1"/>
  <c r="AI114" i="1" s="1"/>
  <c r="AO114" i="1"/>
  <c r="AN114" i="1"/>
  <c r="AM114" i="1" s="1"/>
  <c r="AL114" i="1"/>
  <c r="AK114" i="1"/>
  <c r="AJ114" i="1"/>
  <c r="AH114" i="1"/>
  <c r="AG114" i="1"/>
  <c r="AU114" i="1" s="1"/>
  <c r="AF114" i="1"/>
  <c r="AE114" i="1"/>
  <c r="AD114" i="1"/>
  <c r="AC114" i="1"/>
  <c r="AB114" i="1"/>
  <c r="AA114" i="1"/>
  <c r="Z114" i="1"/>
  <c r="Y114" i="1"/>
  <c r="X114" i="1"/>
  <c r="CD114" i="1" s="1"/>
  <c r="W114" i="1"/>
  <c r="U114" i="1"/>
  <c r="T114" i="1"/>
  <c r="Q114" i="1"/>
  <c r="P114" i="1"/>
  <c r="V114" i="1" s="1"/>
  <c r="O114" i="1"/>
  <c r="N114" i="1"/>
  <c r="M114" i="1"/>
  <c r="L114" i="1"/>
  <c r="J114" i="1"/>
  <c r="I114" i="1"/>
  <c r="F114" i="1"/>
  <c r="E114" i="1"/>
  <c r="C114" i="1"/>
  <c r="CA113" i="1"/>
  <c r="BM113" i="1"/>
  <c r="BJ113" i="1"/>
  <c r="BG113" i="1"/>
  <c r="BW113" i="1" s="1"/>
  <c r="BE113" i="1"/>
  <c r="BD113" i="1"/>
  <c r="BC113" i="1"/>
  <c r="BA113" i="1"/>
  <c r="AZ113" i="1"/>
  <c r="AX113" i="1"/>
  <c r="AW113" i="1"/>
  <c r="AV113" i="1"/>
  <c r="AT113" i="1"/>
  <c r="AS113" i="1"/>
  <c r="AQ113" i="1"/>
  <c r="AP113" i="1"/>
  <c r="AI113" i="1" s="1"/>
  <c r="AO113" i="1"/>
  <c r="AN113" i="1"/>
  <c r="AM113" i="1"/>
  <c r="AL113" i="1"/>
  <c r="AK113" i="1"/>
  <c r="AJ113" i="1"/>
  <c r="S113" i="1" s="1"/>
  <c r="AH113" i="1"/>
  <c r="AG113" i="1"/>
  <c r="AU113" i="1" s="1"/>
  <c r="AE113" i="1"/>
  <c r="AD113" i="1"/>
  <c r="AC113" i="1"/>
  <c r="BO113" i="1" s="1"/>
  <c r="AB113" i="1"/>
  <c r="AA113" i="1"/>
  <c r="Z113" i="1"/>
  <c r="Y113" i="1"/>
  <c r="X113" i="1"/>
  <c r="CD113" i="1" s="1"/>
  <c r="T113" i="1"/>
  <c r="U113" i="1" s="1"/>
  <c r="R113" i="1"/>
  <c r="Q113" i="1"/>
  <c r="P113" i="1"/>
  <c r="V113" i="1" s="1"/>
  <c r="O113" i="1"/>
  <c r="N113" i="1"/>
  <c r="M113" i="1"/>
  <c r="L113" i="1"/>
  <c r="J113" i="1"/>
  <c r="I113" i="1"/>
  <c r="F113" i="1"/>
  <c r="E113" i="1"/>
  <c r="C113" i="1"/>
  <c r="CA112" i="1"/>
  <c r="BU112" i="1"/>
  <c r="BO112" i="1"/>
  <c r="BM112" i="1"/>
  <c r="BJ112" i="1"/>
  <c r="BE112" i="1"/>
  <c r="BD112" i="1"/>
  <c r="BY112" i="1" s="1"/>
  <c r="BC112" i="1"/>
  <c r="BB112" i="1"/>
  <c r="BA112" i="1"/>
  <c r="AZ112" i="1"/>
  <c r="AY112" i="1"/>
  <c r="AX112" i="1"/>
  <c r="AW112" i="1"/>
  <c r="AV112" i="1"/>
  <c r="AT112" i="1"/>
  <c r="AS112" i="1"/>
  <c r="AQ112" i="1"/>
  <c r="AP112" i="1"/>
  <c r="AN112" i="1"/>
  <c r="AM112" i="1"/>
  <c r="AL112" i="1"/>
  <c r="AJ112" i="1"/>
  <c r="AK112" i="1" s="1"/>
  <c r="AI112" i="1"/>
  <c r="AO112" i="1" s="1"/>
  <c r="AH112" i="1"/>
  <c r="AG112" i="1"/>
  <c r="AU112" i="1" s="1"/>
  <c r="AF112" i="1"/>
  <c r="AE112" i="1"/>
  <c r="AD112" i="1"/>
  <c r="AC112" i="1"/>
  <c r="AB112" i="1"/>
  <c r="AA112" i="1"/>
  <c r="Z112" i="1"/>
  <c r="Y112" i="1"/>
  <c r="X112" i="1"/>
  <c r="CD112" i="1" s="1"/>
  <c r="W112" i="1"/>
  <c r="U112" i="1"/>
  <c r="T112" i="1"/>
  <c r="S112" i="1"/>
  <c r="BG112" i="1" s="1"/>
  <c r="BW112" i="1" s="1"/>
  <c r="R112" i="1"/>
  <c r="Q112" i="1"/>
  <c r="P112" i="1"/>
  <c r="V112" i="1" s="1"/>
  <c r="O112" i="1"/>
  <c r="N112" i="1"/>
  <c r="M112" i="1"/>
  <c r="L112" i="1"/>
  <c r="J112" i="1"/>
  <c r="I112" i="1"/>
  <c r="F112" i="1"/>
  <c r="E112" i="1"/>
  <c r="C112" i="1"/>
  <c r="CA111" i="1"/>
  <c r="BY111" i="1"/>
  <c r="BU111" i="1"/>
  <c r="BM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Q111" i="1"/>
  <c r="AP111" i="1"/>
  <c r="AO111" i="1"/>
  <c r="AN111" i="1"/>
  <c r="AM111" i="1" s="1"/>
  <c r="AL111" i="1"/>
  <c r="AJ111" i="1"/>
  <c r="AK111" i="1" s="1"/>
  <c r="AI111" i="1"/>
  <c r="AH111" i="1"/>
  <c r="AG111" i="1"/>
  <c r="AF111" i="1"/>
  <c r="AD111" i="1"/>
  <c r="AC111" i="1"/>
  <c r="AA111" i="1"/>
  <c r="Y111" i="1"/>
  <c r="X111" i="1"/>
  <c r="W111" i="1"/>
  <c r="S111" i="1"/>
  <c r="BG111" i="1" s="1"/>
  <c r="R111" i="1"/>
  <c r="P111" i="1"/>
  <c r="O111" i="1"/>
  <c r="N111" i="1"/>
  <c r="M111" i="1"/>
  <c r="L111" i="1"/>
  <c r="J111" i="1"/>
  <c r="I111" i="1"/>
  <c r="F111" i="1"/>
  <c r="E111" i="1"/>
  <c r="C111" i="1"/>
  <c r="CA110" i="1"/>
  <c r="BY110" i="1"/>
  <c r="BU110" i="1"/>
  <c r="BM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Q110" i="1"/>
  <c r="AP110" i="1"/>
  <c r="AO110" i="1"/>
  <c r="AN110" i="1"/>
  <c r="AM110" i="1" s="1"/>
  <c r="AL110" i="1"/>
  <c r="AJ110" i="1" s="1"/>
  <c r="AK110" i="1" s="1"/>
  <c r="AI110" i="1"/>
  <c r="AH110" i="1"/>
  <c r="AG110" i="1"/>
  <c r="AF110" i="1"/>
  <c r="AD110" i="1"/>
  <c r="AC110" i="1"/>
  <c r="AA110" i="1"/>
  <c r="Y110" i="1"/>
  <c r="X110" i="1"/>
  <c r="W110" i="1"/>
  <c r="P110" i="1"/>
  <c r="O110" i="1"/>
  <c r="N110" i="1"/>
  <c r="M110" i="1"/>
  <c r="L110" i="1"/>
  <c r="J110" i="1"/>
  <c r="I110" i="1"/>
  <c r="F110" i="1"/>
  <c r="E110" i="1"/>
  <c r="C110" i="1"/>
  <c r="CD109" i="1"/>
  <c r="CA109" i="1"/>
  <c r="BY109" i="1"/>
  <c r="BU109" i="1"/>
  <c r="BM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Q109" i="1"/>
  <c r="AP109" i="1"/>
  <c r="AO109" i="1"/>
  <c r="AN109" i="1"/>
  <c r="AM109" i="1" s="1"/>
  <c r="AL109" i="1"/>
  <c r="AJ109" i="1" s="1"/>
  <c r="AK109" i="1" s="1"/>
  <c r="AI109" i="1"/>
  <c r="AH109" i="1"/>
  <c r="AG109" i="1"/>
  <c r="AF109" i="1"/>
  <c r="AD109" i="1"/>
  <c r="AC109" i="1"/>
  <c r="AA109" i="1"/>
  <c r="Y109" i="1"/>
  <c r="X109" i="1"/>
  <c r="W109" i="1"/>
  <c r="V109" i="1"/>
  <c r="P109" i="1"/>
  <c r="N109" i="1"/>
  <c r="M109" i="1"/>
  <c r="L109" i="1"/>
  <c r="J109" i="1"/>
  <c r="I109" i="1"/>
  <c r="E109" i="1"/>
  <c r="C109" i="1"/>
  <c r="CD108" i="1"/>
  <c r="CA108" i="1"/>
  <c r="BY108" i="1"/>
  <c r="BU108" i="1"/>
  <c r="BM108" i="1"/>
  <c r="BJ108" i="1"/>
  <c r="BE108" i="1"/>
  <c r="BD108" i="1"/>
  <c r="BC108" i="1"/>
  <c r="BO108" i="1" s="1"/>
  <c r="BB108" i="1"/>
  <c r="BA108" i="1"/>
  <c r="AZ108" i="1"/>
  <c r="AY108" i="1"/>
  <c r="AX108" i="1"/>
  <c r="AW108" i="1"/>
  <c r="AV108" i="1"/>
  <c r="AU108" i="1"/>
  <c r="AT108" i="1"/>
  <c r="AS108" i="1"/>
  <c r="AQ108" i="1"/>
  <c r="AP108" i="1"/>
  <c r="AO108" i="1"/>
  <c r="AN108" i="1"/>
  <c r="AM108" i="1"/>
  <c r="AL108" i="1"/>
  <c r="AJ108" i="1" s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T108" i="1"/>
  <c r="U108" i="1" s="1"/>
  <c r="Q108" i="1"/>
  <c r="P108" i="1"/>
  <c r="O108" i="1"/>
  <c r="N108" i="1"/>
  <c r="M108" i="1"/>
  <c r="L108" i="1"/>
  <c r="J108" i="1"/>
  <c r="I108" i="1"/>
  <c r="F108" i="1"/>
  <c r="E108" i="1"/>
  <c r="C108" i="1"/>
  <c r="CD107" i="1"/>
  <c r="CA107" i="1"/>
  <c r="BY107" i="1"/>
  <c r="BU107" i="1"/>
  <c r="BM107" i="1"/>
  <c r="BJ107" i="1"/>
  <c r="BE107" i="1"/>
  <c r="BD107" i="1"/>
  <c r="BC107" i="1"/>
  <c r="BO107" i="1" s="1"/>
  <c r="BB107" i="1"/>
  <c r="BA107" i="1"/>
  <c r="AZ107" i="1"/>
  <c r="AY107" i="1"/>
  <c r="AX107" i="1"/>
  <c r="AW107" i="1"/>
  <c r="AV107" i="1"/>
  <c r="AU107" i="1"/>
  <c r="AT107" i="1"/>
  <c r="AS107" i="1"/>
  <c r="AQ107" i="1"/>
  <c r="AP107" i="1"/>
  <c r="AO107" i="1"/>
  <c r="AN107" i="1"/>
  <c r="AM107" i="1"/>
  <c r="AL107" i="1"/>
  <c r="AJ107" i="1" s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T107" i="1"/>
  <c r="U107" i="1" s="1"/>
  <c r="Q107" i="1"/>
  <c r="P107" i="1"/>
  <c r="O107" i="1"/>
  <c r="N107" i="1"/>
  <c r="M107" i="1"/>
  <c r="L107" i="1"/>
  <c r="J107" i="1"/>
  <c r="I107" i="1"/>
  <c r="F107" i="1"/>
  <c r="E107" i="1"/>
  <c r="C107" i="1"/>
  <c r="CD106" i="1"/>
  <c r="CA106" i="1"/>
  <c r="BY106" i="1"/>
  <c r="BU106" i="1"/>
  <c r="BM106" i="1"/>
  <c r="BJ106" i="1"/>
  <c r="BE106" i="1"/>
  <c r="BD106" i="1"/>
  <c r="BC106" i="1"/>
  <c r="BO106" i="1" s="1"/>
  <c r="BB106" i="1"/>
  <c r="BA106" i="1"/>
  <c r="AZ106" i="1"/>
  <c r="AY106" i="1"/>
  <c r="AX106" i="1"/>
  <c r="AW106" i="1"/>
  <c r="AV106" i="1"/>
  <c r="AU106" i="1"/>
  <c r="AT106" i="1"/>
  <c r="AS106" i="1"/>
  <c r="AQ106" i="1"/>
  <c r="AP106" i="1"/>
  <c r="AO106" i="1"/>
  <c r="AN106" i="1"/>
  <c r="AM106" i="1"/>
  <c r="AL106" i="1"/>
  <c r="AJ106" i="1" s="1"/>
  <c r="AI106" i="1"/>
  <c r="AH106" i="1"/>
  <c r="AG106" i="1"/>
  <c r="AE106" i="1"/>
  <c r="AD106" i="1"/>
  <c r="AB106" i="1"/>
  <c r="AA106" i="1"/>
  <c r="Z106" i="1"/>
  <c r="Y106" i="1"/>
  <c r="X106" i="1"/>
  <c r="W106" i="1"/>
  <c r="V106" i="1"/>
  <c r="U106" i="1"/>
  <c r="T106" i="1"/>
  <c r="Q106" i="1"/>
  <c r="P106" i="1"/>
  <c r="O106" i="1"/>
  <c r="N106" i="1"/>
  <c r="M106" i="1"/>
  <c r="L106" i="1"/>
  <c r="J106" i="1"/>
  <c r="I106" i="1"/>
  <c r="F106" i="1"/>
  <c r="E106" i="1"/>
  <c r="C106" i="1"/>
  <c r="CA105" i="1"/>
  <c r="BY105" i="1"/>
  <c r="BU105" i="1"/>
  <c r="BM105" i="1"/>
  <c r="BJ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Q105" i="1"/>
  <c r="AP105" i="1"/>
  <c r="AN105" i="1"/>
  <c r="AM105" i="1" s="1"/>
  <c r="AL105" i="1"/>
  <c r="AJ105" i="1"/>
  <c r="AI105" i="1"/>
  <c r="AH105" i="1"/>
  <c r="AG105" i="1"/>
  <c r="AD105" i="1"/>
  <c r="AC105" i="1"/>
  <c r="AF105" i="1" s="1"/>
  <c r="AA105" i="1"/>
  <c r="Y105" i="1"/>
  <c r="X105" i="1"/>
  <c r="AB105" i="1" s="1"/>
  <c r="W105" i="1"/>
  <c r="S105" i="1"/>
  <c r="BG105" i="1" s="1"/>
  <c r="BS105" i="1" s="1"/>
  <c r="P105" i="1"/>
  <c r="N105" i="1"/>
  <c r="M105" i="1"/>
  <c r="L105" i="1"/>
  <c r="J105" i="1"/>
  <c r="I105" i="1"/>
  <c r="E105" i="1"/>
  <c r="C105" i="1"/>
  <c r="CA104" i="1"/>
  <c r="BY104" i="1"/>
  <c r="BU104" i="1"/>
  <c r="BM104" i="1"/>
  <c r="BJ104" i="1"/>
  <c r="BE104" i="1"/>
  <c r="BD104" i="1"/>
  <c r="BC104" i="1"/>
  <c r="BB104" i="1"/>
  <c r="AZ104" i="1"/>
  <c r="AX104" i="1"/>
  <c r="AW104" i="1"/>
  <c r="AV104" i="1"/>
  <c r="AT104" i="1"/>
  <c r="AS104" i="1"/>
  <c r="AQ104" i="1"/>
  <c r="AP104" i="1"/>
  <c r="AO104" i="1"/>
  <c r="AN104" i="1"/>
  <c r="AM104" i="1"/>
  <c r="AL104" i="1"/>
  <c r="AJ104" i="1" s="1"/>
  <c r="AK104" i="1"/>
  <c r="AI104" i="1"/>
  <c r="AH104" i="1"/>
  <c r="AG104" i="1"/>
  <c r="AU104" i="1" s="1"/>
  <c r="AD104" i="1"/>
  <c r="R104" i="1" s="1"/>
  <c r="AA104" i="1"/>
  <c r="Y104" i="1"/>
  <c r="X104" i="1"/>
  <c r="W104" i="1"/>
  <c r="V104" i="1"/>
  <c r="U104" i="1"/>
  <c r="T104" i="1"/>
  <c r="Q104" i="1"/>
  <c r="P104" i="1"/>
  <c r="N104" i="1"/>
  <c r="M104" i="1"/>
  <c r="L104" i="1"/>
  <c r="J104" i="1"/>
  <c r="I104" i="1"/>
  <c r="E104" i="1"/>
  <c r="C104" i="1"/>
  <c r="CA103" i="1"/>
  <c r="BY103" i="1"/>
  <c r="BU103" i="1"/>
  <c r="BM103" i="1"/>
  <c r="BE103" i="1"/>
  <c r="BD103" i="1"/>
  <c r="BC103" i="1"/>
  <c r="BB103" i="1"/>
  <c r="BA103" i="1"/>
  <c r="AZ103" i="1"/>
  <c r="AX103" i="1"/>
  <c r="AW103" i="1"/>
  <c r="AV103" i="1"/>
  <c r="AU103" i="1"/>
  <c r="AT103" i="1"/>
  <c r="AS103" i="1"/>
  <c r="AQ103" i="1"/>
  <c r="AP103" i="1"/>
  <c r="AN103" i="1"/>
  <c r="AM103" i="1" s="1"/>
  <c r="BH103" i="1" s="1"/>
  <c r="BP103" i="1" s="1"/>
  <c r="AL103" i="1"/>
  <c r="AJ103" i="1" s="1"/>
  <c r="AI103" i="1"/>
  <c r="AH103" i="1"/>
  <c r="AG103" i="1"/>
  <c r="AF103" i="1"/>
  <c r="AD103" i="1"/>
  <c r="R103" i="1" s="1"/>
  <c r="AC103" i="1"/>
  <c r="AA103" i="1"/>
  <c r="Z103" i="1"/>
  <c r="AE103" i="1" s="1"/>
  <c r="Y103" i="1"/>
  <c r="X103" i="1"/>
  <c r="W103" i="1"/>
  <c r="S103" i="1"/>
  <c r="BG103" i="1" s="1"/>
  <c r="BS103" i="1" s="1"/>
  <c r="P103" i="1"/>
  <c r="O103" i="1"/>
  <c r="N103" i="1"/>
  <c r="M103" i="1"/>
  <c r="L103" i="1"/>
  <c r="J103" i="1"/>
  <c r="I103" i="1"/>
  <c r="F103" i="1"/>
  <c r="E103" i="1"/>
  <c r="C103" i="1"/>
  <c r="CD102" i="1"/>
  <c r="CA102" i="1"/>
  <c r="BY102" i="1"/>
  <c r="BU102" i="1"/>
  <c r="BM102" i="1"/>
  <c r="BJ102" i="1"/>
  <c r="BE102" i="1"/>
  <c r="BD102" i="1"/>
  <c r="BC102" i="1"/>
  <c r="BO102" i="1" s="1"/>
  <c r="BB102" i="1"/>
  <c r="BA102" i="1"/>
  <c r="AZ102" i="1"/>
  <c r="AY102" i="1"/>
  <c r="AX102" i="1"/>
  <c r="AW102" i="1"/>
  <c r="AV102" i="1"/>
  <c r="AT102" i="1"/>
  <c r="AS102" i="1"/>
  <c r="AQ102" i="1"/>
  <c r="AP102" i="1"/>
  <c r="AN102" i="1"/>
  <c r="AM102" i="1" s="1"/>
  <c r="AL102" i="1"/>
  <c r="AJ102" i="1" s="1"/>
  <c r="BH102" i="1" s="1"/>
  <c r="AI102" i="1"/>
  <c r="AH102" i="1"/>
  <c r="AG102" i="1"/>
  <c r="AF102" i="1"/>
  <c r="AE102" i="1"/>
  <c r="AD102" i="1"/>
  <c r="AC102" i="1"/>
  <c r="AB102" i="1"/>
  <c r="AA102" i="1"/>
  <c r="Y102" i="1"/>
  <c r="X102" i="1"/>
  <c r="W102" i="1"/>
  <c r="V102" i="1"/>
  <c r="U102" i="1"/>
  <c r="T102" i="1"/>
  <c r="R102" i="1"/>
  <c r="Q102" i="1"/>
  <c r="P102" i="1"/>
  <c r="N102" i="1"/>
  <c r="M102" i="1"/>
  <c r="L102" i="1"/>
  <c r="J102" i="1"/>
  <c r="I102" i="1"/>
  <c r="E102" i="1"/>
  <c r="C102" i="1"/>
  <c r="CD101" i="1"/>
  <c r="CA101" i="1"/>
  <c r="BY101" i="1"/>
  <c r="BU101" i="1"/>
  <c r="BM101" i="1"/>
  <c r="BJ101" i="1"/>
  <c r="BE101" i="1"/>
  <c r="BD101" i="1"/>
  <c r="BC101" i="1"/>
  <c r="BB101" i="1"/>
  <c r="BA101" i="1"/>
  <c r="AZ101" i="1"/>
  <c r="AX101" i="1"/>
  <c r="AW101" i="1"/>
  <c r="AV101" i="1"/>
  <c r="BO101" i="1" s="1"/>
  <c r="AU101" i="1"/>
  <c r="AS101" i="1"/>
  <c r="AQ101" i="1"/>
  <c r="AP101" i="1"/>
  <c r="AN101" i="1"/>
  <c r="AM101" i="1"/>
  <c r="AL101" i="1"/>
  <c r="AJ101" i="1"/>
  <c r="S101" i="1" s="1"/>
  <c r="BG101" i="1" s="1"/>
  <c r="BS101" i="1" s="1"/>
  <c r="AH101" i="1"/>
  <c r="AG101" i="1"/>
  <c r="AF101" i="1"/>
  <c r="AD101" i="1"/>
  <c r="AC101" i="1"/>
  <c r="AB101" i="1"/>
  <c r="AA101" i="1"/>
  <c r="Z101" i="1"/>
  <c r="AE101" i="1" s="1"/>
  <c r="Y101" i="1"/>
  <c r="X101" i="1"/>
  <c r="W101" i="1"/>
  <c r="V101" i="1"/>
  <c r="T101" i="1"/>
  <c r="U101" i="1" s="1"/>
  <c r="Q101" i="1"/>
  <c r="P101" i="1"/>
  <c r="O101" i="1"/>
  <c r="N101" i="1"/>
  <c r="M101" i="1"/>
  <c r="L101" i="1"/>
  <c r="J101" i="1"/>
  <c r="I101" i="1"/>
  <c r="F101" i="1"/>
  <c r="E101" i="1"/>
  <c r="C101" i="1"/>
  <c r="CD100" i="1"/>
  <c r="CA100" i="1"/>
  <c r="BM100" i="1"/>
  <c r="BE100" i="1"/>
  <c r="BD100" i="1"/>
  <c r="BY100" i="1" s="1"/>
  <c r="BC100" i="1"/>
  <c r="BA100" i="1"/>
  <c r="AZ100" i="1"/>
  <c r="AY100" i="1"/>
  <c r="AX100" i="1"/>
  <c r="AW100" i="1"/>
  <c r="AV100" i="1"/>
  <c r="BB100" i="1" s="1"/>
  <c r="AU100" i="1"/>
  <c r="AS100" i="1"/>
  <c r="AQ100" i="1"/>
  <c r="AP100" i="1"/>
  <c r="AN100" i="1"/>
  <c r="AM100" i="1"/>
  <c r="AL100" i="1"/>
  <c r="AJ100" i="1"/>
  <c r="S100" i="1" s="1"/>
  <c r="BG100" i="1" s="1"/>
  <c r="AH100" i="1"/>
  <c r="AG100" i="1"/>
  <c r="AF100" i="1"/>
  <c r="AD100" i="1"/>
  <c r="AC100" i="1"/>
  <c r="AB100" i="1"/>
  <c r="AA100" i="1"/>
  <c r="Z100" i="1"/>
  <c r="AE100" i="1" s="1"/>
  <c r="Y100" i="1"/>
  <c r="X100" i="1"/>
  <c r="W100" i="1"/>
  <c r="V100" i="1"/>
  <c r="T100" i="1"/>
  <c r="U100" i="1" s="1"/>
  <c r="P100" i="1"/>
  <c r="BO100" i="1" s="1"/>
  <c r="O100" i="1"/>
  <c r="N100" i="1"/>
  <c r="M100" i="1"/>
  <c r="L100" i="1"/>
  <c r="J100" i="1"/>
  <c r="I100" i="1"/>
  <c r="F100" i="1"/>
  <c r="E100" i="1"/>
  <c r="C100" i="1"/>
  <c r="CA99" i="1"/>
  <c r="BM99" i="1"/>
  <c r="BE99" i="1"/>
  <c r="BD99" i="1"/>
  <c r="BY99" i="1" s="1"/>
  <c r="BC99" i="1"/>
  <c r="AZ99" i="1"/>
  <c r="AX99" i="1"/>
  <c r="BA99" i="1" s="1"/>
  <c r="AW99" i="1"/>
  <c r="AV99" i="1"/>
  <c r="BB99" i="1" s="1"/>
  <c r="AT99" i="1"/>
  <c r="AS99" i="1"/>
  <c r="AQ99" i="1"/>
  <c r="AP99" i="1"/>
  <c r="AN99" i="1"/>
  <c r="AM99" i="1"/>
  <c r="AL99" i="1"/>
  <c r="AJ99" i="1" s="1"/>
  <c r="AI99" i="1"/>
  <c r="AK99" i="1" s="1"/>
  <c r="AH99" i="1"/>
  <c r="AG99" i="1"/>
  <c r="AU99" i="1" s="1"/>
  <c r="AD99" i="1"/>
  <c r="S99" i="1" s="1"/>
  <c r="BG99" i="1" s="1"/>
  <c r="AC99" i="1"/>
  <c r="AA99" i="1"/>
  <c r="Y99" i="1"/>
  <c r="AB99" i="1" s="1"/>
  <c r="X99" i="1"/>
  <c r="Z99" i="1" s="1"/>
  <c r="AE99" i="1" s="1"/>
  <c r="BH99" i="1" s="1"/>
  <c r="BP99" i="1" s="1"/>
  <c r="W99" i="1"/>
  <c r="V99" i="1"/>
  <c r="U99" i="1"/>
  <c r="T99" i="1"/>
  <c r="Q99" i="1"/>
  <c r="P99" i="1"/>
  <c r="O99" i="1"/>
  <c r="N99" i="1"/>
  <c r="M99" i="1"/>
  <c r="L99" i="1"/>
  <c r="J99" i="1"/>
  <c r="I99" i="1"/>
  <c r="F99" i="1"/>
  <c r="E99" i="1"/>
  <c r="C99" i="1"/>
  <c r="CA98" i="1"/>
  <c r="BM98" i="1"/>
  <c r="BE98" i="1"/>
  <c r="BD98" i="1"/>
  <c r="BU98" i="1" s="1"/>
  <c r="BC98" i="1"/>
  <c r="BB98" i="1"/>
  <c r="AZ98" i="1"/>
  <c r="AX98" i="1"/>
  <c r="AW98" i="1"/>
  <c r="AV98" i="1"/>
  <c r="AU98" i="1"/>
  <c r="AT98" i="1"/>
  <c r="AS98" i="1"/>
  <c r="AQ98" i="1"/>
  <c r="AP98" i="1"/>
  <c r="AN98" i="1"/>
  <c r="AM98" i="1"/>
  <c r="AL98" i="1"/>
  <c r="AJ98" i="1" s="1"/>
  <c r="S98" i="1" s="1"/>
  <c r="BG98" i="1" s="1"/>
  <c r="AI98" i="1"/>
  <c r="AH98" i="1"/>
  <c r="AG98" i="1"/>
  <c r="AF98" i="1"/>
  <c r="AD98" i="1"/>
  <c r="AC98" i="1"/>
  <c r="AA98" i="1"/>
  <c r="Y98" i="1"/>
  <c r="X98" i="1"/>
  <c r="W98" i="1"/>
  <c r="Q98" i="1"/>
  <c r="P98" i="1"/>
  <c r="O98" i="1"/>
  <c r="N98" i="1"/>
  <c r="M98" i="1"/>
  <c r="L98" i="1"/>
  <c r="J98" i="1"/>
  <c r="I98" i="1"/>
  <c r="F98" i="1"/>
  <c r="E98" i="1"/>
  <c r="C98" i="1"/>
  <c r="CD97" i="1"/>
  <c r="CA97" i="1"/>
  <c r="BU97" i="1"/>
  <c r="BM97" i="1"/>
  <c r="BJ97" i="1"/>
  <c r="BE97" i="1"/>
  <c r="BD97" i="1"/>
  <c r="BY97" i="1" s="1"/>
  <c r="BC97" i="1"/>
  <c r="AZ97" i="1"/>
  <c r="AX97" i="1"/>
  <c r="AW97" i="1"/>
  <c r="AV97" i="1"/>
  <c r="AU97" i="1"/>
  <c r="AT97" i="1"/>
  <c r="AS97" i="1"/>
  <c r="AQ97" i="1"/>
  <c r="AP97" i="1"/>
  <c r="AO97" i="1"/>
  <c r="AN97" i="1"/>
  <c r="AM97" i="1"/>
  <c r="AL97" i="1"/>
  <c r="AJ97" i="1" s="1"/>
  <c r="AK97" i="1" s="1"/>
  <c r="AI97" i="1"/>
  <c r="AH97" i="1"/>
  <c r="AG97" i="1"/>
  <c r="AF97" i="1"/>
  <c r="AE97" i="1"/>
  <c r="AD97" i="1"/>
  <c r="R97" i="1" s="1"/>
  <c r="AC97" i="1"/>
  <c r="AA97" i="1"/>
  <c r="Y97" i="1"/>
  <c r="X97" i="1"/>
  <c r="AB97" i="1" s="1"/>
  <c r="W97" i="1"/>
  <c r="V97" i="1"/>
  <c r="T97" i="1"/>
  <c r="U97" i="1" s="1"/>
  <c r="P97" i="1"/>
  <c r="O97" i="1"/>
  <c r="N97" i="1"/>
  <c r="M97" i="1"/>
  <c r="L97" i="1"/>
  <c r="J97" i="1"/>
  <c r="I97" i="1"/>
  <c r="F97" i="1"/>
  <c r="E97" i="1"/>
  <c r="C97" i="1"/>
  <c r="CA96" i="1"/>
  <c r="BY96" i="1"/>
  <c r="BM96" i="1"/>
  <c r="BE96" i="1"/>
  <c r="BD96" i="1"/>
  <c r="BU96" i="1" s="1"/>
  <c r="BC96" i="1"/>
  <c r="BA96" i="1"/>
  <c r="AZ96" i="1"/>
  <c r="AX96" i="1"/>
  <c r="AW96" i="1"/>
  <c r="AV96" i="1"/>
  <c r="BB96" i="1" s="1"/>
  <c r="AS96" i="1"/>
  <c r="AQ96" i="1"/>
  <c r="AP96" i="1"/>
  <c r="AN96" i="1"/>
  <c r="AM96" i="1"/>
  <c r="AL96" i="1"/>
  <c r="AJ96" i="1" s="1"/>
  <c r="S96" i="1" s="1"/>
  <c r="BG96" i="1" s="1"/>
  <c r="AH96" i="1"/>
  <c r="AE96" i="1"/>
  <c r="AD96" i="1"/>
  <c r="AB96" i="1"/>
  <c r="AA96" i="1"/>
  <c r="Y96" i="1"/>
  <c r="X96" i="1"/>
  <c r="CD96" i="1" s="1"/>
  <c r="W96" i="1"/>
  <c r="V96" i="1"/>
  <c r="T96" i="1"/>
  <c r="U96" i="1" s="1"/>
  <c r="P96" i="1"/>
  <c r="O96" i="1"/>
  <c r="N96" i="1"/>
  <c r="M96" i="1"/>
  <c r="L96" i="1"/>
  <c r="J96" i="1"/>
  <c r="I96" i="1"/>
  <c r="F96" i="1"/>
  <c r="E96" i="1"/>
  <c r="C96" i="1"/>
  <c r="CA95" i="1"/>
  <c r="BY95" i="1"/>
  <c r="BU95" i="1"/>
  <c r="BM95" i="1"/>
  <c r="BJ95" i="1"/>
  <c r="BE95" i="1"/>
  <c r="BD95" i="1"/>
  <c r="BC95" i="1"/>
  <c r="BB95" i="1"/>
  <c r="BA95" i="1"/>
  <c r="AZ95" i="1"/>
  <c r="AY95" i="1"/>
  <c r="AX95" i="1"/>
  <c r="AW95" i="1"/>
  <c r="AV95" i="1"/>
  <c r="AT95" i="1"/>
  <c r="AS95" i="1"/>
  <c r="AQ95" i="1"/>
  <c r="AP95" i="1"/>
  <c r="AN95" i="1"/>
  <c r="AM95" i="1" s="1"/>
  <c r="AL95" i="1"/>
  <c r="AJ95" i="1"/>
  <c r="AK95" i="1" s="1"/>
  <c r="AI95" i="1"/>
  <c r="AO95" i="1" s="1"/>
  <c r="AH95" i="1"/>
  <c r="AG95" i="1"/>
  <c r="AU95" i="1" s="1"/>
  <c r="AD95" i="1"/>
  <c r="AC95" i="1"/>
  <c r="AF95" i="1" s="1"/>
  <c r="AA95" i="1"/>
  <c r="Y95" i="1"/>
  <c r="CD95" i="1" s="1"/>
  <c r="X95" i="1"/>
  <c r="W95" i="1"/>
  <c r="R95" i="1"/>
  <c r="Q95" i="1"/>
  <c r="P95" i="1"/>
  <c r="O95" i="1"/>
  <c r="N95" i="1"/>
  <c r="M95" i="1"/>
  <c r="L95" i="1"/>
  <c r="J95" i="1"/>
  <c r="I95" i="1"/>
  <c r="F95" i="1"/>
  <c r="E95" i="1"/>
  <c r="C95" i="1"/>
  <c r="CA94" i="1"/>
  <c r="BY94" i="1"/>
  <c r="BU94" i="1"/>
  <c r="BM94" i="1"/>
  <c r="BE94" i="1"/>
  <c r="BD94" i="1"/>
  <c r="BC94" i="1"/>
  <c r="BB94" i="1"/>
  <c r="BA94" i="1"/>
  <c r="AZ94" i="1"/>
  <c r="AY94" i="1"/>
  <c r="AX94" i="1"/>
  <c r="AW94" i="1"/>
  <c r="AV94" i="1"/>
  <c r="AT94" i="1"/>
  <c r="AS94" i="1"/>
  <c r="AQ94" i="1"/>
  <c r="AP94" i="1"/>
  <c r="AN94" i="1"/>
  <c r="AM94" i="1" s="1"/>
  <c r="AL94" i="1"/>
  <c r="AJ94" i="1" s="1"/>
  <c r="AI94" i="1"/>
  <c r="AH94" i="1"/>
  <c r="AG94" i="1"/>
  <c r="AU94" i="1" s="1"/>
  <c r="AD94" i="1"/>
  <c r="AC94" i="1"/>
  <c r="AF94" i="1" s="1"/>
  <c r="AA94" i="1"/>
  <c r="Y94" i="1"/>
  <c r="Z94" i="1" s="1"/>
  <c r="AE94" i="1" s="1"/>
  <c r="BH94" i="1" s="1"/>
  <c r="X94" i="1"/>
  <c r="W94" i="1"/>
  <c r="V94" i="1"/>
  <c r="R94" i="1"/>
  <c r="P94" i="1"/>
  <c r="O94" i="1"/>
  <c r="N94" i="1"/>
  <c r="M94" i="1"/>
  <c r="L94" i="1"/>
  <c r="J94" i="1"/>
  <c r="I94" i="1"/>
  <c r="F94" i="1"/>
  <c r="E94" i="1"/>
  <c r="C94" i="1"/>
  <c r="CA93" i="1"/>
  <c r="BY93" i="1"/>
  <c r="BU93" i="1"/>
  <c r="BO93" i="1"/>
  <c r="BM93" i="1"/>
  <c r="BJ93" i="1"/>
  <c r="BE93" i="1"/>
  <c r="BD93" i="1"/>
  <c r="BC93" i="1"/>
  <c r="BB93" i="1"/>
  <c r="AZ93" i="1"/>
  <c r="AX93" i="1"/>
  <c r="AY93" i="1" s="1"/>
  <c r="AW93" i="1"/>
  <c r="AV93" i="1"/>
  <c r="AU93" i="1"/>
  <c r="AT93" i="1"/>
  <c r="AS93" i="1"/>
  <c r="AQ93" i="1"/>
  <c r="AP93" i="1"/>
  <c r="AN93" i="1"/>
  <c r="AM93" i="1" s="1"/>
  <c r="AL93" i="1"/>
  <c r="AJ93" i="1" s="1"/>
  <c r="S93" i="1" s="1"/>
  <c r="BG93" i="1" s="1"/>
  <c r="AI93" i="1"/>
  <c r="AO93" i="1" s="1"/>
  <c r="AH93" i="1"/>
  <c r="AG93" i="1"/>
  <c r="AF93" i="1"/>
  <c r="AE93" i="1"/>
  <c r="AD93" i="1"/>
  <c r="AC93" i="1"/>
  <c r="AA93" i="1"/>
  <c r="Y93" i="1"/>
  <c r="X93" i="1"/>
  <c r="Z93" i="1" s="1"/>
  <c r="W93" i="1"/>
  <c r="V93" i="1"/>
  <c r="T93" i="1"/>
  <c r="U93" i="1" s="1"/>
  <c r="P93" i="1"/>
  <c r="N93" i="1"/>
  <c r="M93" i="1"/>
  <c r="L93" i="1"/>
  <c r="J93" i="1"/>
  <c r="I93" i="1"/>
  <c r="F93" i="1"/>
  <c r="E93" i="1"/>
  <c r="C93" i="1"/>
  <c r="CD92" i="1"/>
  <c r="CA92" i="1"/>
  <c r="BM92" i="1"/>
  <c r="BG92" i="1"/>
  <c r="BE92" i="1"/>
  <c r="BD92" i="1"/>
  <c r="BY92" i="1" s="1"/>
  <c r="BC92" i="1"/>
  <c r="BB92" i="1"/>
  <c r="AZ92" i="1"/>
  <c r="AX92" i="1"/>
  <c r="BA92" i="1" s="1"/>
  <c r="AW92" i="1"/>
  <c r="AV92" i="1"/>
  <c r="AT92" i="1"/>
  <c r="AS92" i="1"/>
  <c r="AQ92" i="1"/>
  <c r="AP92" i="1"/>
  <c r="AI92" i="1" s="1"/>
  <c r="AN92" i="1"/>
  <c r="AM92" i="1"/>
  <c r="AL92" i="1"/>
  <c r="AJ92" i="1"/>
  <c r="AH92" i="1"/>
  <c r="AG92" i="1"/>
  <c r="AU92" i="1" s="1"/>
  <c r="AF92" i="1"/>
  <c r="AE92" i="1"/>
  <c r="AD92" i="1"/>
  <c r="AC92" i="1"/>
  <c r="AB92" i="1"/>
  <c r="AA92" i="1"/>
  <c r="Y92" i="1"/>
  <c r="X92" i="1"/>
  <c r="W92" i="1"/>
  <c r="S92" i="1"/>
  <c r="P92" i="1"/>
  <c r="BJ92" i="1" s="1"/>
  <c r="O92" i="1"/>
  <c r="N92" i="1"/>
  <c r="M92" i="1"/>
  <c r="L92" i="1"/>
  <c r="J92" i="1"/>
  <c r="I92" i="1"/>
  <c r="F92" i="1"/>
  <c r="E92" i="1"/>
  <c r="C92" i="1"/>
  <c r="CA91" i="1"/>
  <c r="BY91" i="1"/>
  <c r="BU91" i="1"/>
  <c r="BM91" i="1"/>
  <c r="BE91" i="1"/>
  <c r="BD91" i="1"/>
  <c r="BC91" i="1"/>
  <c r="BB91" i="1"/>
  <c r="AZ91" i="1"/>
  <c r="AX91" i="1"/>
  <c r="S91" i="1" s="1"/>
  <c r="BG91" i="1" s="1"/>
  <c r="AW91" i="1"/>
  <c r="AV91" i="1"/>
  <c r="AT91" i="1"/>
  <c r="AS91" i="1"/>
  <c r="AQ91" i="1"/>
  <c r="AP91" i="1"/>
  <c r="AI91" i="1" s="1"/>
  <c r="AN91" i="1"/>
  <c r="AM91" i="1" s="1"/>
  <c r="AL91" i="1"/>
  <c r="AJ91" i="1"/>
  <c r="AH91" i="1"/>
  <c r="AG91" i="1"/>
  <c r="AU91" i="1" s="1"/>
  <c r="AD91" i="1"/>
  <c r="AC91" i="1"/>
  <c r="AF91" i="1" s="1"/>
  <c r="AA91" i="1"/>
  <c r="Y91" i="1"/>
  <c r="AB91" i="1" s="1"/>
  <c r="X91" i="1"/>
  <c r="W91" i="1"/>
  <c r="P91" i="1"/>
  <c r="O91" i="1"/>
  <c r="N91" i="1"/>
  <c r="M91" i="1"/>
  <c r="L91" i="1"/>
  <c r="J91" i="1"/>
  <c r="I91" i="1"/>
  <c r="F91" i="1"/>
  <c r="E91" i="1"/>
  <c r="C91" i="1"/>
  <c r="CA90" i="1"/>
  <c r="BY90" i="1"/>
  <c r="BU90" i="1"/>
  <c r="BM90" i="1"/>
  <c r="BE90" i="1"/>
  <c r="BD90" i="1"/>
  <c r="BC90" i="1"/>
  <c r="BB90" i="1"/>
  <c r="BA90" i="1"/>
  <c r="AZ90" i="1"/>
  <c r="AX90" i="1"/>
  <c r="AW90" i="1"/>
  <c r="AV90" i="1"/>
  <c r="AT90" i="1"/>
  <c r="AS90" i="1"/>
  <c r="AQ90" i="1"/>
  <c r="AP90" i="1"/>
  <c r="AI90" i="1" s="1"/>
  <c r="AN90" i="1"/>
  <c r="AM90" i="1" s="1"/>
  <c r="AL90" i="1"/>
  <c r="AJ90" i="1"/>
  <c r="AH90" i="1"/>
  <c r="AG90" i="1"/>
  <c r="AU90" i="1" s="1"/>
  <c r="AD90" i="1"/>
  <c r="AC90" i="1"/>
  <c r="AF90" i="1" s="1"/>
  <c r="AA90" i="1"/>
  <c r="Y90" i="1"/>
  <c r="AB90" i="1" s="1"/>
  <c r="X90" i="1"/>
  <c r="W90" i="1"/>
  <c r="P90" i="1"/>
  <c r="O90" i="1"/>
  <c r="N90" i="1"/>
  <c r="L90" i="1"/>
  <c r="J90" i="1"/>
  <c r="I90" i="1"/>
  <c r="F90" i="1"/>
  <c r="E90" i="1"/>
  <c r="C90" i="1"/>
  <c r="CA89" i="1"/>
  <c r="BM89" i="1"/>
  <c r="BE89" i="1"/>
  <c r="BD89" i="1"/>
  <c r="BU89" i="1" s="1"/>
  <c r="BC89" i="1"/>
  <c r="BA89" i="1"/>
  <c r="AZ89" i="1"/>
  <c r="AX89" i="1"/>
  <c r="AW89" i="1"/>
  <c r="AV89" i="1"/>
  <c r="BB89" i="1" s="1"/>
  <c r="AT89" i="1"/>
  <c r="AS89" i="1"/>
  <c r="AQ89" i="1"/>
  <c r="AP89" i="1"/>
  <c r="AN89" i="1"/>
  <c r="AM89" i="1" s="1"/>
  <c r="AL89" i="1"/>
  <c r="AJ89" i="1" s="1"/>
  <c r="AI89" i="1"/>
  <c r="AK89" i="1" s="1"/>
  <c r="AH89" i="1"/>
  <c r="AG89" i="1"/>
  <c r="AU89" i="1" s="1"/>
  <c r="AF89" i="1"/>
  <c r="AD89" i="1"/>
  <c r="R89" i="1" s="1"/>
  <c r="AC89" i="1"/>
  <c r="AA89" i="1"/>
  <c r="Y89" i="1"/>
  <c r="X89" i="1"/>
  <c r="Z89" i="1" s="1"/>
  <c r="AE89" i="1" s="1"/>
  <c r="BH89" i="1" s="1"/>
  <c r="W89" i="1"/>
  <c r="S89" i="1"/>
  <c r="BG89" i="1" s="1"/>
  <c r="P89" i="1"/>
  <c r="O89" i="1"/>
  <c r="N89" i="1"/>
  <c r="M89" i="1"/>
  <c r="L89" i="1"/>
  <c r="J89" i="1"/>
  <c r="I89" i="1"/>
  <c r="F89" i="1"/>
  <c r="E89" i="1"/>
  <c r="C89" i="1"/>
  <c r="CA88" i="1"/>
  <c r="BU88" i="1"/>
  <c r="BM88" i="1"/>
  <c r="BE88" i="1"/>
  <c r="BD88" i="1"/>
  <c r="BY88" i="1" s="1"/>
  <c r="BC88" i="1"/>
  <c r="BA88" i="1"/>
  <c r="AZ88" i="1"/>
  <c r="AX88" i="1"/>
  <c r="AW88" i="1"/>
  <c r="AV88" i="1"/>
  <c r="BB88" i="1" s="1"/>
  <c r="AU88" i="1"/>
  <c r="AS88" i="1"/>
  <c r="AQ88" i="1"/>
  <c r="AP88" i="1"/>
  <c r="AI88" i="1" s="1"/>
  <c r="AK88" i="1" s="1"/>
  <c r="AO88" i="1"/>
  <c r="AN88" i="1"/>
  <c r="AM88" i="1"/>
  <c r="AL88" i="1"/>
  <c r="AJ88" i="1" s="1"/>
  <c r="AH88" i="1"/>
  <c r="AG88" i="1"/>
  <c r="AD88" i="1"/>
  <c r="AC88" i="1"/>
  <c r="P88" i="1" s="1"/>
  <c r="AA88" i="1"/>
  <c r="Y88" i="1"/>
  <c r="CD88" i="1" s="1"/>
  <c r="X88" i="1"/>
  <c r="W88" i="1"/>
  <c r="R88" i="1"/>
  <c r="O88" i="1"/>
  <c r="N88" i="1"/>
  <c r="M88" i="1"/>
  <c r="L88" i="1"/>
  <c r="J88" i="1"/>
  <c r="I88" i="1"/>
  <c r="F88" i="1"/>
  <c r="E88" i="1"/>
  <c r="C88" i="1"/>
  <c r="CA87" i="1"/>
  <c r="BU87" i="1"/>
  <c r="BM87" i="1"/>
  <c r="BJ87" i="1"/>
  <c r="BE87" i="1"/>
  <c r="BD87" i="1"/>
  <c r="BY87" i="1" s="1"/>
  <c r="BC87" i="1"/>
  <c r="AZ87" i="1"/>
  <c r="AX87" i="1"/>
  <c r="BA87" i="1" s="1"/>
  <c r="AW87" i="1"/>
  <c r="AV87" i="1"/>
  <c r="BB87" i="1" s="1"/>
  <c r="AT87" i="1"/>
  <c r="AS87" i="1"/>
  <c r="AQ87" i="1"/>
  <c r="AP87" i="1"/>
  <c r="AI87" i="1" s="1"/>
  <c r="AK87" i="1" s="1"/>
  <c r="AO87" i="1"/>
  <c r="AN87" i="1"/>
  <c r="AM87" i="1"/>
  <c r="AL87" i="1"/>
  <c r="AJ87" i="1"/>
  <c r="AH87" i="1"/>
  <c r="AD87" i="1"/>
  <c r="AA87" i="1"/>
  <c r="Y87" i="1"/>
  <c r="X87" i="1"/>
  <c r="Z87" i="1" s="1"/>
  <c r="AE87" i="1" s="1"/>
  <c r="W87" i="1"/>
  <c r="AC87" i="1" s="1"/>
  <c r="P87" i="1"/>
  <c r="O87" i="1"/>
  <c r="N87" i="1"/>
  <c r="M87" i="1"/>
  <c r="L87" i="1"/>
  <c r="J87" i="1"/>
  <c r="I87" i="1"/>
  <c r="F87" i="1"/>
  <c r="E87" i="1"/>
  <c r="C87" i="1"/>
  <c r="CD86" i="1"/>
  <c r="CA86" i="1"/>
  <c r="BM86" i="1"/>
  <c r="BE86" i="1"/>
  <c r="BD86" i="1"/>
  <c r="BY86" i="1" s="1"/>
  <c r="BC86" i="1"/>
  <c r="BB86" i="1"/>
  <c r="AZ86" i="1"/>
  <c r="AX86" i="1"/>
  <c r="AW86" i="1"/>
  <c r="AV86" i="1"/>
  <c r="AT86" i="1"/>
  <c r="AS86" i="1"/>
  <c r="AQ86" i="1"/>
  <c r="AP86" i="1"/>
  <c r="AI86" i="1" s="1"/>
  <c r="AK86" i="1" s="1"/>
  <c r="AO86" i="1"/>
  <c r="AN86" i="1"/>
  <c r="AM86" i="1"/>
  <c r="AL86" i="1"/>
  <c r="AJ86" i="1"/>
  <c r="AH86" i="1"/>
  <c r="AE86" i="1"/>
  <c r="AD86" i="1"/>
  <c r="R86" i="1" s="1"/>
  <c r="AC86" i="1"/>
  <c r="AF86" i="1" s="1"/>
  <c r="AA86" i="1"/>
  <c r="Y86" i="1"/>
  <c r="X86" i="1"/>
  <c r="AB86" i="1" s="1"/>
  <c r="W86" i="1"/>
  <c r="T86" i="1"/>
  <c r="U86" i="1" s="1"/>
  <c r="P86" i="1"/>
  <c r="O86" i="1"/>
  <c r="N86" i="1"/>
  <c r="M86" i="1"/>
  <c r="L86" i="1"/>
  <c r="J86" i="1"/>
  <c r="I86" i="1"/>
  <c r="F86" i="1"/>
  <c r="E86" i="1"/>
  <c r="C86" i="1"/>
  <c r="CD85" i="1"/>
  <c r="CA85" i="1"/>
  <c r="BY85" i="1"/>
  <c r="BM85" i="1"/>
  <c r="BJ85" i="1"/>
  <c r="BE85" i="1"/>
  <c r="BD85" i="1"/>
  <c r="BU85" i="1" s="1"/>
  <c r="BC85" i="1"/>
  <c r="BB85" i="1"/>
  <c r="BA85" i="1"/>
  <c r="AZ85" i="1"/>
  <c r="AX85" i="1"/>
  <c r="AW85" i="1"/>
  <c r="AV85" i="1"/>
  <c r="AU85" i="1"/>
  <c r="AT85" i="1"/>
  <c r="AS85" i="1"/>
  <c r="AQ85" i="1"/>
  <c r="AP85" i="1"/>
  <c r="AN85" i="1"/>
  <c r="AM85" i="1"/>
  <c r="AL85" i="1"/>
  <c r="AJ85" i="1" s="1"/>
  <c r="AI85" i="1"/>
  <c r="AO85" i="1" s="1"/>
  <c r="AH85" i="1"/>
  <c r="AG85" i="1"/>
  <c r="AE85" i="1"/>
  <c r="BH85" i="1" s="1"/>
  <c r="AD85" i="1"/>
  <c r="AC85" i="1"/>
  <c r="AF85" i="1" s="1"/>
  <c r="AB85" i="1"/>
  <c r="AA85" i="1"/>
  <c r="Z85" i="1"/>
  <c r="Y85" i="1"/>
  <c r="X85" i="1"/>
  <c r="W85" i="1"/>
  <c r="V85" i="1"/>
  <c r="T85" i="1"/>
  <c r="U85" i="1" s="1"/>
  <c r="R85" i="1"/>
  <c r="P85" i="1"/>
  <c r="Q85" i="1" s="1"/>
  <c r="N85" i="1"/>
  <c r="M85" i="1"/>
  <c r="L85" i="1"/>
  <c r="J85" i="1"/>
  <c r="I85" i="1"/>
  <c r="F85" i="1"/>
  <c r="E85" i="1"/>
  <c r="C85" i="1"/>
  <c r="CA84" i="1"/>
  <c r="BY84" i="1"/>
  <c r="BM84" i="1"/>
  <c r="BJ84" i="1"/>
  <c r="BE84" i="1"/>
  <c r="BD84" i="1"/>
  <c r="BU84" i="1" s="1"/>
  <c r="BC84" i="1"/>
  <c r="BB84" i="1"/>
  <c r="BA84" i="1"/>
  <c r="AZ84" i="1"/>
  <c r="AY84" i="1"/>
  <c r="AX84" i="1"/>
  <c r="AW84" i="1"/>
  <c r="AV84" i="1"/>
  <c r="AS84" i="1"/>
  <c r="AQ84" i="1"/>
  <c r="AP84" i="1"/>
  <c r="AN84" i="1"/>
  <c r="AM84" i="1"/>
  <c r="AL84" i="1"/>
  <c r="AJ84" i="1"/>
  <c r="S84" i="1" s="1"/>
  <c r="BG84" i="1" s="1"/>
  <c r="AH84" i="1"/>
  <c r="AG84" i="1"/>
  <c r="AU84" i="1" s="1"/>
  <c r="AD84" i="1"/>
  <c r="AC84" i="1"/>
  <c r="AF84" i="1" s="1"/>
  <c r="AA84" i="1"/>
  <c r="Z84" i="1"/>
  <c r="AE84" i="1" s="1"/>
  <c r="Y84" i="1"/>
  <c r="CD84" i="1" s="1"/>
  <c r="X84" i="1"/>
  <c r="W84" i="1"/>
  <c r="V84" i="1"/>
  <c r="U84" i="1"/>
  <c r="T84" i="1"/>
  <c r="Q84" i="1"/>
  <c r="P84" i="1"/>
  <c r="O84" i="1"/>
  <c r="N84" i="1"/>
  <c r="M84" i="1"/>
  <c r="L84" i="1"/>
  <c r="J84" i="1"/>
  <c r="I84" i="1"/>
  <c r="F84" i="1"/>
  <c r="E84" i="1"/>
  <c r="C84" i="1"/>
  <c r="CA83" i="1"/>
  <c r="BY83" i="1"/>
  <c r="BM83" i="1"/>
  <c r="BJ83" i="1"/>
  <c r="BE83" i="1"/>
  <c r="BD83" i="1"/>
  <c r="BU83" i="1" s="1"/>
  <c r="BC83" i="1"/>
  <c r="BB83" i="1"/>
  <c r="AZ83" i="1"/>
  <c r="AY83" i="1"/>
  <c r="AX83" i="1"/>
  <c r="BA83" i="1" s="1"/>
  <c r="AW83" i="1"/>
  <c r="AV83" i="1"/>
  <c r="AU83" i="1"/>
  <c r="AT83" i="1"/>
  <c r="AS83" i="1"/>
  <c r="AQ83" i="1"/>
  <c r="AP83" i="1"/>
  <c r="AN83" i="1"/>
  <c r="AM83" i="1"/>
  <c r="AL83" i="1"/>
  <c r="AJ83" i="1" s="1"/>
  <c r="AI83" i="1"/>
  <c r="AO83" i="1" s="1"/>
  <c r="AH83" i="1"/>
  <c r="AG83" i="1"/>
  <c r="AD83" i="1"/>
  <c r="AC83" i="1"/>
  <c r="AB83" i="1"/>
  <c r="AA83" i="1"/>
  <c r="Y83" i="1"/>
  <c r="X83" i="1"/>
  <c r="W83" i="1"/>
  <c r="V83" i="1"/>
  <c r="T83" i="1"/>
  <c r="U83" i="1" s="1"/>
  <c r="S83" i="1"/>
  <c r="BG83" i="1" s="1"/>
  <c r="Q83" i="1"/>
  <c r="P83" i="1"/>
  <c r="O83" i="1"/>
  <c r="N83" i="1"/>
  <c r="M83" i="1"/>
  <c r="L83" i="1"/>
  <c r="J83" i="1"/>
  <c r="I83" i="1"/>
  <c r="F83" i="1"/>
  <c r="E83" i="1"/>
  <c r="C83" i="1"/>
  <c r="CA82" i="1"/>
  <c r="BY82" i="1"/>
  <c r="BM82" i="1"/>
  <c r="BJ82" i="1"/>
  <c r="BE82" i="1"/>
  <c r="BD82" i="1"/>
  <c r="BU82" i="1" s="1"/>
  <c r="BC82" i="1"/>
  <c r="BB82" i="1"/>
  <c r="AZ82" i="1"/>
  <c r="AX82" i="1"/>
  <c r="AW82" i="1"/>
  <c r="AV82" i="1"/>
  <c r="AS82" i="1"/>
  <c r="AQ82" i="1"/>
  <c r="AP82" i="1"/>
  <c r="AT82" i="1" s="1"/>
  <c r="AN82" i="1"/>
  <c r="AM82" i="1" s="1"/>
  <c r="AL82" i="1"/>
  <c r="AJ82" i="1" s="1"/>
  <c r="AK82" i="1"/>
  <c r="AI82" i="1"/>
  <c r="AO82" i="1" s="1"/>
  <c r="AH82" i="1"/>
  <c r="AG82" i="1"/>
  <c r="AU82" i="1" s="1"/>
  <c r="AD82" i="1"/>
  <c r="AC82" i="1"/>
  <c r="AF82" i="1" s="1"/>
  <c r="AB82" i="1"/>
  <c r="AA82" i="1"/>
  <c r="Z82" i="1"/>
  <c r="AE82" i="1" s="1"/>
  <c r="BH82" i="1" s="1"/>
  <c r="Y82" i="1"/>
  <c r="CD82" i="1" s="1"/>
  <c r="X82" i="1"/>
  <c r="W82" i="1"/>
  <c r="V82" i="1"/>
  <c r="T82" i="1"/>
  <c r="U82" i="1" s="1"/>
  <c r="Q82" i="1"/>
  <c r="P82" i="1"/>
  <c r="O82" i="1"/>
  <c r="N82" i="1"/>
  <c r="M82" i="1"/>
  <c r="L82" i="1"/>
  <c r="J82" i="1"/>
  <c r="I82" i="1"/>
  <c r="F82" i="1"/>
  <c r="E82" i="1"/>
  <c r="C82" i="1"/>
  <c r="CA81" i="1"/>
  <c r="BY81" i="1"/>
  <c r="BU81" i="1"/>
  <c r="BM81" i="1"/>
  <c r="BJ81" i="1"/>
  <c r="BE81" i="1"/>
  <c r="BD81" i="1"/>
  <c r="BC81" i="1"/>
  <c r="BB81" i="1"/>
  <c r="BA81" i="1"/>
  <c r="AZ81" i="1"/>
  <c r="AX81" i="1"/>
  <c r="AW81" i="1"/>
  <c r="AS81" i="1"/>
  <c r="AQ81" i="1"/>
  <c r="AP81" i="1"/>
  <c r="AN81" i="1"/>
  <c r="AM81" i="1" s="1"/>
  <c r="AL81" i="1"/>
  <c r="AJ81" i="1" s="1"/>
  <c r="S81" i="1" s="1"/>
  <c r="BG81" i="1" s="1"/>
  <c r="AH81" i="1"/>
  <c r="AF81" i="1"/>
  <c r="AD81" i="1"/>
  <c r="AC81" i="1"/>
  <c r="AB81" i="1"/>
  <c r="AA81" i="1"/>
  <c r="Y81" i="1"/>
  <c r="X81" i="1"/>
  <c r="CD81" i="1" s="1"/>
  <c r="W81" i="1"/>
  <c r="T81" i="1"/>
  <c r="U81" i="1" s="1"/>
  <c r="Q81" i="1"/>
  <c r="P81" i="1"/>
  <c r="V81" i="1" s="1"/>
  <c r="N81" i="1"/>
  <c r="M81" i="1"/>
  <c r="L81" i="1"/>
  <c r="J81" i="1"/>
  <c r="I81" i="1"/>
  <c r="F81" i="1"/>
  <c r="E81" i="1"/>
  <c r="C81" i="1"/>
  <c r="CA80" i="1"/>
  <c r="BU80" i="1"/>
  <c r="BM80" i="1"/>
  <c r="BJ80" i="1"/>
  <c r="BE80" i="1"/>
  <c r="BD80" i="1"/>
  <c r="BY80" i="1" s="1"/>
  <c r="BC80" i="1"/>
  <c r="AZ80" i="1"/>
  <c r="AX80" i="1"/>
  <c r="AW80" i="1"/>
  <c r="AV80" i="1"/>
  <c r="BB80" i="1" s="1"/>
  <c r="AS80" i="1"/>
  <c r="AQ80" i="1"/>
  <c r="AP80" i="1"/>
  <c r="AT80" i="1" s="1"/>
  <c r="AN80" i="1"/>
  <c r="AM80" i="1"/>
  <c r="AL80" i="1"/>
  <c r="AJ80" i="1" s="1"/>
  <c r="S80" i="1" s="1"/>
  <c r="BG80" i="1" s="1"/>
  <c r="AH80" i="1"/>
  <c r="AG80" i="1"/>
  <c r="AU80" i="1" s="1"/>
  <c r="AD80" i="1"/>
  <c r="AC80" i="1"/>
  <c r="AF80" i="1" s="1"/>
  <c r="AA80" i="1"/>
  <c r="Z80" i="1"/>
  <c r="AE80" i="1" s="1"/>
  <c r="Y80" i="1"/>
  <c r="X80" i="1"/>
  <c r="W80" i="1"/>
  <c r="Q80" i="1"/>
  <c r="P80" i="1"/>
  <c r="O80" i="1"/>
  <c r="N80" i="1"/>
  <c r="M80" i="1"/>
  <c r="L80" i="1"/>
  <c r="J80" i="1"/>
  <c r="I80" i="1"/>
  <c r="F80" i="1"/>
  <c r="E80" i="1"/>
  <c r="C80" i="1"/>
  <c r="CA79" i="1"/>
  <c r="BY79" i="1"/>
  <c r="BU79" i="1"/>
  <c r="BM79" i="1"/>
  <c r="BJ79" i="1"/>
  <c r="BE79" i="1"/>
  <c r="BD79" i="1"/>
  <c r="BC79" i="1"/>
  <c r="BB79" i="1"/>
  <c r="AZ79" i="1"/>
  <c r="AY79" i="1"/>
  <c r="AX79" i="1"/>
  <c r="BA79" i="1" s="1"/>
  <c r="AW79" i="1"/>
  <c r="AV79" i="1"/>
  <c r="AS79" i="1"/>
  <c r="AQ79" i="1"/>
  <c r="AP79" i="1"/>
  <c r="AT79" i="1" s="1"/>
  <c r="AN79" i="1"/>
  <c r="AM79" i="1" s="1"/>
  <c r="AL79" i="1"/>
  <c r="AJ79" i="1" s="1"/>
  <c r="AH79" i="1"/>
  <c r="AG79" i="1"/>
  <c r="AU79" i="1" s="1"/>
  <c r="AD79" i="1"/>
  <c r="AC79" i="1"/>
  <c r="AF79" i="1" s="1"/>
  <c r="AA79" i="1"/>
  <c r="Y79" i="1"/>
  <c r="X79" i="1"/>
  <c r="AB79" i="1" s="1"/>
  <c r="W79" i="1"/>
  <c r="V79" i="1"/>
  <c r="Q79" i="1"/>
  <c r="P79" i="1"/>
  <c r="BO79" i="1" s="1"/>
  <c r="N79" i="1"/>
  <c r="M79" i="1"/>
  <c r="L79" i="1"/>
  <c r="J79" i="1"/>
  <c r="I79" i="1"/>
  <c r="E79" i="1"/>
  <c r="C79" i="1"/>
  <c r="CA78" i="1"/>
  <c r="BM78" i="1"/>
  <c r="BJ78" i="1"/>
  <c r="BE78" i="1"/>
  <c r="BD78" i="1"/>
  <c r="BU78" i="1" s="1"/>
  <c r="BC78" i="1"/>
  <c r="BB78" i="1"/>
  <c r="BA78" i="1"/>
  <c r="AZ78" i="1"/>
  <c r="AX78" i="1"/>
  <c r="AY78" i="1" s="1"/>
  <c r="AW78" i="1"/>
  <c r="AV78" i="1"/>
  <c r="AU78" i="1"/>
  <c r="AT78" i="1"/>
  <c r="AS78" i="1"/>
  <c r="AQ78" i="1"/>
  <c r="AP78" i="1"/>
  <c r="AO78" i="1"/>
  <c r="AN78" i="1"/>
  <c r="AM78" i="1"/>
  <c r="AL78" i="1"/>
  <c r="AJ78" i="1" s="1"/>
  <c r="AI78" i="1"/>
  <c r="AH78" i="1"/>
  <c r="AG78" i="1"/>
  <c r="AD78" i="1"/>
  <c r="AC78" i="1"/>
  <c r="AF78" i="1" s="1"/>
  <c r="AA78" i="1"/>
  <c r="Y78" i="1"/>
  <c r="X78" i="1"/>
  <c r="AB78" i="1" s="1"/>
  <c r="W78" i="1"/>
  <c r="V78" i="1"/>
  <c r="Q78" i="1"/>
  <c r="P78" i="1"/>
  <c r="O78" i="1"/>
  <c r="N78" i="1"/>
  <c r="M78" i="1"/>
  <c r="L78" i="1"/>
  <c r="J78" i="1"/>
  <c r="I78" i="1"/>
  <c r="F78" i="1"/>
  <c r="E78" i="1"/>
  <c r="C78" i="1"/>
  <c r="CA77" i="1"/>
  <c r="BM77" i="1"/>
  <c r="BJ77" i="1"/>
  <c r="BE77" i="1"/>
  <c r="BD77" i="1"/>
  <c r="BY77" i="1" s="1"/>
  <c r="BC77" i="1"/>
  <c r="BA77" i="1"/>
  <c r="AZ77" i="1"/>
  <c r="AX77" i="1"/>
  <c r="AW77" i="1"/>
  <c r="AS77" i="1"/>
  <c r="AQ77" i="1"/>
  <c r="AP77" i="1"/>
  <c r="AT77" i="1" s="1"/>
  <c r="AN77" i="1"/>
  <c r="AM77" i="1"/>
  <c r="AL77" i="1"/>
  <c r="AJ77" i="1"/>
  <c r="AH77" i="1"/>
  <c r="AE77" i="1"/>
  <c r="AD77" i="1"/>
  <c r="AC77" i="1"/>
  <c r="AB77" i="1"/>
  <c r="AA77" i="1"/>
  <c r="Z77" i="1"/>
  <c r="Y77" i="1"/>
  <c r="CD77" i="1" s="1"/>
  <c r="X77" i="1"/>
  <c r="W77" i="1"/>
  <c r="V77" i="1"/>
  <c r="T77" i="1"/>
  <c r="U77" i="1" s="1"/>
  <c r="Q77" i="1"/>
  <c r="P77" i="1"/>
  <c r="O77" i="1"/>
  <c r="N77" i="1"/>
  <c r="M77" i="1"/>
  <c r="L77" i="1"/>
  <c r="J77" i="1"/>
  <c r="I77" i="1"/>
  <c r="F77" i="1"/>
  <c r="E77" i="1"/>
  <c r="C77" i="1"/>
  <c r="CA76" i="1"/>
  <c r="BU76" i="1"/>
  <c r="BM76" i="1"/>
  <c r="BJ76" i="1"/>
  <c r="BE76" i="1"/>
  <c r="BD76" i="1"/>
  <c r="BY76" i="1" s="1"/>
  <c r="BC76" i="1"/>
  <c r="AZ76" i="1"/>
  <c r="AX76" i="1"/>
  <c r="AY76" i="1" s="1"/>
  <c r="AW76" i="1"/>
  <c r="AV76" i="1"/>
  <c r="BB76" i="1" s="1"/>
  <c r="AS76" i="1"/>
  <c r="AQ76" i="1"/>
  <c r="AP76" i="1"/>
  <c r="AT76" i="1" s="1"/>
  <c r="AO76" i="1"/>
  <c r="AN76" i="1"/>
  <c r="AM76" i="1"/>
  <c r="AL76" i="1"/>
  <c r="AJ76" i="1"/>
  <c r="AI76" i="1"/>
  <c r="AH76" i="1"/>
  <c r="AG76" i="1"/>
  <c r="BO76" i="1" s="1"/>
  <c r="AD76" i="1"/>
  <c r="S76" i="1" s="1"/>
  <c r="BG76" i="1" s="1"/>
  <c r="BS76" i="1" s="1"/>
  <c r="AC76" i="1"/>
  <c r="AF76" i="1" s="1"/>
  <c r="AA76" i="1"/>
  <c r="Z76" i="1"/>
  <c r="AE76" i="1" s="1"/>
  <c r="BH76" i="1" s="1"/>
  <c r="BP76" i="1" s="1"/>
  <c r="Y76" i="1"/>
  <c r="CD76" i="1" s="1"/>
  <c r="X76" i="1"/>
  <c r="W76" i="1"/>
  <c r="V76" i="1"/>
  <c r="U76" i="1"/>
  <c r="T76" i="1"/>
  <c r="Q76" i="1"/>
  <c r="P76" i="1"/>
  <c r="N76" i="1"/>
  <c r="M76" i="1"/>
  <c r="L76" i="1"/>
  <c r="J76" i="1"/>
  <c r="I76" i="1"/>
  <c r="F76" i="1"/>
  <c r="E76" i="1"/>
  <c r="C76" i="1"/>
  <c r="CD75" i="1"/>
  <c r="CA75" i="1"/>
  <c r="BY75" i="1"/>
  <c r="BU75" i="1"/>
  <c r="BM75" i="1"/>
  <c r="BJ75" i="1"/>
  <c r="BE75" i="1"/>
  <c r="BD75" i="1"/>
  <c r="BC75" i="1"/>
  <c r="BB75" i="1"/>
  <c r="BA75" i="1"/>
  <c r="AZ75" i="1"/>
  <c r="AX75" i="1"/>
  <c r="AW75" i="1"/>
  <c r="AV75" i="1"/>
  <c r="AS75" i="1"/>
  <c r="AQ75" i="1"/>
  <c r="AP75" i="1"/>
  <c r="AN75" i="1"/>
  <c r="AM75" i="1"/>
  <c r="AL75" i="1"/>
  <c r="AJ75" i="1"/>
  <c r="AH75" i="1"/>
  <c r="AG75" i="1"/>
  <c r="AD75" i="1"/>
  <c r="AC75" i="1"/>
  <c r="AF75" i="1" s="1"/>
  <c r="AA75" i="1"/>
  <c r="Y75" i="1"/>
  <c r="AB75" i="1" s="1"/>
  <c r="X75" i="1"/>
  <c r="W75" i="1"/>
  <c r="S75" i="1"/>
  <c r="BG75" i="1" s="1"/>
  <c r="BW75" i="1" s="1"/>
  <c r="Q75" i="1"/>
  <c r="P75" i="1"/>
  <c r="O75" i="1"/>
  <c r="N75" i="1"/>
  <c r="M75" i="1"/>
  <c r="L75" i="1"/>
  <c r="J75" i="1"/>
  <c r="I75" i="1"/>
  <c r="F75" i="1"/>
  <c r="E75" i="1"/>
  <c r="C75" i="1"/>
  <c r="CA74" i="1"/>
  <c r="BU74" i="1"/>
  <c r="BM74" i="1"/>
  <c r="BJ74" i="1"/>
  <c r="BG74" i="1"/>
  <c r="BW74" i="1" s="1"/>
  <c r="BE74" i="1"/>
  <c r="BD74" i="1"/>
  <c r="BY74" i="1" s="1"/>
  <c r="BC74" i="1"/>
  <c r="BB74" i="1"/>
  <c r="AZ74" i="1"/>
  <c r="AY74" i="1"/>
  <c r="AX74" i="1"/>
  <c r="BA74" i="1" s="1"/>
  <c r="AW74" i="1"/>
  <c r="AV74" i="1"/>
  <c r="AS74" i="1"/>
  <c r="AQ74" i="1"/>
  <c r="AP74" i="1"/>
  <c r="AN74" i="1"/>
  <c r="AM74" i="1"/>
  <c r="AL74" i="1"/>
  <c r="AJ74" i="1"/>
  <c r="AH74" i="1"/>
  <c r="AG74" i="1"/>
  <c r="AU74" i="1" s="1"/>
  <c r="AD74" i="1"/>
  <c r="AC74" i="1"/>
  <c r="AF74" i="1" s="1"/>
  <c r="AA74" i="1"/>
  <c r="Y74" i="1"/>
  <c r="X74" i="1"/>
  <c r="W74" i="1"/>
  <c r="V74" i="1"/>
  <c r="T74" i="1"/>
  <c r="U74" i="1" s="1"/>
  <c r="S74" i="1"/>
  <c r="Q74" i="1"/>
  <c r="P74" i="1"/>
  <c r="O74" i="1"/>
  <c r="N74" i="1"/>
  <c r="M74" i="1"/>
  <c r="L74" i="1"/>
  <c r="J74" i="1"/>
  <c r="I74" i="1"/>
  <c r="E74" i="1"/>
  <c r="C74" i="1"/>
  <c r="CA73" i="1"/>
  <c r="BO73" i="1"/>
  <c r="BM73" i="1"/>
  <c r="BJ73" i="1"/>
  <c r="BE73" i="1"/>
  <c r="BD73" i="1"/>
  <c r="BC73" i="1"/>
  <c r="BB73" i="1"/>
  <c r="AZ73" i="1"/>
  <c r="AY73" i="1"/>
  <c r="AX73" i="1"/>
  <c r="BA73" i="1" s="1"/>
  <c r="AW73" i="1"/>
  <c r="AV73" i="1"/>
  <c r="AS73" i="1"/>
  <c r="AQ73" i="1"/>
  <c r="AP73" i="1"/>
  <c r="AT73" i="1" s="1"/>
  <c r="AN73" i="1"/>
  <c r="AM73" i="1"/>
  <c r="AL73" i="1"/>
  <c r="AJ73" i="1" s="1"/>
  <c r="AH73" i="1"/>
  <c r="AG73" i="1"/>
  <c r="AD73" i="1"/>
  <c r="AC73" i="1"/>
  <c r="AF73" i="1" s="1"/>
  <c r="AA73" i="1"/>
  <c r="Y73" i="1"/>
  <c r="CD73" i="1" s="1"/>
  <c r="X73" i="1"/>
  <c r="W73" i="1"/>
  <c r="V73" i="1"/>
  <c r="T73" i="1"/>
  <c r="U73" i="1" s="1"/>
  <c r="Q73" i="1"/>
  <c r="P73" i="1"/>
  <c r="O73" i="1"/>
  <c r="N73" i="1"/>
  <c r="M73" i="1"/>
  <c r="L73" i="1"/>
  <c r="J73" i="1"/>
  <c r="I73" i="1"/>
  <c r="F73" i="1"/>
  <c r="E73" i="1"/>
  <c r="C73" i="1"/>
  <c r="CD72" i="1"/>
  <c r="CA72" i="1"/>
  <c r="BM72" i="1"/>
  <c r="BJ72" i="1"/>
  <c r="BE72" i="1"/>
  <c r="BD72" i="1"/>
  <c r="BY72" i="1" s="1"/>
  <c r="BC72" i="1"/>
  <c r="BB72" i="1"/>
  <c r="AZ72" i="1"/>
  <c r="AX72" i="1"/>
  <c r="AW72" i="1"/>
  <c r="AV72" i="1"/>
  <c r="AT72" i="1"/>
  <c r="AS72" i="1"/>
  <c r="AQ72" i="1"/>
  <c r="AP72" i="1"/>
  <c r="AN72" i="1"/>
  <c r="AM72" i="1"/>
  <c r="AL72" i="1"/>
  <c r="AJ72" i="1" s="1"/>
  <c r="AI72" i="1"/>
  <c r="AO72" i="1" s="1"/>
  <c r="AH72" i="1"/>
  <c r="AG72" i="1"/>
  <c r="AD72" i="1"/>
  <c r="AC72" i="1"/>
  <c r="AF72" i="1" s="1"/>
  <c r="AB72" i="1"/>
  <c r="AA72" i="1"/>
  <c r="Z72" i="1"/>
  <c r="AE72" i="1" s="1"/>
  <c r="Y72" i="1"/>
  <c r="X72" i="1"/>
  <c r="W72" i="1"/>
  <c r="V72" i="1"/>
  <c r="T72" i="1"/>
  <c r="U72" i="1" s="1"/>
  <c r="R72" i="1"/>
  <c r="Q72" i="1"/>
  <c r="P72" i="1"/>
  <c r="O72" i="1"/>
  <c r="N72" i="1"/>
  <c r="M72" i="1"/>
  <c r="L72" i="1"/>
  <c r="J72" i="1"/>
  <c r="I72" i="1"/>
  <c r="F72" i="1"/>
  <c r="E72" i="1"/>
  <c r="C72" i="1"/>
  <c r="CA71" i="1"/>
  <c r="BU71" i="1"/>
  <c r="BO71" i="1"/>
  <c r="BM71" i="1"/>
  <c r="BJ71" i="1"/>
  <c r="BE71" i="1"/>
  <c r="BD71" i="1"/>
  <c r="BY71" i="1" s="1"/>
  <c r="BC71" i="1"/>
  <c r="AZ71" i="1"/>
  <c r="AX71" i="1"/>
  <c r="AW71" i="1"/>
  <c r="AV71" i="1"/>
  <c r="BB71" i="1" s="1"/>
  <c r="AU71" i="1"/>
  <c r="AS71" i="1"/>
  <c r="AQ71" i="1"/>
  <c r="AP71" i="1"/>
  <c r="AT71" i="1" s="1"/>
  <c r="AO71" i="1"/>
  <c r="AN71" i="1"/>
  <c r="AM71" i="1"/>
  <c r="AL71" i="1"/>
  <c r="AJ71" i="1" s="1"/>
  <c r="AI71" i="1"/>
  <c r="AH71" i="1"/>
  <c r="AG71" i="1"/>
  <c r="AD71" i="1"/>
  <c r="AC71" i="1"/>
  <c r="AF71" i="1" s="1"/>
  <c r="AA71" i="1"/>
  <c r="Z71" i="1"/>
  <c r="AE71" i="1" s="1"/>
  <c r="Y71" i="1"/>
  <c r="CD71" i="1" s="1"/>
  <c r="X71" i="1"/>
  <c r="W71" i="1"/>
  <c r="V71" i="1"/>
  <c r="U71" i="1"/>
  <c r="T71" i="1"/>
  <c r="Q71" i="1"/>
  <c r="P71" i="1"/>
  <c r="O71" i="1"/>
  <c r="N71" i="1"/>
  <c r="M71" i="1"/>
  <c r="L71" i="1"/>
  <c r="J71" i="1"/>
  <c r="I71" i="1"/>
  <c r="F71" i="1"/>
  <c r="E71" i="1"/>
  <c r="C71" i="1"/>
  <c r="CA70" i="1"/>
  <c r="BY70" i="1"/>
  <c r="BU70" i="1"/>
  <c r="BM70" i="1"/>
  <c r="BJ70" i="1"/>
  <c r="BE70" i="1"/>
  <c r="BD70" i="1"/>
  <c r="BC70" i="1"/>
  <c r="BB70" i="1"/>
  <c r="AZ70" i="1"/>
  <c r="AX70" i="1"/>
  <c r="BA70" i="1" s="1"/>
  <c r="AW70" i="1"/>
  <c r="AV70" i="1"/>
  <c r="AS70" i="1"/>
  <c r="AQ70" i="1"/>
  <c r="AP70" i="1"/>
  <c r="AN70" i="1"/>
  <c r="AM70" i="1"/>
  <c r="AL70" i="1"/>
  <c r="AJ70" i="1"/>
  <c r="S70" i="1" s="1"/>
  <c r="BG70" i="1" s="1"/>
  <c r="AH70" i="1"/>
  <c r="AG70" i="1"/>
  <c r="AU70" i="1" s="1"/>
  <c r="AD70" i="1"/>
  <c r="AC70" i="1"/>
  <c r="AB70" i="1"/>
  <c r="AA70" i="1"/>
  <c r="Z70" i="1"/>
  <c r="AE70" i="1" s="1"/>
  <c r="Y70" i="1"/>
  <c r="CD70" i="1" s="1"/>
  <c r="X70" i="1"/>
  <c r="W70" i="1"/>
  <c r="T70" i="1"/>
  <c r="U70" i="1" s="1"/>
  <c r="Q70" i="1"/>
  <c r="P70" i="1"/>
  <c r="V70" i="1" s="1"/>
  <c r="O70" i="1"/>
  <c r="N70" i="1"/>
  <c r="M70" i="1"/>
  <c r="L70" i="1"/>
  <c r="J70" i="1"/>
  <c r="I70" i="1"/>
  <c r="F70" i="1"/>
  <c r="E70" i="1"/>
  <c r="C70" i="1"/>
  <c r="CA69" i="1"/>
  <c r="BO69" i="1"/>
  <c r="BM69" i="1"/>
  <c r="BJ69" i="1"/>
  <c r="BE69" i="1"/>
  <c r="BD69" i="1"/>
  <c r="BY69" i="1" s="1"/>
  <c r="BC69" i="1"/>
  <c r="AZ69" i="1"/>
  <c r="AX69" i="1"/>
  <c r="AW69" i="1"/>
  <c r="AV69" i="1"/>
  <c r="BB69" i="1" s="1"/>
  <c r="AS69" i="1"/>
  <c r="AQ69" i="1"/>
  <c r="AP69" i="1"/>
  <c r="AT69" i="1" s="1"/>
  <c r="AN69" i="1"/>
  <c r="AM69" i="1"/>
  <c r="AL69" i="1"/>
  <c r="AJ69" i="1"/>
  <c r="AH69" i="1"/>
  <c r="AG69" i="1"/>
  <c r="AU69" i="1" s="1"/>
  <c r="AD69" i="1"/>
  <c r="AC69" i="1"/>
  <c r="AF69" i="1" s="1"/>
  <c r="AA69" i="1"/>
  <c r="Y69" i="1"/>
  <c r="AB69" i="1" s="1"/>
  <c r="X69" i="1"/>
  <c r="W69" i="1"/>
  <c r="T69" i="1"/>
  <c r="U69" i="1" s="1"/>
  <c r="Q69" i="1"/>
  <c r="P69" i="1"/>
  <c r="V69" i="1" s="1"/>
  <c r="O69" i="1"/>
  <c r="N69" i="1"/>
  <c r="M69" i="1"/>
  <c r="L69" i="1"/>
  <c r="J69" i="1"/>
  <c r="I69" i="1"/>
  <c r="F69" i="1"/>
  <c r="E69" i="1"/>
  <c r="C69" i="1"/>
  <c r="CA68" i="1"/>
  <c r="BY68" i="1"/>
  <c r="BU68" i="1"/>
  <c r="BO68" i="1"/>
  <c r="BM68" i="1"/>
  <c r="BJ68" i="1"/>
  <c r="BE68" i="1"/>
  <c r="BD68" i="1"/>
  <c r="BC68" i="1"/>
  <c r="BB68" i="1"/>
  <c r="AZ68" i="1"/>
  <c r="AX68" i="1"/>
  <c r="BA68" i="1" s="1"/>
  <c r="AW68" i="1"/>
  <c r="AV68" i="1"/>
  <c r="AS68" i="1"/>
  <c r="AQ68" i="1"/>
  <c r="AP68" i="1"/>
  <c r="AN68" i="1"/>
  <c r="AM68" i="1" s="1"/>
  <c r="AL68" i="1"/>
  <c r="AJ68" i="1"/>
  <c r="AH68" i="1"/>
  <c r="AG68" i="1"/>
  <c r="AU68" i="1" s="1"/>
  <c r="AF68" i="1"/>
  <c r="AD68" i="1"/>
  <c r="AC68" i="1"/>
  <c r="AA68" i="1"/>
  <c r="Y68" i="1"/>
  <c r="X68" i="1"/>
  <c r="W68" i="1"/>
  <c r="T68" i="1"/>
  <c r="U68" i="1" s="1"/>
  <c r="S68" i="1"/>
  <c r="BG68" i="1" s="1"/>
  <c r="Q68" i="1"/>
  <c r="P68" i="1"/>
  <c r="V68" i="1" s="1"/>
  <c r="O68" i="1"/>
  <c r="N68" i="1"/>
  <c r="M68" i="1"/>
  <c r="L68" i="1"/>
  <c r="J68" i="1"/>
  <c r="I68" i="1"/>
  <c r="F68" i="1"/>
  <c r="E68" i="1"/>
  <c r="C68" i="1"/>
  <c r="CA67" i="1"/>
  <c r="BY67" i="1"/>
  <c r="BM67" i="1"/>
  <c r="BE67" i="1"/>
  <c r="BD67" i="1"/>
  <c r="BU67" i="1" s="1"/>
  <c r="BC67" i="1"/>
  <c r="AZ67" i="1"/>
  <c r="AX67" i="1"/>
  <c r="BA67" i="1" s="1"/>
  <c r="AW67" i="1"/>
  <c r="AV67" i="1"/>
  <c r="BB67" i="1" s="1"/>
  <c r="AS67" i="1"/>
  <c r="AQ67" i="1"/>
  <c r="AP67" i="1"/>
  <c r="AT67" i="1" s="1"/>
  <c r="AN67" i="1"/>
  <c r="AM67" i="1" s="1"/>
  <c r="AL67" i="1"/>
  <c r="AJ67" i="1"/>
  <c r="AI67" i="1"/>
  <c r="AO67" i="1" s="1"/>
  <c r="AH67" i="1"/>
  <c r="AG67" i="1"/>
  <c r="AU67" i="1" s="1"/>
  <c r="AF67" i="1"/>
  <c r="AD67" i="1"/>
  <c r="S67" i="1" s="1"/>
  <c r="BG67" i="1" s="1"/>
  <c r="AC67" i="1"/>
  <c r="AA67" i="1"/>
  <c r="Y67" i="1"/>
  <c r="X67" i="1"/>
  <c r="Z67" i="1" s="1"/>
  <c r="AE67" i="1" s="1"/>
  <c r="W67" i="1"/>
  <c r="V67" i="1"/>
  <c r="T67" i="1"/>
  <c r="U67" i="1" s="1"/>
  <c r="R67" i="1"/>
  <c r="Q67" i="1"/>
  <c r="P67" i="1"/>
  <c r="BJ67" i="1" s="1"/>
  <c r="O67" i="1"/>
  <c r="N67" i="1"/>
  <c r="M67" i="1"/>
  <c r="L67" i="1"/>
  <c r="J67" i="1"/>
  <c r="I67" i="1"/>
  <c r="F67" i="1"/>
  <c r="E67" i="1"/>
  <c r="C67" i="1"/>
  <c r="CA66" i="1"/>
  <c r="BY66" i="1"/>
  <c r="BM66" i="1"/>
  <c r="BE66" i="1"/>
  <c r="BD66" i="1"/>
  <c r="BU66" i="1" s="1"/>
  <c r="BC66" i="1"/>
  <c r="BA66" i="1"/>
  <c r="AZ66" i="1"/>
  <c r="AY66" i="1"/>
  <c r="AX66" i="1"/>
  <c r="AW66" i="1"/>
  <c r="AV66" i="1"/>
  <c r="BB66" i="1" s="1"/>
  <c r="AS66" i="1"/>
  <c r="AQ66" i="1"/>
  <c r="AP66" i="1"/>
  <c r="AT66" i="1" s="1"/>
  <c r="AN66" i="1"/>
  <c r="AM66" i="1" s="1"/>
  <c r="AL66" i="1"/>
  <c r="AJ66" i="1"/>
  <c r="AH66" i="1"/>
  <c r="AG66" i="1"/>
  <c r="AU66" i="1" s="1"/>
  <c r="AF66" i="1"/>
  <c r="AD66" i="1"/>
  <c r="S66" i="1" s="1"/>
  <c r="BG66" i="1" s="1"/>
  <c r="AC66" i="1"/>
  <c r="AA66" i="1"/>
  <c r="Y66" i="1"/>
  <c r="X66" i="1"/>
  <c r="CD66" i="1" s="1"/>
  <c r="W66" i="1"/>
  <c r="V66" i="1"/>
  <c r="Q66" i="1"/>
  <c r="P66" i="1"/>
  <c r="N66" i="1"/>
  <c r="M66" i="1"/>
  <c r="L66" i="1"/>
  <c r="J66" i="1"/>
  <c r="I66" i="1"/>
  <c r="E66" i="1"/>
  <c r="C66" i="1"/>
  <c r="CA65" i="1"/>
  <c r="BU65" i="1"/>
  <c r="BM65" i="1"/>
  <c r="BE65" i="1"/>
  <c r="BD65" i="1"/>
  <c r="BY65" i="1" s="1"/>
  <c r="BC65" i="1"/>
  <c r="AZ65" i="1"/>
  <c r="AX65" i="1"/>
  <c r="BA65" i="1" s="1"/>
  <c r="AW65" i="1"/>
  <c r="AV65" i="1"/>
  <c r="BB65" i="1" s="1"/>
  <c r="AS65" i="1"/>
  <c r="AQ65" i="1"/>
  <c r="AP65" i="1"/>
  <c r="AT65" i="1" s="1"/>
  <c r="AN65" i="1"/>
  <c r="AM65" i="1" s="1"/>
  <c r="AL65" i="1"/>
  <c r="AJ65" i="1" s="1"/>
  <c r="S65" i="1" s="1"/>
  <c r="BG65" i="1" s="1"/>
  <c r="AH65" i="1"/>
  <c r="AG65" i="1"/>
  <c r="AU65" i="1" s="1"/>
  <c r="AF65" i="1"/>
  <c r="AE65" i="1"/>
  <c r="AD65" i="1"/>
  <c r="AC65" i="1"/>
  <c r="AA65" i="1"/>
  <c r="Y65" i="1"/>
  <c r="X65" i="1"/>
  <c r="Z65" i="1" s="1"/>
  <c r="W65" i="1"/>
  <c r="V65" i="1"/>
  <c r="T65" i="1"/>
  <c r="U65" i="1" s="1"/>
  <c r="P65" i="1"/>
  <c r="BO65" i="1" s="1"/>
  <c r="O65" i="1"/>
  <c r="N65" i="1"/>
  <c r="M65" i="1"/>
  <c r="L65" i="1"/>
  <c r="J65" i="1"/>
  <c r="I65" i="1"/>
  <c r="F65" i="1"/>
  <c r="E65" i="1"/>
  <c r="C65" i="1"/>
  <c r="CA64" i="1"/>
  <c r="BY64" i="1"/>
  <c r="BU64" i="1"/>
  <c r="BM64" i="1"/>
  <c r="BE64" i="1"/>
  <c r="BD64" i="1"/>
  <c r="BC64" i="1"/>
  <c r="BA64" i="1"/>
  <c r="AZ64" i="1"/>
  <c r="AY64" i="1"/>
  <c r="AX64" i="1"/>
  <c r="AW64" i="1"/>
  <c r="AV64" i="1"/>
  <c r="BB64" i="1" s="1"/>
  <c r="AS64" i="1"/>
  <c r="AQ64" i="1"/>
  <c r="AP64" i="1"/>
  <c r="AT64" i="1" s="1"/>
  <c r="AN64" i="1"/>
  <c r="AM64" i="1" s="1"/>
  <c r="AL64" i="1"/>
  <c r="AJ64" i="1" s="1"/>
  <c r="BH64" i="1" s="1"/>
  <c r="AI64" i="1"/>
  <c r="AO64" i="1" s="1"/>
  <c r="AH64" i="1"/>
  <c r="AG64" i="1"/>
  <c r="AU64" i="1" s="1"/>
  <c r="AF64" i="1"/>
  <c r="AE64" i="1"/>
  <c r="AD64" i="1"/>
  <c r="R64" i="1" s="1"/>
  <c r="AC64" i="1"/>
  <c r="AA64" i="1"/>
  <c r="Y64" i="1"/>
  <c r="X64" i="1"/>
  <c r="AB64" i="1" s="1"/>
  <c r="W64" i="1"/>
  <c r="P64" i="1"/>
  <c r="O64" i="1"/>
  <c r="N64" i="1"/>
  <c r="M64" i="1"/>
  <c r="L64" i="1"/>
  <c r="J64" i="1"/>
  <c r="I64" i="1"/>
  <c r="F64" i="1"/>
  <c r="E64" i="1"/>
  <c r="C64" i="1"/>
  <c r="CD63" i="1"/>
  <c r="CA63" i="1"/>
  <c r="BY63" i="1"/>
  <c r="BU63" i="1"/>
  <c r="BM63" i="1"/>
  <c r="BJ63" i="1"/>
  <c r="BE63" i="1"/>
  <c r="BD63" i="1"/>
  <c r="BC63" i="1"/>
  <c r="AZ63" i="1"/>
  <c r="AX63" i="1"/>
  <c r="BA63" i="1" s="1"/>
  <c r="AW63" i="1"/>
  <c r="AV63" i="1"/>
  <c r="BB63" i="1" s="1"/>
  <c r="AS63" i="1"/>
  <c r="AQ63" i="1"/>
  <c r="AP63" i="1"/>
  <c r="AT63" i="1" s="1"/>
  <c r="AN63" i="1"/>
  <c r="AM63" i="1"/>
  <c r="AL63" i="1"/>
  <c r="AJ63" i="1" s="1"/>
  <c r="AH63" i="1"/>
  <c r="AG63" i="1"/>
  <c r="AU63" i="1" s="1"/>
  <c r="AD63" i="1"/>
  <c r="S63" i="1" s="1"/>
  <c r="BG63" i="1" s="1"/>
  <c r="AA63" i="1"/>
  <c r="Y63" i="1"/>
  <c r="X63" i="1"/>
  <c r="AB63" i="1" s="1"/>
  <c r="W63" i="1"/>
  <c r="V63" i="1"/>
  <c r="Q63" i="1"/>
  <c r="P63" i="1"/>
  <c r="O63" i="1"/>
  <c r="N63" i="1"/>
  <c r="M63" i="1"/>
  <c r="L63" i="1"/>
  <c r="J63" i="1"/>
  <c r="I63" i="1"/>
  <c r="F63" i="1"/>
  <c r="E63" i="1"/>
  <c r="C63" i="1"/>
  <c r="CA62" i="1"/>
  <c r="BM62" i="1"/>
  <c r="BE62" i="1"/>
  <c r="BD62" i="1"/>
  <c r="BY62" i="1" s="1"/>
  <c r="BC62" i="1"/>
  <c r="BB62" i="1"/>
  <c r="AZ62" i="1"/>
  <c r="AY62" i="1" s="1"/>
  <c r="AX62" i="1"/>
  <c r="BA62" i="1" s="1"/>
  <c r="AW62" i="1"/>
  <c r="AV62" i="1"/>
  <c r="AT62" i="1"/>
  <c r="AS62" i="1"/>
  <c r="AQ62" i="1"/>
  <c r="AP62" i="1"/>
  <c r="AN62" i="1"/>
  <c r="AM62" i="1" s="1"/>
  <c r="AL62" i="1"/>
  <c r="AJ62" i="1" s="1"/>
  <c r="S62" i="1" s="1"/>
  <c r="BG62" i="1" s="1"/>
  <c r="AI62" i="1"/>
  <c r="AK62" i="1" s="1"/>
  <c r="AH62" i="1"/>
  <c r="AG62" i="1"/>
  <c r="AU62" i="1" s="1"/>
  <c r="AD62" i="1"/>
  <c r="AC62" i="1"/>
  <c r="AF62" i="1" s="1"/>
  <c r="AA62" i="1"/>
  <c r="Y62" i="1"/>
  <c r="Z62" i="1" s="1"/>
  <c r="AE62" i="1" s="1"/>
  <c r="BH62" i="1" s="1"/>
  <c r="BP62" i="1" s="1"/>
  <c r="X62" i="1"/>
  <c r="R62" i="1"/>
  <c r="P62" i="1"/>
  <c r="BJ62" i="1" s="1"/>
  <c r="O62" i="1"/>
  <c r="N62" i="1"/>
  <c r="M62" i="1"/>
  <c r="L62" i="1"/>
  <c r="J62" i="1"/>
  <c r="I62" i="1"/>
  <c r="F62" i="1"/>
  <c r="E62" i="1"/>
  <c r="C62" i="1"/>
  <c r="CA61" i="1"/>
  <c r="BM61" i="1"/>
  <c r="BE61" i="1"/>
  <c r="BD61" i="1"/>
  <c r="BU61" i="1" s="1"/>
  <c r="BA61" i="1"/>
  <c r="AZ61" i="1"/>
  <c r="AX61" i="1"/>
  <c r="AW61" i="1"/>
  <c r="AV61" i="1"/>
  <c r="BB61" i="1" s="1"/>
  <c r="AT61" i="1"/>
  <c r="AM61" i="1" s="1"/>
  <c r="AS61" i="1"/>
  <c r="AQ61" i="1"/>
  <c r="AP61" i="1"/>
  <c r="AN61" i="1"/>
  <c r="AL61" i="1"/>
  <c r="AJ61" i="1" s="1"/>
  <c r="AI61" i="1"/>
  <c r="AO61" i="1" s="1"/>
  <c r="AH61" i="1"/>
  <c r="AD61" i="1"/>
  <c r="R61" i="1" s="1"/>
  <c r="AC61" i="1"/>
  <c r="AA61" i="1"/>
  <c r="Y61" i="1"/>
  <c r="X61" i="1"/>
  <c r="P61" i="1"/>
  <c r="BJ61" i="1" s="1"/>
  <c r="O61" i="1"/>
  <c r="N61" i="1"/>
  <c r="M61" i="1"/>
  <c r="L61" i="1"/>
  <c r="J61" i="1"/>
  <c r="I61" i="1"/>
  <c r="F61" i="1"/>
  <c r="E61" i="1"/>
  <c r="C61" i="1"/>
  <c r="CA60" i="1"/>
  <c r="BM60" i="1"/>
  <c r="BJ60" i="1"/>
  <c r="BE60" i="1"/>
  <c r="BD60" i="1"/>
  <c r="BU60" i="1" s="1"/>
  <c r="BC60" i="1"/>
  <c r="BA60" i="1"/>
  <c r="AZ60" i="1"/>
  <c r="AY60" i="1" s="1"/>
  <c r="AX60" i="1"/>
  <c r="AW60" i="1"/>
  <c r="AV60" i="1"/>
  <c r="BB60" i="1" s="1"/>
  <c r="AT60" i="1"/>
  <c r="AS60" i="1"/>
  <c r="AQ60" i="1"/>
  <c r="AP60" i="1"/>
  <c r="AN60" i="1"/>
  <c r="AM60" i="1"/>
  <c r="AL60" i="1"/>
  <c r="AJ60" i="1" s="1"/>
  <c r="AI60" i="1"/>
  <c r="AO60" i="1" s="1"/>
  <c r="AH60" i="1"/>
  <c r="AG60" i="1"/>
  <c r="AF60" i="1"/>
  <c r="AD60" i="1"/>
  <c r="S60" i="1" s="1"/>
  <c r="BG60" i="1" s="1"/>
  <c r="AC60" i="1"/>
  <c r="AB60" i="1"/>
  <c r="AA60" i="1"/>
  <c r="Z60" i="1"/>
  <c r="AE60" i="1" s="1"/>
  <c r="BH60" i="1" s="1"/>
  <c r="BP60" i="1" s="1"/>
  <c r="Y60" i="1"/>
  <c r="X60" i="1"/>
  <c r="CD60" i="1" s="1"/>
  <c r="W60" i="1"/>
  <c r="V60" i="1"/>
  <c r="T60" i="1"/>
  <c r="U60" i="1" s="1"/>
  <c r="P60" i="1"/>
  <c r="O60" i="1"/>
  <c r="N60" i="1"/>
  <c r="M60" i="1"/>
  <c r="L60" i="1"/>
  <c r="J60" i="1"/>
  <c r="I60" i="1"/>
  <c r="F60" i="1"/>
  <c r="E60" i="1"/>
  <c r="C60" i="1"/>
  <c r="CD59" i="1"/>
  <c r="CA59" i="1"/>
  <c r="BY59" i="1"/>
  <c r="BM59" i="1"/>
  <c r="BE59" i="1"/>
  <c r="BD59" i="1"/>
  <c r="BU59" i="1" s="1"/>
  <c r="BC59" i="1"/>
  <c r="BA59" i="1"/>
  <c r="AZ59" i="1"/>
  <c r="AY59" i="1"/>
  <c r="AX59" i="1"/>
  <c r="AW59" i="1"/>
  <c r="AV59" i="1"/>
  <c r="BB59" i="1" s="1"/>
  <c r="AU59" i="1"/>
  <c r="AS59" i="1"/>
  <c r="AQ59" i="1"/>
  <c r="AP59" i="1"/>
  <c r="AT59" i="1" s="1"/>
  <c r="AN59" i="1"/>
  <c r="AM59" i="1"/>
  <c r="AL59" i="1"/>
  <c r="AJ59" i="1" s="1"/>
  <c r="AH59" i="1"/>
  <c r="AG59" i="1"/>
  <c r="AE59" i="1"/>
  <c r="AD59" i="1"/>
  <c r="S59" i="1" s="1"/>
  <c r="BG59" i="1" s="1"/>
  <c r="AC59" i="1"/>
  <c r="AF59" i="1" s="1"/>
  <c r="AA59" i="1"/>
  <c r="Z59" i="1"/>
  <c r="Y59" i="1"/>
  <c r="X59" i="1"/>
  <c r="AB59" i="1" s="1"/>
  <c r="W59" i="1"/>
  <c r="P59" i="1"/>
  <c r="O59" i="1"/>
  <c r="N59" i="1"/>
  <c r="M59" i="1"/>
  <c r="L59" i="1"/>
  <c r="J59" i="1"/>
  <c r="I59" i="1"/>
  <c r="F59" i="1"/>
  <c r="E59" i="1"/>
  <c r="C59" i="1"/>
  <c r="CD58" i="1"/>
  <c r="CA58" i="1"/>
  <c r="BU58" i="1"/>
  <c r="BM58" i="1"/>
  <c r="BE58" i="1"/>
  <c r="BD58" i="1"/>
  <c r="BY58" i="1" s="1"/>
  <c r="BC58" i="1"/>
  <c r="BB58" i="1"/>
  <c r="BA58" i="1"/>
  <c r="AZ58" i="1"/>
  <c r="AY58" i="1"/>
  <c r="AX58" i="1"/>
  <c r="AW58" i="1"/>
  <c r="AV58" i="1"/>
  <c r="AU58" i="1"/>
  <c r="AT58" i="1"/>
  <c r="AS58" i="1"/>
  <c r="AQ58" i="1"/>
  <c r="AP58" i="1"/>
  <c r="AI58" i="1" s="1"/>
  <c r="AN58" i="1"/>
  <c r="AM58" i="1" s="1"/>
  <c r="AL58" i="1"/>
  <c r="AJ58" i="1"/>
  <c r="AH58" i="1"/>
  <c r="AG58" i="1"/>
  <c r="AD58" i="1"/>
  <c r="S58" i="1" s="1"/>
  <c r="BG58" i="1" s="1"/>
  <c r="AC58" i="1"/>
  <c r="AF58" i="1" s="1"/>
  <c r="AB58" i="1"/>
  <c r="AA58" i="1"/>
  <c r="Z58" i="1"/>
  <c r="AE58" i="1" s="1"/>
  <c r="BH58" i="1" s="1"/>
  <c r="BP58" i="1" s="1"/>
  <c r="Y58" i="1"/>
  <c r="X58" i="1"/>
  <c r="W58" i="1"/>
  <c r="T58" i="1"/>
  <c r="U58" i="1" s="1"/>
  <c r="P58" i="1"/>
  <c r="O58" i="1"/>
  <c r="N58" i="1"/>
  <c r="M58" i="1"/>
  <c r="L58" i="1"/>
  <c r="J58" i="1"/>
  <c r="I58" i="1"/>
  <c r="F58" i="1"/>
  <c r="E58" i="1"/>
  <c r="C58" i="1"/>
  <c r="CA57" i="1"/>
  <c r="BY57" i="1"/>
  <c r="BU57" i="1"/>
  <c r="BM57" i="1"/>
  <c r="BJ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Q57" i="1"/>
  <c r="AP57" i="1"/>
  <c r="AN57" i="1"/>
  <c r="AM57" i="1"/>
  <c r="AL57" i="1"/>
  <c r="AK57" i="1"/>
  <c r="AJ57" i="1"/>
  <c r="S57" i="1" s="1"/>
  <c r="BG57" i="1" s="1"/>
  <c r="AI57" i="1"/>
  <c r="AO57" i="1" s="1"/>
  <c r="AH57" i="1"/>
  <c r="AG57" i="1"/>
  <c r="AD57" i="1"/>
  <c r="AC57" i="1"/>
  <c r="AF57" i="1" s="1"/>
  <c r="AB57" i="1"/>
  <c r="AA57" i="1"/>
  <c r="Y57" i="1"/>
  <c r="X57" i="1"/>
  <c r="CD57" i="1" s="1"/>
  <c r="W57" i="1"/>
  <c r="U57" i="1"/>
  <c r="T57" i="1"/>
  <c r="P57" i="1"/>
  <c r="O57" i="1"/>
  <c r="N57" i="1"/>
  <c r="M57" i="1"/>
  <c r="L57" i="1"/>
  <c r="J57" i="1"/>
  <c r="I57" i="1"/>
  <c r="F57" i="1"/>
  <c r="E57" i="1"/>
  <c r="C57" i="1"/>
  <c r="CA56" i="1"/>
  <c r="BY56" i="1"/>
  <c r="BM56" i="1"/>
  <c r="BJ56" i="1"/>
  <c r="BE56" i="1"/>
  <c r="BD56" i="1"/>
  <c r="BU56" i="1" s="1"/>
  <c r="BC56" i="1"/>
  <c r="BA56" i="1"/>
  <c r="AZ56" i="1"/>
  <c r="AX56" i="1"/>
  <c r="AW56" i="1"/>
  <c r="AV56" i="1"/>
  <c r="AY56" i="1" s="1"/>
  <c r="AT56" i="1"/>
  <c r="AS56" i="1"/>
  <c r="AQ56" i="1"/>
  <c r="AP56" i="1"/>
  <c r="AN56" i="1"/>
  <c r="AM56" i="1" s="1"/>
  <c r="AL56" i="1"/>
  <c r="AJ56" i="1" s="1"/>
  <c r="AI56" i="1"/>
  <c r="AO56" i="1" s="1"/>
  <c r="AH56" i="1"/>
  <c r="AG56" i="1"/>
  <c r="AF56" i="1"/>
  <c r="AD56" i="1"/>
  <c r="S56" i="1" s="1"/>
  <c r="BG56" i="1" s="1"/>
  <c r="AC56" i="1"/>
  <c r="AA56" i="1"/>
  <c r="Z56" i="1"/>
  <c r="AE56" i="1" s="1"/>
  <c r="BH56" i="1" s="1"/>
  <c r="BP56" i="1" s="1"/>
  <c r="Y56" i="1"/>
  <c r="X56" i="1"/>
  <c r="AB56" i="1" s="1"/>
  <c r="W56" i="1"/>
  <c r="V56" i="1"/>
  <c r="T56" i="1"/>
  <c r="U56" i="1" s="1"/>
  <c r="R56" i="1"/>
  <c r="P56" i="1"/>
  <c r="O56" i="1"/>
  <c r="N56" i="1"/>
  <c r="M56" i="1"/>
  <c r="L56" i="1"/>
  <c r="J56" i="1"/>
  <c r="I56" i="1"/>
  <c r="F56" i="1"/>
  <c r="E56" i="1"/>
  <c r="C56" i="1"/>
  <c r="CD55" i="1"/>
  <c r="CA55" i="1"/>
  <c r="BM55" i="1"/>
  <c r="BJ55" i="1"/>
  <c r="BE55" i="1"/>
  <c r="BD55" i="1"/>
  <c r="BU55" i="1" s="1"/>
  <c r="BC55" i="1"/>
  <c r="BA55" i="1"/>
  <c r="AZ55" i="1"/>
  <c r="AY55" i="1"/>
  <c r="AX55" i="1"/>
  <c r="AW55" i="1"/>
  <c r="AV55" i="1"/>
  <c r="BB55" i="1" s="1"/>
  <c r="AU55" i="1"/>
  <c r="AS55" i="1"/>
  <c r="AQ55" i="1"/>
  <c r="AP55" i="1"/>
  <c r="AT55" i="1" s="1"/>
  <c r="AN55" i="1"/>
  <c r="AM55" i="1"/>
  <c r="AL55" i="1"/>
  <c r="AJ55" i="1" s="1"/>
  <c r="S55" i="1" s="1"/>
  <c r="BG55" i="1" s="1"/>
  <c r="AK55" i="1"/>
  <c r="AI55" i="1"/>
  <c r="AO55" i="1" s="1"/>
  <c r="AH55" i="1"/>
  <c r="AG55" i="1"/>
  <c r="AD55" i="1"/>
  <c r="AC55" i="1"/>
  <c r="AF55" i="1" s="1"/>
  <c r="AA55" i="1"/>
  <c r="Z55" i="1"/>
  <c r="AE55" i="1" s="1"/>
  <c r="BH55" i="1" s="1"/>
  <c r="BP55" i="1" s="1"/>
  <c r="Y55" i="1"/>
  <c r="X55" i="1"/>
  <c r="AB55" i="1" s="1"/>
  <c r="W55" i="1"/>
  <c r="V55" i="1"/>
  <c r="R55" i="1"/>
  <c r="P55" i="1"/>
  <c r="N55" i="1"/>
  <c r="M55" i="1"/>
  <c r="L55" i="1"/>
  <c r="J55" i="1"/>
  <c r="I55" i="1"/>
  <c r="F55" i="1"/>
  <c r="E55" i="1"/>
  <c r="C55" i="1"/>
  <c r="CA54" i="1"/>
  <c r="BY54" i="1"/>
  <c r="BU54" i="1"/>
  <c r="BJ54" i="1"/>
  <c r="BE54" i="1"/>
  <c r="BD54" i="1"/>
  <c r="BC54" i="1"/>
  <c r="BB54" i="1"/>
  <c r="AZ54" i="1"/>
  <c r="AX54" i="1"/>
  <c r="BA54" i="1" s="1"/>
  <c r="AW54" i="1"/>
  <c r="AV54" i="1"/>
  <c r="AU54" i="1"/>
  <c r="AT54" i="1"/>
  <c r="AS54" i="1"/>
  <c r="AQ54" i="1"/>
  <c r="AP54" i="1"/>
  <c r="AO54" i="1"/>
  <c r="AN54" i="1"/>
  <c r="AM54" i="1" s="1"/>
  <c r="AL54" i="1"/>
  <c r="AJ54" i="1"/>
  <c r="AK54" i="1" s="1"/>
  <c r="AI54" i="1"/>
  <c r="AH54" i="1"/>
  <c r="AG54" i="1"/>
  <c r="AF54" i="1"/>
  <c r="AD54" i="1"/>
  <c r="AC54" i="1"/>
  <c r="AB54" i="1"/>
  <c r="AA54" i="1"/>
  <c r="Z54" i="1"/>
  <c r="AE54" i="1" s="1"/>
  <c r="Y54" i="1"/>
  <c r="X54" i="1"/>
  <c r="CD54" i="1" s="1"/>
  <c r="W54" i="1"/>
  <c r="V54" i="1"/>
  <c r="T54" i="1"/>
  <c r="U54" i="1" s="1"/>
  <c r="Q54" i="1"/>
  <c r="P54" i="1"/>
  <c r="BO54" i="1" s="1"/>
  <c r="O54" i="1"/>
  <c r="N54" i="1"/>
  <c r="M54" i="1"/>
  <c r="L54" i="1"/>
  <c r="J54" i="1"/>
  <c r="I54" i="1"/>
  <c r="F54" i="1"/>
  <c r="E54" i="1"/>
  <c r="C54" i="1"/>
  <c r="CD53" i="1"/>
  <c r="CA53" i="1"/>
  <c r="BY53" i="1"/>
  <c r="BS53" i="1"/>
  <c r="BM53" i="1"/>
  <c r="BJ53" i="1"/>
  <c r="BE53" i="1"/>
  <c r="BD53" i="1"/>
  <c r="BU53" i="1" s="1"/>
  <c r="BC53" i="1"/>
  <c r="BB53" i="1"/>
  <c r="AZ53" i="1"/>
  <c r="AY53" i="1"/>
  <c r="AX53" i="1"/>
  <c r="BA53" i="1" s="1"/>
  <c r="AW53" i="1"/>
  <c r="AV53" i="1"/>
  <c r="AU53" i="1"/>
  <c r="AT53" i="1"/>
  <c r="AS53" i="1"/>
  <c r="AQ53" i="1"/>
  <c r="AP53" i="1"/>
  <c r="AN53" i="1"/>
  <c r="AM53" i="1" s="1"/>
  <c r="AL53" i="1"/>
  <c r="AJ53" i="1" s="1"/>
  <c r="AK53" i="1"/>
  <c r="AI53" i="1"/>
  <c r="AH53" i="1"/>
  <c r="AG53" i="1"/>
  <c r="AD53" i="1"/>
  <c r="AC53" i="1"/>
  <c r="AA53" i="1"/>
  <c r="Z53" i="1"/>
  <c r="AE53" i="1" s="1"/>
  <c r="BH53" i="1" s="1"/>
  <c r="BP53" i="1" s="1"/>
  <c r="Y53" i="1"/>
  <c r="X53" i="1"/>
  <c r="AB53" i="1" s="1"/>
  <c r="W53" i="1"/>
  <c r="V53" i="1"/>
  <c r="U53" i="1"/>
  <c r="S53" i="1"/>
  <c r="BG53" i="1" s="1"/>
  <c r="Q53" i="1"/>
  <c r="P53" i="1"/>
  <c r="T53" i="1" s="1"/>
  <c r="N53" i="1"/>
  <c r="M53" i="1"/>
  <c r="L53" i="1"/>
  <c r="J53" i="1"/>
  <c r="I53" i="1"/>
  <c r="F53" i="1"/>
  <c r="E53" i="1"/>
  <c r="C53" i="1"/>
  <c r="CA52" i="1"/>
  <c r="BM52" i="1"/>
  <c r="BI52" i="1"/>
  <c r="BG52" i="1"/>
  <c r="BE52" i="1"/>
  <c r="BD52" i="1"/>
  <c r="BY52" i="1" s="1"/>
  <c r="BC52" i="1"/>
  <c r="BB52" i="1"/>
  <c r="BA52" i="1"/>
  <c r="AZ52" i="1"/>
  <c r="AX52" i="1"/>
  <c r="AW52" i="1"/>
  <c r="AV52" i="1"/>
  <c r="AT52" i="1"/>
  <c r="AS52" i="1"/>
  <c r="AQ52" i="1"/>
  <c r="AP52" i="1"/>
  <c r="AO52" i="1"/>
  <c r="AN52" i="1"/>
  <c r="AM52" i="1" s="1"/>
  <c r="AL52" i="1"/>
  <c r="AJ52" i="1"/>
  <c r="AI52" i="1"/>
  <c r="AK52" i="1" s="1"/>
  <c r="AH52" i="1"/>
  <c r="AG52" i="1"/>
  <c r="AU52" i="1" s="1"/>
  <c r="AF52" i="1"/>
  <c r="AD52" i="1"/>
  <c r="R52" i="1" s="1"/>
  <c r="AC52" i="1"/>
  <c r="AA52" i="1"/>
  <c r="Y52" i="1"/>
  <c r="X52" i="1"/>
  <c r="Z52" i="1" s="1"/>
  <c r="AE52" i="1" s="1"/>
  <c r="BH52" i="1" s="1"/>
  <c r="BP52" i="1" s="1"/>
  <c r="W52" i="1"/>
  <c r="S52" i="1"/>
  <c r="Q52" i="1"/>
  <c r="P52" i="1"/>
  <c r="BO52" i="1" s="1"/>
  <c r="N52" i="1"/>
  <c r="M52" i="1"/>
  <c r="L52" i="1"/>
  <c r="J52" i="1"/>
  <c r="I52" i="1"/>
  <c r="F52" i="1"/>
  <c r="E52" i="1"/>
  <c r="C52" i="1"/>
  <c r="CA51" i="1"/>
  <c r="BM51" i="1"/>
  <c r="BJ51" i="1"/>
  <c r="BE51" i="1"/>
  <c r="BD51" i="1"/>
  <c r="BU51" i="1" s="1"/>
  <c r="BC51" i="1"/>
  <c r="AZ51" i="1"/>
  <c r="AX51" i="1"/>
  <c r="BA51" i="1" s="1"/>
  <c r="AW51" i="1"/>
  <c r="AV51" i="1"/>
  <c r="BB51" i="1" s="1"/>
  <c r="AS51" i="1"/>
  <c r="AQ51" i="1"/>
  <c r="AP51" i="1"/>
  <c r="AT51" i="1" s="1"/>
  <c r="AN51" i="1"/>
  <c r="AM51" i="1"/>
  <c r="AL51" i="1"/>
  <c r="AJ51" i="1" s="1"/>
  <c r="AH51" i="1"/>
  <c r="AG51" i="1"/>
  <c r="AU51" i="1" s="1"/>
  <c r="AD51" i="1"/>
  <c r="AC51" i="1"/>
  <c r="AF51" i="1" s="1"/>
  <c r="AA51" i="1"/>
  <c r="Y51" i="1"/>
  <c r="X51" i="1"/>
  <c r="W51" i="1"/>
  <c r="V51" i="1"/>
  <c r="T51" i="1"/>
  <c r="U51" i="1" s="1"/>
  <c r="Q51" i="1"/>
  <c r="P51" i="1"/>
  <c r="BO51" i="1" s="1"/>
  <c r="O51" i="1"/>
  <c r="N51" i="1"/>
  <c r="M51" i="1"/>
  <c r="L51" i="1"/>
  <c r="J51" i="1"/>
  <c r="I51" i="1"/>
  <c r="F51" i="1"/>
  <c r="E51" i="1"/>
  <c r="C51" i="1"/>
  <c r="CD50" i="1"/>
  <c r="CA50" i="1"/>
  <c r="BU50" i="1"/>
  <c r="BO50" i="1"/>
  <c r="BM50" i="1"/>
  <c r="BE50" i="1"/>
  <c r="BD50" i="1"/>
  <c r="BY50" i="1" s="1"/>
  <c r="BC50" i="1"/>
  <c r="BB50" i="1"/>
  <c r="AZ50" i="1"/>
  <c r="AX50" i="1"/>
  <c r="BA50" i="1" s="1"/>
  <c r="AW50" i="1"/>
  <c r="AV50" i="1"/>
  <c r="AU50" i="1"/>
  <c r="AT50" i="1"/>
  <c r="AS50" i="1"/>
  <c r="AQ50" i="1"/>
  <c r="AP50" i="1"/>
  <c r="AN50" i="1"/>
  <c r="AM50" i="1" s="1"/>
  <c r="AL50" i="1"/>
  <c r="AJ50" i="1" s="1"/>
  <c r="AK50" i="1"/>
  <c r="AI50" i="1"/>
  <c r="AO50" i="1" s="1"/>
  <c r="AH50" i="1"/>
  <c r="AG50" i="1"/>
  <c r="AF50" i="1"/>
  <c r="AD50" i="1"/>
  <c r="AC50" i="1"/>
  <c r="AA50" i="1"/>
  <c r="Y50" i="1"/>
  <c r="X50" i="1"/>
  <c r="W50" i="1"/>
  <c r="V50" i="1"/>
  <c r="P50" i="1"/>
  <c r="O50" i="1"/>
  <c r="N50" i="1"/>
  <c r="M50" i="1"/>
  <c r="L50" i="1"/>
  <c r="J50" i="1"/>
  <c r="I50" i="1"/>
  <c r="F50" i="1"/>
  <c r="E50" i="1"/>
  <c r="C50" i="1"/>
  <c r="CD49" i="1"/>
  <c r="CA49" i="1"/>
  <c r="BS49" i="1"/>
  <c r="BJ49" i="1"/>
  <c r="BE49" i="1"/>
  <c r="BD49" i="1"/>
  <c r="BC49" i="1"/>
  <c r="BB49" i="1"/>
  <c r="BA49" i="1"/>
  <c r="AZ49" i="1"/>
  <c r="AX49" i="1"/>
  <c r="AW49" i="1"/>
  <c r="AV49" i="1"/>
  <c r="AY49" i="1" s="1"/>
  <c r="AT49" i="1"/>
  <c r="AS49" i="1"/>
  <c r="AQ49" i="1"/>
  <c r="AP49" i="1"/>
  <c r="AN49" i="1"/>
  <c r="AM49" i="1"/>
  <c r="AL49" i="1"/>
  <c r="AK49" i="1"/>
  <c r="AJ49" i="1"/>
  <c r="AI49" i="1"/>
  <c r="AH49" i="1"/>
  <c r="AG49" i="1"/>
  <c r="AU49" i="1" s="1"/>
  <c r="AE49" i="1"/>
  <c r="BH49" i="1" s="1"/>
  <c r="AD49" i="1"/>
  <c r="AC49" i="1"/>
  <c r="AF49" i="1" s="1"/>
  <c r="AB49" i="1"/>
  <c r="AA49" i="1"/>
  <c r="Z49" i="1"/>
  <c r="Y49" i="1"/>
  <c r="X49" i="1"/>
  <c r="W49" i="1"/>
  <c r="U49" i="1"/>
  <c r="T49" i="1"/>
  <c r="S49" i="1"/>
  <c r="BG49" i="1" s="1"/>
  <c r="BW49" i="1" s="1"/>
  <c r="P49" i="1"/>
  <c r="V49" i="1" s="1"/>
  <c r="O49" i="1"/>
  <c r="N49" i="1"/>
  <c r="M49" i="1"/>
  <c r="L49" i="1"/>
  <c r="J49" i="1"/>
  <c r="I49" i="1"/>
  <c r="F49" i="1"/>
  <c r="E49" i="1"/>
  <c r="C49" i="1"/>
  <c r="CA48" i="1"/>
  <c r="BY48" i="1"/>
  <c r="BU48" i="1"/>
  <c r="BM48" i="1"/>
  <c r="BJ48" i="1"/>
  <c r="BH48" i="1"/>
  <c r="BP48" i="1" s="1"/>
  <c r="BE48" i="1"/>
  <c r="BD48" i="1"/>
  <c r="BC48" i="1"/>
  <c r="BB48" i="1"/>
  <c r="BA48" i="1"/>
  <c r="AZ48" i="1"/>
  <c r="AX48" i="1"/>
  <c r="AW48" i="1"/>
  <c r="AV48" i="1"/>
  <c r="AU48" i="1"/>
  <c r="AS48" i="1"/>
  <c r="AQ48" i="1"/>
  <c r="AP48" i="1"/>
  <c r="AT48" i="1" s="1"/>
  <c r="AN48" i="1"/>
  <c r="AM48" i="1"/>
  <c r="AL48" i="1"/>
  <c r="AJ48" i="1"/>
  <c r="AI48" i="1"/>
  <c r="AH48" i="1"/>
  <c r="AG48" i="1"/>
  <c r="AF48" i="1"/>
  <c r="AD48" i="1"/>
  <c r="AC48" i="1"/>
  <c r="AB48" i="1"/>
  <c r="AA48" i="1"/>
  <c r="Z48" i="1"/>
  <c r="AE48" i="1" s="1"/>
  <c r="Y48" i="1"/>
  <c r="X48" i="1"/>
  <c r="CD48" i="1" s="1"/>
  <c r="W48" i="1"/>
  <c r="V48" i="1"/>
  <c r="T48" i="1"/>
  <c r="U48" i="1" s="1"/>
  <c r="S48" i="1"/>
  <c r="BG48" i="1" s="1"/>
  <c r="R48" i="1"/>
  <c r="Q48" i="1"/>
  <c r="P48" i="1"/>
  <c r="BO48" i="1" s="1"/>
  <c r="O48" i="1"/>
  <c r="N48" i="1"/>
  <c r="M48" i="1"/>
  <c r="L48" i="1"/>
  <c r="J48" i="1"/>
  <c r="I48" i="1"/>
  <c r="F48" i="1"/>
  <c r="E48" i="1"/>
  <c r="C48" i="1"/>
  <c r="CD47" i="1"/>
  <c r="CA47" i="1"/>
  <c r="BY47" i="1"/>
  <c r="BO47" i="1"/>
  <c r="BM47" i="1"/>
  <c r="BE47" i="1"/>
  <c r="BD47" i="1"/>
  <c r="BU47" i="1" s="1"/>
  <c r="BC47" i="1"/>
  <c r="BA47" i="1"/>
  <c r="AZ47" i="1"/>
  <c r="AY47" i="1"/>
  <c r="AX47" i="1"/>
  <c r="AW47" i="1"/>
  <c r="AV47" i="1"/>
  <c r="BB47" i="1" s="1"/>
  <c r="AU47" i="1"/>
  <c r="AS47" i="1"/>
  <c r="AQ47" i="1"/>
  <c r="AP47" i="1"/>
  <c r="AT47" i="1" s="1"/>
  <c r="AO47" i="1"/>
  <c r="AN47" i="1"/>
  <c r="AM47" i="1"/>
  <c r="AL47" i="1"/>
  <c r="AJ47" i="1"/>
  <c r="S47" i="1" s="1"/>
  <c r="BG47" i="1" s="1"/>
  <c r="BI47" i="1" s="1"/>
  <c r="AI47" i="1"/>
  <c r="AK47" i="1" s="1"/>
  <c r="AH47" i="1"/>
  <c r="AG47" i="1"/>
  <c r="AF47" i="1"/>
  <c r="AD47" i="1"/>
  <c r="AC47" i="1"/>
  <c r="AB47" i="1"/>
  <c r="AA47" i="1"/>
  <c r="Z47" i="1"/>
  <c r="AE47" i="1" s="1"/>
  <c r="BH47" i="1" s="1"/>
  <c r="Y47" i="1"/>
  <c r="X47" i="1"/>
  <c r="W47" i="1"/>
  <c r="V47" i="1"/>
  <c r="T47" i="1"/>
  <c r="U47" i="1" s="1"/>
  <c r="R47" i="1"/>
  <c r="Q47" i="1"/>
  <c r="P47" i="1"/>
  <c r="BJ47" i="1" s="1"/>
  <c r="O47" i="1"/>
  <c r="N47" i="1"/>
  <c r="M47" i="1"/>
  <c r="L47" i="1"/>
  <c r="J47" i="1"/>
  <c r="I47" i="1"/>
  <c r="F47" i="1"/>
  <c r="E47" i="1"/>
  <c r="C47" i="1"/>
  <c r="CD46" i="1"/>
  <c r="CA46" i="1"/>
  <c r="BY46" i="1"/>
  <c r="BW46" i="1"/>
  <c r="BM46" i="1"/>
  <c r="BH46" i="1"/>
  <c r="BP46" i="1" s="1"/>
  <c r="BG46" i="1"/>
  <c r="BS46" i="1" s="1"/>
  <c r="BE46" i="1"/>
  <c r="BD46" i="1"/>
  <c r="BU46" i="1" s="1"/>
  <c r="BC46" i="1"/>
  <c r="BA46" i="1"/>
  <c r="AZ46" i="1"/>
  <c r="AX46" i="1"/>
  <c r="AW46" i="1"/>
  <c r="AV46" i="1"/>
  <c r="BB46" i="1" s="1"/>
  <c r="AT46" i="1"/>
  <c r="AS46" i="1"/>
  <c r="AQ46" i="1"/>
  <c r="AP46" i="1"/>
  <c r="AO46" i="1"/>
  <c r="AN46" i="1"/>
  <c r="AM46" i="1" s="1"/>
  <c r="AL46" i="1"/>
  <c r="AJ46" i="1" s="1"/>
  <c r="AK46" i="1"/>
  <c r="AI46" i="1"/>
  <c r="AH46" i="1"/>
  <c r="AG46" i="1"/>
  <c r="AU46" i="1" s="1"/>
  <c r="AF46" i="1"/>
  <c r="AE46" i="1"/>
  <c r="AD46" i="1"/>
  <c r="S46" i="1" s="1"/>
  <c r="AC46" i="1"/>
  <c r="BO46" i="1" s="1"/>
  <c r="AA46" i="1"/>
  <c r="Y46" i="1"/>
  <c r="X46" i="1"/>
  <c r="AB46" i="1" s="1"/>
  <c r="W46" i="1"/>
  <c r="T46" i="1"/>
  <c r="U46" i="1" s="1"/>
  <c r="R46" i="1"/>
  <c r="Q46" i="1"/>
  <c r="P46" i="1"/>
  <c r="O46" i="1"/>
  <c r="N46" i="1"/>
  <c r="M46" i="1"/>
  <c r="L46" i="1"/>
  <c r="J46" i="1"/>
  <c r="I46" i="1"/>
  <c r="F46" i="1"/>
  <c r="E46" i="1"/>
  <c r="C46" i="1"/>
  <c r="CA45" i="1"/>
  <c r="BU45" i="1"/>
  <c r="BO45" i="1"/>
  <c r="BM45" i="1"/>
  <c r="BJ45" i="1"/>
  <c r="BE45" i="1"/>
  <c r="BD45" i="1"/>
  <c r="BY45" i="1" s="1"/>
  <c r="BC45" i="1"/>
  <c r="BB45" i="1"/>
  <c r="BA45" i="1"/>
  <c r="AZ45" i="1"/>
  <c r="AY45" i="1"/>
  <c r="AX45" i="1"/>
  <c r="AW45" i="1"/>
  <c r="AV45" i="1"/>
  <c r="AT45" i="1"/>
  <c r="AS45" i="1"/>
  <c r="AQ45" i="1"/>
  <c r="AP45" i="1"/>
  <c r="AI45" i="1" s="1"/>
  <c r="AO45" i="1"/>
  <c r="AN45" i="1"/>
  <c r="AM45" i="1"/>
  <c r="AL45" i="1"/>
  <c r="AK45" i="1"/>
  <c r="AJ45" i="1"/>
  <c r="S45" i="1" s="1"/>
  <c r="BG45" i="1" s="1"/>
  <c r="AH45" i="1"/>
  <c r="AG45" i="1"/>
  <c r="AU45" i="1" s="1"/>
  <c r="AF45" i="1"/>
  <c r="AE45" i="1"/>
  <c r="AD45" i="1"/>
  <c r="AC45" i="1"/>
  <c r="AB45" i="1"/>
  <c r="AA45" i="1"/>
  <c r="Z45" i="1"/>
  <c r="Y45" i="1"/>
  <c r="X45" i="1"/>
  <c r="CD45" i="1" s="1"/>
  <c r="W45" i="1"/>
  <c r="T45" i="1"/>
  <c r="U45" i="1" s="1"/>
  <c r="R45" i="1"/>
  <c r="Q45" i="1"/>
  <c r="P45" i="1"/>
  <c r="V45" i="1" s="1"/>
  <c r="O45" i="1"/>
  <c r="N45" i="1"/>
  <c r="M45" i="1"/>
  <c r="L45" i="1"/>
  <c r="J45" i="1"/>
  <c r="I45" i="1"/>
  <c r="E45" i="1"/>
  <c r="C45" i="1"/>
  <c r="CD44" i="1"/>
  <c r="CA44" i="1"/>
  <c r="BY44" i="1"/>
  <c r="BW44" i="1"/>
  <c r="BU44" i="1"/>
  <c r="BO44" i="1"/>
  <c r="BM44" i="1"/>
  <c r="BE44" i="1"/>
  <c r="BD44" i="1"/>
  <c r="BC44" i="1"/>
  <c r="BA44" i="1"/>
  <c r="AZ44" i="1"/>
  <c r="AX44" i="1"/>
  <c r="AW44" i="1"/>
  <c r="AV44" i="1"/>
  <c r="BB44" i="1" s="1"/>
  <c r="AU44" i="1"/>
  <c r="AT44" i="1"/>
  <c r="AS44" i="1"/>
  <c r="AQ44" i="1"/>
  <c r="AP44" i="1"/>
  <c r="AN44" i="1"/>
  <c r="AM44" i="1"/>
  <c r="AL44" i="1"/>
  <c r="AJ44" i="1" s="1"/>
  <c r="AK44" i="1"/>
  <c r="AI44" i="1"/>
  <c r="AO44" i="1" s="1"/>
  <c r="AH44" i="1"/>
  <c r="AG44" i="1"/>
  <c r="AF44" i="1"/>
  <c r="AE44" i="1"/>
  <c r="BH44" i="1" s="1"/>
  <c r="AD44" i="1"/>
  <c r="AC44" i="1"/>
  <c r="AA44" i="1"/>
  <c r="Z44" i="1"/>
  <c r="Y44" i="1"/>
  <c r="X44" i="1"/>
  <c r="AB44" i="1" s="1"/>
  <c r="W44" i="1"/>
  <c r="V44" i="1"/>
  <c r="S44" i="1"/>
  <c r="BG44" i="1" s="1"/>
  <c r="BS44" i="1" s="1"/>
  <c r="R44" i="1"/>
  <c r="P44" i="1"/>
  <c r="O44" i="1"/>
  <c r="N44" i="1"/>
  <c r="M44" i="1"/>
  <c r="L44" i="1"/>
  <c r="J44" i="1"/>
  <c r="I44" i="1"/>
  <c r="F44" i="1"/>
  <c r="E44" i="1"/>
  <c r="C44" i="1"/>
  <c r="CD43" i="1"/>
  <c r="CA43" i="1"/>
  <c r="BY43" i="1"/>
  <c r="BU43" i="1"/>
  <c r="BJ43" i="1"/>
  <c r="BG43" i="1"/>
  <c r="BW43" i="1" s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Q43" i="1"/>
  <c r="AP43" i="1"/>
  <c r="AO43" i="1"/>
  <c r="AN43" i="1"/>
  <c r="AM43" i="1"/>
  <c r="AL43" i="1"/>
  <c r="AK43" i="1"/>
  <c r="AJ43" i="1"/>
  <c r="AI43" i="1"/>
  <c r="AH43" i="1"/>
  <c r="AG43" i="1"/>
  <c r="AE43" i="1"/>
  <c r="BH43" i="1" s="1"/>
  <c r="BP43" i="1" s="1"/>
  <c r="AD43" i="1"/>
  <c r="AC43" i="1"/>
  <c r="AF43" i="1" s="1"/>
  <c r="AB43" i="1"/>
  <c r="AA43" i="1"/>
  <c r="Z43" i="1"/>
  <c r="Y43" i="1"/>
  <c r="X43" i="1"/>
  <c r="V43" i="1"/>
  <c r="U43" i="1"/>
  <c r="T43" i="1"/>
  <c r="S43" i="1"/>
  <c r="R43" i="1"/>
  <c r="Q43" i="1"/>
  <c r="P43" i="1"/>
  <c r="O43" i="1"/>
  <c r="N43" i="1"/>
  <c r="M43" i="1"/>
  <c r="L43" i="1"/>
  <c r="J43" i="1"/>
  <c r="I43" i="1"/>
  <c r="F43" i="1"/>
  <c r="E43" i="1"/>
  <c r="C43" i="1"/>
  <c r="CD42" i="1"/>
  <c r="CA42" i="1"/>
  <c r="BY42" i="1"/>
  <c r="BP42" i="1"/>
  <c r="BO42" i="1"/>
  <c r="BM42" i="1"/>
  <c r="BJ42" i="1"/>
  <c r="BG42" i="1"/>
  <c r="BE42" i="1"/>
  <c r="BD42" i="1"/>
  <c r="BU42" i="1" s="1"/>
  <c r="BC42" i="1"/>
  <c r="BB42" i="1"/>
  <c r="BA42" i="1"/>
  <c r="AZ42" i="1"/>
  <c r="AY42" i="1"/>
  <c r="BH42" i="1" s="1"/>
  <c r="AX42" i="1"/>
  <c r="AW42" i="1"/>
  <c r="AV42" i="1"/>
  <c r="AU42" i="1"/>
  <c r="AT42" i="1"/>
  <c r="AS42" i="1"/>
  <c r="AQ42" i="1"/>
  <c r="AP42" i="1"/>
  <c r="AO42" i="1"/>
  <c r="AN42" i="1"/>
  <c r="AM42" i="1" s="1"/>
  <c r="AL42" i="1"/>
  <c r="AK42" i="1"/>
  <c r="AJ42" i="1"/>
  <c r="AI42" i="1"/>
  <c r="AH42" i="1"/>
  <c r="AG42" i="1"/>
  <c r="AF42" i="1"/>
  <c r="AD42" i="1"/>
  <c r="AC42" i="1"/>
  <c r="AB42" i="1"/>
  <c r="AA42" i="1"/>
  <c r="Z42" i="1"/>
  <c r="AE42" i="1" s="1"/>
  <c r="Y42" i="1"/>
  <c r="X42" i="1"/>
  <c r="W42" i="1"/>
  <c r="V42" i="1"/>
  <c r="T42" i="1"/>
  <c r="U42" i="1" s="1"/>
  <c r="S42" i="1"/>
  <c r="R42" i="1"/>
  <c r="Q42" i="1"/>
  <c r="P42" i="1"/>
  <c r="O42" i="1"/>
  <c r="N42" i="1"/>
  <c r="M42" i="1"/>
  <c r="L42" i="1"/>
  <c r="J42" i="1"/>
  <c r="I42" i="1"/>
  <c r="F42" i="1"/>
  <c r="E42" i="1"/>
  <c r="C42" i="1"/>
  <c r="CD41" i="1"/>
  <c r="CA41" i="1"/>
  <c r="BY41" i="1"/>
  <c r="BM41" i="1"/>
  <c r="BJ41" i="1"/>
  <c r="BG41" i="1"/>
  <c r="BS41" i="1" s="1"/>
  <c r="BE41" i="1"/>
  <c r="BD41" i="1"/>
  <c r="BU41" i="1" s="1"/>
  <c r="BC41" i="1"/>
  <c r="BB41" i="1"/>
  <c r="BA41" i="1"/>
  <c r="AZ41" i="1"/>
  <c r="AX41" i="1"/>
  <c r="AW41" i="1"/>
  <c r="AV41" i="1"/>
  <c r="AT41" i="1"/>
  <c r="AS41" i="1"/>
  <c r="AQ41" i="1"/>
  <c r="AP41" i="1"/>
  <c r="AO41" i="1"/>
  <c r="AN41" i="1"/>
  <c r="AM41" i="1"/>
  <c r="AL41" i="1"/>
  <c r="AK41" i="1"/>
  <c r="AJ41" i="1"/>
  <c r="AI41" i="1"/>
  <c r="AH41" i="1"/>
  <c r="AG41" i="1"/>
  <c r="AU41" i="1" s="1"/>
  <c r="AF41" i="1"/>
  <c r="AD41" i="1"/>
  <c r="AC41" i="1"/>
  <c r="BO41" i="1" s="1"/>
  <c r="AB41" i="1"/>
  <c r="AA41" i="1"/>
  <c r="Z41" i="1"/>
  <c r="AE41" i="1" s="1"/>
  <c r="BH41" i="1" s="1"/>
  <c r="BP41" i="1" s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J41" i="1"/>
  <c r="I41" i="1"/>
  <c r="F41" i="1"/>
  <c r="E41" i="1"/>
  <c r="C41" i="1"/>
  <c r="CD40" i="1"/>
  <c r="CA40" i="1"/>
  <c r="BY40" i="1"/>
  <c r="BU40" i="1"/>
  <c r="BS40" i="1"/>
  <c r="BO40" i="1"/>
  <c r="BM40" i="1"/>
  <c r="BJ40" i="1"/>
  <c r="BI40" i="1"/>
  <c r="BG40" i="1"/>
  <c r="BW40" i="1" s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D40" i="1"/>
  <c r="AC40" i="1"/>
  <c r="AB40" i="1"/>
  <c r="AA40" i="1"/>
  <c r="Z40" i="1"/>
  <c r="AE40" i="1" s="1"/>
  <c r="BH40" i="1" s="1"/>
  <c r="BP40" i="1" s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J40" i="1"/>
  <c r="I40" i="1"/>
  <c r="F40" i="1"/>
  <c r="E40" i="1"/>
  <c r="C40" i="1"/>
  <c r="CD39" i="1"/>
  <c r="CA39" i="1"/>
  <c r="BY39" i="1"/>
  <c r="BU39" i="1"/>
  <c r="BO39" i="1"/>
  <c r="BJ39" i="1"/>
  <c r="BH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Q39" i="1"/>
  <c r="AP39" i="1"/>
  <c r="AO39" i="1"/>
  <c r="AN39" i="1"/>
  <c r="AM39" i="1"/>
  <c r="AL39" i="1"/>
  <c r="AJ39" i="1"/>
  <c r="AK39" i="1" s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R39" i="1"/>
  <c r="Q39" i="1"/>
  <c r="P39" i="1"/>
  <c r="O39" i="1"/>
  <c r="N39" i="1"/>
  <c r="M39" i="1"/>
  <c r="L39" i="1"/>
  <c r="J39" i="1"/>
  <c r="I39" i="1"/>
  <c r="F39" i="1"/>
  <c r="E39" i="1"/>
  <c r="C39" i="1"/>
  <c r="CD38" i="1"/>
  <c r="CA38" i="1"/>
  <c r="BY38" i="1"/>
  <c r="BU38" i="1"/>
  <c r="BM38" i="1"/>
  <c r="BJ38" i="1"/>
  <c r="BE38" i="1"/>
  <c r="BD38" i="1"/>
  <c r="BC38" i="1"/>
  <c r="BB38" i="1"/>
  <c r="BA38" i="1"/>
  <c r="AZ38" i="1"/>
  <c r="AY38" i="1"/>
  <c r="AX38" i="1"/>
  <c r="AW38" i="1"/>
  <c r="AV38" i="1"/>
  <c r="AT38" i="1"/>
  <c r="AS38" i="1"/>
  <c r="AQ38" i="1"/>
  <c r="AP38" i="1"/>
  <c r="AN38" i="1"/>
  <c r="AM38" i="1"/>
  <c r="AL38" i="1"/>
  <c r="AJ38" i="1"/>
  <c r="AI38" i="1"/>
  <c r="AH38" i="1"/>
  <c r="AG38" i="1"/>
  <c r="BO38" i="1" s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BG38" i="1" s="1"/>
  <c r="Q38" i="1"/>
  <c r="P38" i="1"/>
  <c r="N38" i="1"/>
  <c r="M38" i="1"/>
  <c r="L38" i="1"/>
  <c r="J38" i="1"/>
  <c r="I38" i="1"/>
  <c r="F38" i="1"/>
  <c r="E38" i="1"/>
  <c r="C38" i="1"/>
  <c r="CD37" i="1"/>
  <c r="CA37" i="1"/>
  <c r="BY37" i="1"/>
  <c r="BU37" i="1"/>
  <c r="BO37" i="1"/>
  <c r="BM37" i="1"/>
  <c r="BJ37" i="1"/>
  <c r="BE37" i="1"/>
  <c r="BD37" i="1"/>
  <c r="BC37" i="1"/>
  <c r="BB37" i="1"/>
  <c r="BA37" i="1"/>
  <c r="AZ37" i="1"/>
  <c r="AY37" i="1"/>
  <c r="AX37" i="1"/>
  <c r="AW37" i="1"/>
  <c r="AV37" i="1"/>
  <c r="AU37" i="1"/>
  <c r="AS37" i="1"/>
  <c r="AQ37" i="1"/>
  <c r="AP37" i="1"/>
  <c r="AN37" i="1"/>
  <c r="AM37" i="1"/>
  <c r="AL37" i="1"/>
  <c r="AJ37" i="1"/>
  <c r="AH37" i="1"/>
  <c r="AG37" i="1"/>
  <c r="AF37" i="1"/>
  <c r="AD37" i="1"/>
  <c r="AC37" i="1"/>
  <c r="AB37" i="1"/>
  <c r="AA37" i="1"/>
  <c r="Z37" i="1"/>
  <c r="AE37" i="1" s="1"/>
  <c r="Y37" i="1"/>
  <c r="X37" i="1"/>
  <c r="W37" i="1"/>
  <c r="V37" i="1"/>
  <c r="U37" i="1"/>
  <c r="T37" i="1"/>
  <c r="S37" i="1"/>
  <c r="BG37" i="1" s="1"/>
  <c r="Q37" i="1"/>
  <c r="P37" i="1"/>
  <c r="O37" i="1"/>
  <c r="N37" i="1"/>
  <c r="M37" i="1"/>
  <c r="L37" i="1"/>
  <c r="J37" i="1"/>
  <c r="I37" i="1"/>
  <c r="F37" i="1"/>
  <c r="E37" i="1"/>
  <c r="C37" i="1"/>
  <c r="CD36" i="1"/>
  <c r="CA36" i="1"/>
  <c r="BY36" i="1"/>
  <c r="BU36" i="1"/>
  <c r="BM36" i="1"/>
  <c r="BJ36" i="1"/>
  <c r="BE36" i="1"/>
  <c r="BD36" i="1"/>
  <c r="BC36" i="1"/>
  <c r="BB36" i="1"/>
  <c r="BA36" i="1"/>
  <c r="AZ36" i="1"/>
  <c r="AY36" i="1"/>
  <c r="AX36" i="1"/>
  <c r="AW36" i="1"/>
  <c r="AV36" i="1"/>
  <c r="AS36" i="1"/>
  <c r="AQ36" i="1"/>
  <c r="AP36" i="1"/>
  <c r="AN36" i="1"/>
  <c r="AM36" i="1"/>
  <c r="AL36" i="1"/>
  <c r="AJ36" i="1"/>
  <c r="AH36" i="1"/>
  <c r="AG36" i="1"/>
  <c r="BO36" i="1" s="1"/>
  <c r="AF36" i="1"/>
  <c r="AD36" i="1"/>
  <c r="AC36" i="1"/>
  <c r="AB36" i="1"/>
  <c r="AA36" i="1"/>
  <c r="Z36" i="1"/>
  <c r="AE36" i="1" s="1"/>
  <c r="Y36" i="1"/>
  <c r="X36" i="1"/>
  <c r="W36" i="1"/>
  <c r="V36" i="1"/>
  <c r="U36" i="1"/>
  <c r="T36" i="1"/>
  <c r="S36" i="1"/>
  <c r="BG36" i="1" s="1"/>
  <c r="Q36" i="1"/>
  <c r="P36" i="1"/>
  <c r="O36" i="1"/>
  <c r="N36" i="1"/>
  <c r="M36" i="1"/>
  <c r="L36" i="1"/>
  <c r="J36" i="1"/>
  <c r="I36" i="1"/>
  <c r="F36" i="1"/>
  <c r="E36" i="1"/>
  <c r="C36" i="1"/>
  <c r="CA35" i="1"/>
  <c r="BY35" i="1"/>
  <c r="BU35" i="1"/>
  <c r="BM35" i="1"/>
  <c r="BH35" i="1"/>
  <c r="BE35" i="1"/>
  <c r="BD35" i="1"/>
  <c r="BC35" i="1"/>
  <c r="AZ35" i="1"/>
  <c r="AX35" i="1"/>
  <c r="AW35" i="1"/>
  <c r="AT35" i="1"/>
  <c r="AS35" i="1"/>
  <c r="AQ35" i="1"/>
  <c r="AP35" i="1"/>
  <c r="AO35" i="1"/>
  <c r="AN35" i="1"/>
  <c r="AM35" i="1"/>
  <c r="AL35" i="1"/>
  <c r="AJ35" i="1"/>
  <c r="AI35" i="1"/>
  <c r="AK35" i="1" s="1"/>
  <c r="AH35" i="1"/>
  <c r="AG35" i="1"/>
  <c r="AU35" i="1" s="1"/>
  <c r="AE35" i="1"/>
  <c r="AA35" i="1"/>
  <c r="Y35" i="1"/>
  <c r="X35" i="1"/>
  <c r="O35" i="1"/>
  <c r="N35" i="1"/>
  <c r="M35" i="1"/>
  <c r="L35" i="1"/>
  <c r="J35" i="1"/>
  <c r="I35" i="1"/>
  <c r="F35" i="1"/>
  <c r="E35" i="1"/>
  <c r="C35" i="1"/>
  <c r="CA34" i="1"/>
  <c r="BY34" i="1"/>
  <c r="BW34" i="1"/>
  <c r="BU34" i="1"/>
  <c r="BO34" i="1"/>
  <c r="BM34" i="1"/>
  <c r="BG34" i="1"/>
  <c r="BS34" i="1" s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Q34" i="1"/>
  <c r="AP34" i="1"/>
  <c r="AO34" i="1"/>
  <c r="AN34" i="1"/>
  <c r="AM34" i="1" s="1"/>
  <c r="AL34" i="1"/>
  <c r="AK34" i="1"/>
  <c r="AJ34" i="1"/>
  <c r="AI34" i="1"/>
  <c r="AH34" i="1"/>
  <c r="AG34" i="1"/>
  <c r="AF34" i="1"/>
  <c r="AD34" i="1"/>
  <c r="AC34" i="1"/>
  <c r="AA34" i="1"/>
  <c r="Y34" i="1"/>
  <c r="X34" i="1"/>
  <c r="W34" i="1"/>
  <c r="S34" i="1"/>
  <c r="R34" i="1"/>
  <c r="P34" i="1"/>
  <c r="O34" i="1"/>
  <c r="N34" i="1"/>
  <c r="M34" i="1"/>
  <c r="L34" i="1"/>
  <c r="J34" i="1"/>
  <c r="I34" i="1"/>
  <c r="F34" i="1"/>
  <c r="E34" i="1"/>
  <c r="C34" i="1"/>
  <c r="CA33" i="1"/>
  <c r="BY33" i="1"/>
  <c r="BW33" i="1"/>
  <c r="BU33" i="1"/>
  <c r="BO33" i="1"/>
  <c r="BM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Q33" i="1"/>
  <c r="AP33" i="1"/>
  <c r="AO33" i="1"/>
  <c r="AN33" i="1"/>
  <c r="AM33" i="1" s="1"/>
  <c r="AL33" i="1"/>
  <c r="AJ33" i="1"/>
  <c r="AI33" i="1"/>
  <c r="AH33" i="1"/>
  <c r="AG33" i="1"/>
  <c r="AF33" i="1"/>
  <c r="AD33" i="1"/>
  <c r="AC33" i="1"/>
  <c r="AA33" i="1"/>
  <c r="Y33" i="1"/>
  <c r="X33" i="1"/>
  <c r="W33" i="1"/>
  <c r="S33" i="1"/>
  <c r="BG33" i="1" s="1"/>
  <c r="Q33" i="1"/>
  <c r="P33" i="1"/>
  <c r="O33" i="1"/>
  <c r="N33" i="1"/>
  <c r="M33" i="1"/>
  <c r="L33" i="1"/>
  <c r="J33" i="1"/>
  <c r="I33" i="1"/>
  <c r="F33" i="1"/>
  <c r="E33" i="1"/>
  <c r="C33" i="1"/>
  <c r="CD32" i="1"/>
  <c r="CA32" i="1"/>
  <c r="BY32" i="1"/>
  <c r="BU32" i="1"/>
  <c r="BO32" i="1"/>
  <c r="BM32" i="1"/>
  <c r="BJ32" i="1"/>
  <c r="BE32" i="1"/>
  <c r="BD32" i="1"/>
  <c r="BC32" i="1"/>
  <c r="BA32" i="1"/>
  <c r="AZ32" i="1"/>
  <c r="AX32" i="1"/>
  <c r="AW32" i="1"/>
  <c r="AV32" i="1"/>
  <c r="BB32" i="1" s="1"/>
  <c r="AU32" i="1"/>
  <c r="AS32" i="1"/>
  <c r="AQ32" i="1"/>
  <c r="AP32" i="1"/>
  <c r="AN32" i="1"/>
  <c r="AM32" i="1"/>
  <c r="AL32" i="1"/>
  <c r="AJ32" i="1"/>
  <c r="S32" i="1" s="1"/>
  <c r="BG32" i="1" s="1"/>
  <c r="AH32" i="1"/>
  <c r="AG32" i="1"/>
  <c r="AF32" i="1"/>
  <c r="AD32" i="1"/>
  <c r="AC32" i="1"/>
  <c r="AB32" i="1"/>
  <c r="AA32" i="1"/>
  <c r="Z32" i="1"/>
  <c r="AE32" i="1" s="1"/>
  <c r="Y32" i="1"/>
  <c r="X32" i="1"/>
  <c r="W32" i="1"/>
  <c r="V32" i="1"/>
  <c r="T32" i="1"/>
  <c r="U32" i="1" s="1"/>
  <c r="Q32" i="1"/>
  <c r="P32" i="1"/>
  <c r="O32" i="1"/>
  <c r="N32" i="1"/>
  <c r="M32" i="1"/>
  <c r="L32" i="1"/>
  <c r="J32" i="1"/>
  <c r="I32" i="1"/>
  <c r="F32" i="1"/>
  <c r="E32" i="1"/>
  <c r="C32" i="1"/>
  <c r="CA31" i="1"/>
  <c r="BU31" i="1"/>
  <c r="BM31" i="1"/>
  <c r="BE31" i="1"/>
  <c r="BD31" i="1"/>
  <c r="BY31" i="1" s="1"/>
  <c r="BC31" i="1"/>
  <c r="BB31" i="1"/>
  <c r="AZ31" i="1"/>
  <c r="AX31" i="1"/>
  <c r="BA31" i="1" s="1"/>
  <c r="AW31" i="1"/>
  <c r="AV31" i="1"/>
  <c r="AU31" i="1"/>
  <c r="AT31" i="1"/>
  <c r="AS31" i="1"/>
  <c r="AQ31" i="1"/>
  <c r="AP31" i="1"/>
  <c r="AO31" i="1"/>
  <c r="AN31" i="1"/>
  <c r="AM31" i="1"/>
  <c r="AL31" i="1"/>
  <c r="AJ31" i="1" s="1"/>
  <c r="AI31" i="1"/>
  <c r="AH31" i="1"/>
  <c r="AF31" i="1"/>
  <c r="AC31" i="1"/>
  <c r="W31" i="1" s="1"/>
  <c r="AA31" i="1"/>
  <c r="Y31" i="1"/>
  <c r="X31" i="1"/>
  <c r="P31" i="1"/>
  <c r="N31" i="1"/>
  <c r="M31" i="1"/>
  <c r="L31" i="1"/>
  <c r="J31" i="1"/>
  <c r="I31" i="1"/>
  <c r="E31" i="1"/>
  <c r="C31" i="1"/>
  <c r="CD30" i="1"/>
  <c r="CA30" i="1"/>
  <c r="BY30" i="1"/>
  <c r="BM30" i="1"/>
  <c r="BJ30" i="1"/>
  <c r="BE30" i="1"/>
  <c r="BD30" i="1"/>
  <c r="BU30" i="1" s="1"/>
  <c r="BC30" i="1"/>
  <c r="BB30" i="1"/>
  <c r="BA30" i="1"/>
  <c r="AZ30" i="1"/>
  <c r="AX30" i="1"/>
  <c r="AW30" i="1"/>
  <c r="AV30" i="1"/>
  <c r="AT30" i="1"/>
  <c r="AS30" i="1"/>
  <c r="AQ30" i="1"/>
  <c r="AP30" i="1"/>
  <c r="AN30" i="1"/>
  <c r="AM30" i="1"/>
  <c r="AL30" i="1"/>
  <c r="AJ30" i="1" s="1"/>
  <c r="AK30" i="1"/>
  <c r="AI30" i="1"/>
  <c r="AH30" i="1"/>
  <c r="AE30" i="1"/>
  <c r="AD30" i="1"/>
  <c r="AC30" i="1"/>
  <c r="AA30" i="1"/>
  <c r="Y30" i="1"/>
  <c r="AB30" i="1" s="1"/>
  <c r="X30" i="1"/>
  <c r="W30" i="1"/>
  <c r="V30" i="1"/>
  <c r="U30" i="1"/>
  <c r="T30" i="1"/>
  <c r="Q30" i="1"/>
  <c r="P30" i="1"/>
  <c r="O30" i="1"/>
  <c r="N30" i="1"/>
  <c r="M30" i="1"/>
  <c r="L30" i="1"/>
  <c r="J30" i="1"/>
  <c r="I30" i="1"/>
  <c r="F30" i="1"/>
  <c r="E30" i="1"/>
  <c r="C30" i="1"/>
  <c r="CA29" i="1"/>
  <c r="BY29" i="1"/>
  <c r="BU29" i="1"/>
  <c r="BS29" i="1"/>
  <c r="BM29" i="1"/>
  <c r="BJ29" i="1"/>
  <c r="BG29" i="1"/>
  <c r="BE29" i="1"/>
  <c r="BD29" i="1"/>
  <c r="BC29" i="1"/>
  <c r="BB29" i="1"/>
  <c r="BA29" i="1"/>
  <c r="AZ29" i="1"/>
  <c r="AY29" i="1"/>
  <c r="AX29" i="1"/>
  <c r="AW29" i="1"/>
  <c r="AV29" i="1"/>
  <c r="AT29" i="1"/>
  <c r="AS29" i="1"/>
  <c r="AQ29" i="1"/>
  <c r="AP29" i="1"/>
  <c r="AO29" i="1"/>
  <c r="AN29" i="1"/>
  <c r="AM29" i="1"/>
  <c r="AL29" i="1"/>
  <c r="AJ29" i="1"/>
  <c r="S29" i="1" s="1"/>
  <c r="AI29" i="1"/>
  <c r="AK29" i="1" s="1"/>
  <c r="AH29" i="1"/>
  <c r="AG29" i="1"/>
  <c r="AU29" i="1" s="1"/>
  <c r="AD29" i="1"/>
  <c r="AC29" i="1"/>
  <c r="AF29" i="1" s="1"/>
  <c r="AB29" i="1"/>
  <c r="AA29" i="1"/>
  <c r="Y29" i="1"/>
  <c r="CD29" i="1" s="1"/>
  <c r="X29" i="1"/>
  <c r="W29" i="1"/>
  <c r="V29" i="1"/>
  <c r="U29" i="1"/>
  <c r="T29" i="1"/>
  <c r="Q29" i="1"/>
  <c r="P29" i="1"/>
  <c r="O29" i="1"/>
  <c r="N29" i="1"/>
  <c r="M29" i="1"/>
  <c r="L29" i="1"/>
  <c r="J29" i="1"/>
  <c r="I29" i="1"/>
  <c r="F29" i="1"/>
  <c r="E29" i="1"/>
  <c r="C29" i="1"/>
  <c r="CA28" i="1"/>
  <c r="BY28" i="1"/>
  <c r="BU28" i="1"/>
  <c r="BM28" i="1"/>
  <c r="BJ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Q28" i="1"/>
  <c r="AP28" i="1"/>
  <c r="AO28" i="1"/>
  <c r="AN28" i="1"/>
  <c r="AM28" i="1"/>
  <c r="AL28" i="1"/>
  <c r="AK28" i="1"/>
  <c r="AJ28" i="1"/>
  <c r="AI28" i="1"/>
  <c r="AH28" i="1"/>
  <c r="AG28" i="1"/>
  <c r="AC28" i="1"/>
  <c r="AF28" i="1" s="1"/>
  <c r="AB28" i="1"/>
  <c r="AA28" i="1"/>
  <c r="Y28" i="1"/>
  <c r="X28" i="1"/>
  <c r="W28" i="1"/>
  <c r="V28" i="1"/>
  <c r="T28" i="1"/>
  <c r="U28" i="1" s="1"/>
  <c r="Q28" i="1"/>
  <c r="P28" i="1"/>
  <c r="O28" i="1"/>
  <c r="N28" i="1"/>
  <c r="M28" i="1"/>
  <c r="L28" i="1"/>
  <c r="J28" i="1"/>
  <c r="I28" i="1"/>
  <c r="F28" i="1"/>
  <c r="E28" i="1"/>
  <c r="C28" i="1"/>
  <c r="CD27" i="1"/>
  <c r="CA27" i="1"/>
  <c r="BY27" i="1"/>
  <c r="BU27" i="1"/>
  <c r="BM27" i="1"/>
  <c r="BJ27" i="1"/>
  <c r="BE27" i="1"/>
  <c r="BD27" i="1"/>
  <c r="BC27" i="1"/>
  <c r="BB27" i="1"/>
  <c r="AZ27" i="1"/>
  <c r="AY27" i="1"/>
  <c r="AX27" i="1"/>
  <c r="BA27" i="1" s="1"/>
  <c r="AW27" i="1"/>
  <c r="AV27" i="1"/>
  <c r="AS27" i="1"/>
  <c r="AR27" i="1"/>
  <c r="AQ27" i="1"/>
  <c r="AP27" i="1"/>
  <c r="AN27" i="1"/>
  <c r="AM27" i="1"/>
  <c r="AL27" i="1"/>
  <c r="AJ27" i="1" s="1"/>
  <c r="AH27" i="1"/>
  <c r="AG27" i="1"/>
  <c r="AD27" i="1"/>
  <c r="AC27" i="1"/>
  <c r="AB27" i="1"/>
  <c r="AA27" i="1"/>
  <c r="Z27" i="1"/>
  <c r="AE27" i="1" s="1"/>
  <c r="Y27" i="1"/>
  <c r="X27" i="1"/>
  <c r="W27" i="1"/>
  <c r="V27" i="1"/>
  <c r="U27" i="1"/>
  <c r="T27" i="1"/>
  <c r="Q27" i="1"/>
  <c r="P27" i="1"/>
  <c r="O27" i="1"/>
  <c r="N27" i="1"/>
  <c r="L27" i="1"/>
  <c r="J27" i="1"/>
  <c r="I27" i="1"/>
  <c r="F27" i="1"/>
  <c r="E27" i="1"/>
  <c r="C27" i="1"/>
  <c r="CA26" i="1"/>
  <c r="BY26" i="1"/>
  <c r="BU26" i="1"/>
  <c r="BM26" i="1"/>
  <c r="BJ26" i="1"/>
  <c r="BH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Q26" i="1"/>
  <c r="AP26" i="1"/>
  <c r="AN26" i="1"/>
  <c r="AM26" i="1"/>
  <c r="AL26" i="1"/>
  <c r="AK26" i="1"/>
  <c r="AJ26" i="1"/>
  <c r="AI26" i="1"/>
  <c r="AO26" i="1" s="1"/>
  <c r="AH26" i="1"/>
  <c r="AG26" i="1"/>
  <c r="AC26" i="1"/>
  <c r="AB26" i="1"/>
  <c r="AA26" i="1"/>
  <c r="Z26" i="1"/>
  <c r="AE26" i="1" s="1"/>
  <c r="Y26" i="1"/>
  <c r="X26" i="1"/>
  <c r="V26" i="1"/>
  <c r="U26" i="1"/>
  <c r="T26" i="1"/>
  <c r="Q26" i="1"/>
  <c r="P26" i="1"/>
  <c r="O26" i="1"/>
  <c r="N26" i="1"/>
  <c r="M26" i="1"/>
  <c r="L26" i="1"/>
  <c r="J26" i="1"/>
  <c r="I26" i="1"/>
  <c r="F26" i="1"/>
  <c r="E26" i="1"/>
  <c r="C26" i="1"/>
  <c r="CA25" i="1"/>
  <c r="BY25" i="1"/>
  <c r="BU25" i="1"/>
  <c r="BM25" i="1"/>
  <c r="BJ25" i="1"/>
  <c r="BH25" i="1"/>
  <c r="BE25" i="1"/>
  <c r="BD25" i="1"/>
  <c r="BC25" i="1"/>
  <c r="BB25" i="1"/>
  <c r="BA25" i="1"/>
  <c r="AZ25" i="1"/>
  <c r="AX25" i="1"/>
  <c r="AY25" i="1" s="1"/>
  <c r="AW25" i="1"/>
  <c r="AV25" i="1"/>
  <c r="AT25" i="1"/>
  <c r="AS25" i="1"/>
  <c r="AQ25" i="1"/>
  <c r="AP25" i="1"/>
  <c r="AO25" i="1"/>
  <c r="AN25" i="1"/>
  <c r="AM25" i="1"/>
  <c r="AL25" i="1"/>
  <c r="AJ25" i="1"/>
  <c r="AI25" i="1"/>
  <c r="AK25" i="1" s="1"/>
  <c r="AH25" i="1"/>
  <c r="AG25" i="1"/>
  <c r="AE25" i="1"/>
  <c r="AB25" i="1"/>
  <c r="AA25" i="1"/>
  <c r="Z25" i="1"/>
  <c r="Y25" i="1"/>
  <c r="AD25" i="1" s="1"/>
  <c r="X25" i="1"/>
  <c r="W25" i="1"/>
  <c r="V25" i="1"/>
  <c r="T25" i="1"/>
  <c r="U25" i="1" s="1"/>
  <c r="S25" i="1"/>
  <c r="BG25" i="1" s="1"/>
  <c r="BS25" i="1" s="1"/>
  <c r="R25" i="1"/>
  <c r="Q25" i="1"/>
  <c r="P25" i="1"/>
  <c r="O25" i="1"/>
  <c r="N25" i="1"/>
  <c r="M25" i="1"/>
  <c r="L25" i="1"/>
  <c r="J25" i="1"/>
  <c r="I25" i="1"/>
  <c r="F25" i="1"/>
  <c r="E25" i="1"/>
  <c r="C25" i="1"/>
  <c r="CA24" i="1"/>
  <c r="BY24" i="1"/>
  <c r="BU24" i="1"/>
  <c r="BO24" i="1"/>
  <c r="BM24" i="1"/>
  <c r="BJ24" i="1"/>
  <c r="BE24" i="1"/>
  <c r="BD24" i="1"/>
  <c r="BC24" i="1"/>
  <c r="BB24" i="1"/>
  <c r="AZ24" i="1"/>
  <c r="AY24" i="1"/>
  <c r="AX24" i="1"/>
  <c r="BA24" i="1" s="1"/>
  <c r="AW24" i="1"/>
  <c r="AV24" i="1"/>
  <c r="AU24" i="1"/>
  <c r="AT24" i="1"/>
  <c r="AS24" i="1"/>
  <c r="AQ24" i="1"/>
  <c r="AP24" i="1"/>
  <c r="AO24" i="1"/>
  <c r="AN24" i="1"/>
  <c r="AM24" i="1"/>
  <c r="AL24" i="1"/>
  <c r="AJ24" i="1"/>
  <c r="AI24" i="1"/>
  <c r="AK24" i="1" s="1"/>
  <c r="AH24" i="1"/>
  <c r="AG24" i="1"/>
  <c r="AD24" i="1"/>
  <c r="S24" i="1" s="1"/>
  <c r="BG24" i="1" s="1"/>
  <c r="AC24" i="1"/>
  <c r="AA24" i="1"/>
  <c r="Z24" i="1"/>
  <c r="AE24" i="1" s="1"/>
  <c r="BH24" i="1" s="1"/>
  <c r="BP24" i="1" s="1"/>
  <c r="Y24" i="1"/>
  <c r="X24" i="1"/>
  <c r="V24" i="1"/>
  <c r="U24" i="1"/>
  <c r="T24" i="1"/>
  <c r="Q24" i="1"/>
  <c r="P24" i="1"/>
  <c r="O24" i="1"/>
  <c r="N24" i="1"/>
  <c r="M24" i="1"/>
  <c r="L24" i="1"/>
  <c r="J24" i="1"/>
  <c r="I24" i="1"/>
  <c r="F24" i="1"/>
  <c r="E24" i="1"/>
  <c r="C24" i="1"/>
  <c r="CD23" i="1"/>
  <c r="CA23" i="1"/>
  <c r="BY23" i="1"/>
  <c r="BU23" i="1"/>
  <c r="BS23" i="1"/>
  <c r="BO23" i="1"/>
  <c r="BM23" i="1"/>
  <c r="BJ23" i="1"/>
  <c r="BE23" i="1"/>
  <c r="BD23" i="1"/>
  <c r="BC23" i="1"/>
  <c r="BB23" i="1"/>
  <c r="BA23" i="1"/>
  <c r="AZ23" i="1"/>
  <c r="AX23" i="1"/>
  <c r="AW23" i="1"/>
  <c r="AV23" i="1"/>
  <c r="AU23" i="1"/>
  <c r="AT23" i="1"/>
  <c r="AS23" i="1"/>
  <c r="AQ23" i="1"/>
  <c r="AP23" i="1"/>
  <c r="AN23" i="1"/>
  <c r="AM23" i="1" s="1"/>
  <c r="AL23" i="1"/>
  <c r="AK23" i="1"/>
  <c r="AJ23" i="1"/>
  <c r="AI23" i="1"/>
  <c r="AO23" i="1" s="1"/>
  <c r="AH23" i="1"/>
  <c r="AG23" i="1"/>
  <c r="AD23" i="1"/>
  <c r="R23" i="1" s="1"/>
  <c r="AC23" i="1"/>
  <c r="AB23" i="1"/>
  <c r="AA23" i="1"/>
  <c r="Z23" i="1"/>
  <c r="AE23" i="1" s="1"/>
  <c r="BH23" i="1" s="1"/>
  <c r="BP23" i="1" s="1"/>
  <c r="Y23" i="1"/>
  <c r="X23" i="1"/>
  <c r="U23" i="1"/>
  <c r="T23" i="1"/>
  <c r="S23" i="1"/>
  <c r="BG23" i="1" s="1"/>
  <c r="BW23" i="1" s="1"/>
  <c r="Q23" i="1"/>
  <c r="P23" i="1"/>
  <c r="O23" i="1"/>
  <c r="N23" i="1"/>
  <c r="M23" i="1"/>
  <c r="L23" i="1"/>
  <c r="J23" i="1"/>
  <c r="I23" i="1"/>
  <c r="E23" i="1"/>
  <c r="C23" i="1"/>
  <c r="CA22" i="1"/>
  <c r="BY22" i="1"/>
  <c r="BU22" i="1"/>
  <c r="BO22" i="1"/>
  <c r="BM22" i="1"/>
  <c r="BJ22" i="1"/>
  <c r="BE22" i="1"/>
  <c r="BD22" i="1"/>
  <c r="BC22" i="1"/>
  <c r="BB22" i="1"/>
  <c r="BA22" i="1"/>
  <c r="AZ22" i="1"/>
  <c r="AX22" i="1"/>
  <c r="AY22" i="1" s="1"/>
  <c r="AW22" i="1"/>
  <c r="AV22" i="1"/>
  <c r="AT22" i="1"/>
  <c r="AS22" i="1"/>
  <c r="AQ22" i="1"/>
  <c r="AP22" i="1"/>
  <c r="AN22" i="1"/>
  <c r="AM22" i="1"/>
  <c r="AL22" i="1"/>
  <c r="AJ22" i="1"/>
  <c r="AI22" i="1"/>
  <c r="AH22" i="1"/>
  <c r="AG22" i="1"/>
  <c r="AU22" i="1" s="1"/>
  <c r="AF22" i="1"/>
  <c r="AE22" i="1"/>
  <c r="BH22" i="1" s="1"/>
  <c r="AC22" i="1"/>
  <c r="AB22" i="1"/>
  <c r="AA22" i="1"/>
  <c r="Z22" i="1"/>
  <c r="Y22" i="1"/>
  <c r="X22" i="1"/>
  <c r="W22" i="1"/>
  <c r="V22" i="1"/>
  <c r="U22" i="1"/>
  <c r="T22" i="1"/>
  <c r="Q22" i="1"/>
  <c r="P22" i="1"/>
  <c r="O22" i="1"/>
  <c r="N22" i="1"/>
  <c r="M22" i="1"/>
  <c r="L22" i="1"/>
  <c r="J22" i="1"/>
  <c r="I22" i="1"/>
  <c r="E22" i="1"/>
  <c r="C22" i="1"/>
  <c r="CD21" i="1"/>
  <c r="CA21" i="1"/>
  <c r="BY21" i="1"/>
  <c r="BU21" i="1"/>
  <c r="BM21" i="1"/>
  <c r="BE21" i="1"/>
  <c r="BD21" i="1"/>
  <c r="BC21" i="1"/>
  <c r="BB21" i="1"/>
  <c r="BA21" i="1"/>
  <c r="AZ21" i="1"/>
  <c r="AY21" i="1"/>
  <c r="AX21" i="1"/>
  <c r="AW21" i="1"/>
  <c r="AV21" i="1"/>
  <c r="AS21" i="1"/>
  <c r="AQ21" i="1"/>
  <c r="AP21" i="1"/>
  <c r="AN21" i="1"/>
  <c r="AM21" i="1"/>
  <c r="AL21" i="1"/>
  <c r="AJ21" i="1" s="1"/>
  <c r="AH21" i="1"/>
  <c r="AG21" i="1"/>
  <c r="AU21" i="1" s="1"/>
  <c r="AA21" i="1"/>
  <c r="Y21" i="1"/>
  <c r="X21" i="1"/>
  <c r="Z21" i="1" s="1"/>
  <c r="AE21" i="1" s="1"/>
  <c r="W21" i="1"/>
  <c r="T21" i="1"/>
  <c r="U21" i="1" s="1"/>
  <c r="P21" i="1"/>
  <c r="O21" i="1"/>
  <c r="N21" i="1"/>
  <c r="M21" i="1"/>
  <c r="L21" i="1"/>
  <c r="J21" i="1"/>
  <c r="I21" i="1"/>
  <c r="F21" i="1"/>
  <c r="E21" i="1"/>
  <c r="C21" i="1"/>
  <c r="CD20" i="1"/>
  <c r="CA20" i="1"/>
  <c r="BY20" i="1"/>
  <c r="BU20" i="1"/>
  <c r="BM20" i="1"/>
  <c r="BJ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Q20" i="1"/>
  <c r="AP20" i="1"/>
  <c r="AN20" i="1"/>
  <c r="AM20" i="1"/>
  <c r="AL20" i="1"/>
  <c r="AJ20" i="1"/>
  <c r="AI20" i="1"/>
  <c r="AO20" i="1" s="1"/>
  <c r="AH20" i="1"/>
  <c r="AG20" i="1"/>
  <c r="AD20" i="1"/>
  <c r="AC20" i="1"/>
  <c r="AB20" i="1"/>
  <c r="AA20" i="1"/>
  <c r="Z20" i="1"/>
  <c r="AE20" i="1" s="1"/>
  <c r="BH20" i="1" s="1"/>
  <c r="BP20" i="1" s="1"/>
  <c r="Y20" i="1"/>
  <c r="X20" i="1"/>
  <c r="W20" i="1"/>
  <c r="V20" i="1"/>
  <c r="U20" i="1"/>
  <c r="T20" i="1"/>
  <c r="S20" i="1"/>
  <c r="BG20" i="1" s="1"/>
  <c r="R20" i="1"/>
  <c r="Q20" i="1"/>
  <c r="O20" i="1"/>
  <c r="N20" i="1"/>
  <c r="M20" i="1"/>
  <c r="L20" i="1"/>
  <c r="J20" i="1"/>
  <c r="I20" i="1"/>
  <c r="E20" i="1"/>
  <c r="C20" i="1"/>
  <c r="CA19" i="1"/>
  <c r="BY19" i="1"/>
  <c r="BM19" i="1"/>
  <c r="BJ19" i="1"/>
  <c r="BE19" i="1"/>
  <c r="BD19" i="1"/>
  <c r="BU19" i="1" s="1"/>
  <c r="BC19" i="1"/>
  <c r="BB19" i="1"/>
  <c r="BA19" i="1"/>
  <c r="AZ19" i="1"/>
  <c r="AX19" i="1"/>
  <c r="AW19" i="1"/>
  <c r="AV19" i="1"/>
  <c r="AT19" i="1"/>
  <c r="AS19" i="1"/>
  <c r="AQ19" i="1"/>
  <c r="AP19" i="1"/>
  <c r="AN19" i="1"/>
  <c r="AM19" i="1"/>
  <c r="AL19" i="1"/>
  <c r="AJ19" i="1"/>
  <c r="AI19" i="1"/>
  <c r="AH19" i="1"/>
  <c r="AG19" i="1"/>
  <c r="AU19" i="1" s="1"/>
  <c r="AA19" i="1"/>
  <c r="Z19" i="1"/>
  <c r="AE19" i="1" s="1"/>
  <c r="Y19" i="1"/>
  <c r="X19" i="1"/>
  <c r="CD19" i="1" s="1"/>
  <c r="W19" i="1"/>
  <c r="V19" i="1"/>
  <c r="T19" i="1"/>
  <c r="U19" i="1" s="1"/>
  <c r="Q19" i="1"/>
  <c r="P19" i="1"/>
  <c r="O19" i="1"/>
  <c r="N19" i="1"/>
  <c r="M19" i="1"/>
  <c r="L19" i="1"/>
  <c r="J19" i="1"/>
  <c r="I19" i="1"/>
  <c r="F19" i="1"/>
  <c r="E19" i="1"/>
  <c r="C19" i="1"/>
  <c r="CD18" i="1"/>
  <c r="CA18" i="1"/>
  <c r="BM18" i="1"/>
  <c r="BE18" i="1"/>
  <c r="BD18" i="1"/>
  <c r="BC18" i="1"/>
  <c r="BA18" i="1"/>
  <c r="AZ18" i="1"/>
  <c r="AX18" i="1"/>
  <c r="AW18" i="1"/>
  <c r="AV18" i="1"/>
  <c r="BB18" i="1" s="1"/>
  <c r="AU18" i="1"/>
  <c r="AT18" i="1"/>
  <c r="AS18" i="1"/>
  <c r="AQ18" i="1"/>
  <c r="AP18" i="1"/>
  <c r="AO18" i="1"/>
  <c r="AN18" i="1"/>
  <c r="AM18" i="1"/>
  <c r="AL18" i="1"/>
  <c r="AJ18" i="1" s="1"/>
  <c r="BH18" i="1" s="1"/>
  <c r="AI18" i="1"/>
  <c r="AH18" i="1"/>
  <c r="AG18" i="1"/>
  <c r="AE18" i="1"/>
  <c r="AD18" i="1"/>
  <c r="AA18" i="1"/>
  <c r="Z18" i="1"/>
  <c r="Y18" i="1"/>
  <c r="X18" i="1"/>
  <c r="AB18" i="1" s="1"/>
  <c r="W18" i="1"/>
  <c r="R18" i="1"/>
  <c r="P18" i="1"/>
  <c r="N18" i="1"/>
  <c r="L18" i="1"/>
  <c r="J18" i="1"/>
  <c r="I18" i="1"/>
  <c r="E18" i="1"/>
  <c r="C18" i="1"/>
  <c r="CD17" i="1"/>
  <c r="CA17" i="1"/>
  <c r="BY17" i="1"/>
  <c r="BU17" i="1"/>
  <c r="BM17" i="1"/>
  <c r="BH17" i="1"/>
  <c r="BP17" i="1" s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Q17" i="1"/>
  <c r="AP17" i="1"/>
  <c r="AN17" i="1"/>
  <c r="AM17" i="1"/>
  <c r="AL17" i="1"/>
  <c r="AJ17" i="1"/>
  <c r="AI17" i="1"/>
  <c r="AH17" i="1"/>
  <c r="AG17" i="1"/>
  <c r="AE17" i="1"/>
  <c r="AD17" i="1"/>
  <c r="R17" i="1" s="1"/>
  <c r="AC17" i="1"/>
  <c r="AF17" i="1" s="1"/>
  <c r="AB17" i="1"/>
  <c r="AA17" i="1"/>
  <c r="Z17" i="1"/>
  <c r="Y17" i="1"/>
  <c r="X17" i="1"/>
  <c r="W17" i="1"/>
  <c r="T17" i="1"/>
  <c r="U17" i="1" s="1"/>
  <c r="S17" i="1"/>
  <c r="BG17" i="1" s="1"/>
  <c r="P17" i="1"/>
  <c r="O17" i="1"/>
  <c r="N17" i="1"/>
  <c r="M17" i="1"/>
  <c r="L17" i="1"/>
  <c r="J17" i="1"/>
  <c r="I17" i="1"/>
  <c r="F17" i="1"/>
  <c r="E17" i="1"/>
  <c r="C17" i="1"/>
  <c r="CD16" i="1"/>
  <c r="CA16" i="1"/>
  <c r="BU16" i="1"/>
  <c r="BM16" i="1"/>
  <c r="BJ16" i="1"/>
  <c r="BE16" i="1"/>
  <c r="BD16" i="1"/>
  <c r="BY16" i="1" s="1"/>
  <c r="BC16" i="1"/>
  <c r="BB16" i="1"/>
  <c r="BA16" i="1"/>
  <c r="AZ16" i="1"/>
  <c r="AX16" i="1"/>
  <c r="AW16" i="1"/>
  <c r="AV16" i="1"/>
  <c r="AU16" i="1"/>
  <c r="AT16" i="1"/>
  <c r="AS16" i="1"/>
  <c r="AQ16" i="1"/>
  <c r="AP16" i="1"/>
  <c r="AO16" i="1"/>
  <c r="AN16" i="1"/>
  <c r="AM16" i="1"/>
  <c r="AL16" i="1"/>
  <c r="AJ16" i="1" s="1"/>
  <c r="AI16" i="1"/>
  <c r="AH16" i="1"/>
  <c r="AD16" i="1"/>
  <c r="R16" i="1" s="1"/>
  <c r="AC16" i="1"/>
  <c r="AB16" i="1"/>
  <c r="AA16" i="1"/>
  <c r="Z16" i="1"/>
  <c r="AE16" i="1" s="1"/>
  <c r="Y16" i="1"/>
  <c r="X16" i="1"/>
  <c r="V16" i="1"/>
  <c r="T16" i="1"/>
  <c r="U16" i="1" s="1"/>
  <c r="Q16" i="1"/>
  <c r="P16" i="1"/>
  <c r="O16" i="1"/>
  <c r="N16" i="1"/>
  <c r="M16" i="1"/>
  <c r="L16" i="1"/>
  <c r="J16" i="1"/>
  <c r="I16" i="1"/>
  <c r="F16" i="1"/>
  <c r="E16" i="1"/>
  <c r="C16" i="1"/>
  <c r="CA15" i="1"/>
  <c r="BY15" i="1"/>
  <c r="BU15" i="1"/>
  <c r="BO15" i="1"/>
  <c r="BM15" i="1"/>
  <c r="BJ15" i="1"/>
  <c r="BE15" i="1"/>
  <c r="BD15" i="1"/>
  <c r="BC15" i="1"/>
  <c r="BB15" i="1"/>
  <c r="AZ15" i="1"/>
  <c r="AY15" i="1"/>
  <c r="AX15" i="1"/>
  <c r="BA15" i="1" s="1"/>
  <c r="AW15" i="1"/>
  <c r="AV15" i="1"/>
  <c r="AS15" i="1"/>
  <c r="AQ15" i="1"/>
  <c r="AP15" i="1"/>
  <c r="AN15" i="1"/>
  <c r="AM15" i="1" s="1"/>
  <c r="AL15" i="1"/>
  <c r="AJ15" i="1"/>
  <c r="AH15" i="1"/>
  <c r="AC15" i="1"/>
  <c r="AF15" i="1" s="1"/>
  <c r="AA15" i="1"/>
  <c r="Y15" i="1"/>
  <c r="X15" i="1"/>
  <c r="W15" i="1"/>
  <c r="T15" i="1"/>
  <c r="U15" i="1" s="1"/>
  <c r="Q15" i="1"/>
  <c r="P15" i="1"/>
  <c r="V15" i="1" s="1"/>
  <c r="O15" i="1"/>
  <c r="N15" i="1"/>
  <c r="M15" i="1"/>
  <c r="L15" i="1"/>
  <c r="J15" i="1"/>
  <c r="I15" i="1"/>
  <c r="F15" i="1"/>
  <c r="E15" i="1"/>
  <c r="C15" i="1"/>
  <c r="CA14" i="1"/>
  <c r="BY14" i="1"/>
  <c r="BU14" i="1"/>
  <c r="BM14" i="1"/>
  <c r="BE14" i="1"/>
  <c r="BD14" i="1"/>
  <c r="BC14" i="1"/>
  <c r="BB14" i="1"/>
  <c r="AZ14" i="1"/>
  <c r="AX14" i="1"/>
  <c r="AY14" i="1" s="1"/>
  <c r="AW14" i="1"/>
  <c r="AV14" i="1"/>
  <c r="AS14" i="1"/>
  <c r="AQ14" i="1"/>
  <c r="AP14" i="1"/>
  <c r="AT14" i="1" s="1"/>
  <c r="AN14" i="1"/>
  <c r="AM14" i="1" s="1"/>
  <c r="AL14" i="1"/>
  <c r="AJ14" i="1"/>
  <c r="AI14" i="1"/>
  <c r="AH14" i="1"/>
  <c r="AG14" i="1"/>
  <c r="AU14" i="1" s="1"/>
  <c r="AA14" i="1"/>
  <c r="Y14" i="1"/>
  <c r="Z14" i="1" s="1"/>
  <c r="AE14" i="1" s="1"/>
  <c r="BH14" i="1" s="1"/>
  <c r="X14" i="1"/>
  <c r="AB14" i="1" s="1"/>
  <c r="P14" i="1"/>
  <c r="O14" i="1"/>
  <c r="N14" i="1"/>
  <c r="M14" i="1"/>
  <c r="L14" i="1"/>
  <c r="J14" i="1"/>
  <c r="I14" i="1"/>
  <c r="F14" i="1"/>
  <c r="E14" i="1"/>
  <c r="C14" i="1"/>
  <c r="CD13" i="1"/>
  <c r="CA13" i="1"/>
  <c r="BM13" i="1"/>
  <c r="BE13" i="1"/>
  <c r="BD13" i="1"/>
  <c r="BC13" i="1"/>
  <c r="AZ13" i="1"/>
  <c r="AX13" i="1"/>
  <c r="BA13" i="1" s="1"/>
  <c r="AW13" i="1"/>
  <c r="AV13" i="1"/>
  <c r="BB13" i="1" s="1"/>
  <c r="AS13" i="1"/>
  <c r="AQ13" i="1"/>
  <c r="AP13" i="1"/>
  <c r="AN13" i="1"/>
  <c r="AM13" i="1"/>
  <c r="AL13" i="1"/>
  <c r="AJ13" i="1" s="1"/>
  <c r="AH13" i="1"/>
  <c r="AG13" i="1"/>
  <c r="AU13" i="1" s="1"/>
  <c r="AD13" i="1"/>
  <c r="S13" i="1" s="1"/>
  <c r="BG13" i="1" s="1"/>
  <c r="AA13" i="1"/>
  <c r="Z13" i="1"/>
  <c r="AE13" i="1" s="1"/>
  <c r="Y13" i="1"/>
  <c r="X13" i="1"/>
  <c r="AB13" i="1" s="1"/>
  <c r="W13" i="1"/>
  <c r="V13" i="1"/>
  <c r="Q13" i="1"/>
  <c r="P13" i="1"/>
  <c r="O13" i="1"/>
  <c r="N13" i="1"/>
  <c r="M13" i="1"/>
  <c r="L13" i="1"/>
  <c r="J13" i="1"/>
  <c r="I13" i="1"/>
  <c r="E13" i="1"/>
  <c r="C13" i="1"/>
  <c r="CA12" i="1"/>
  <c r="BU12" i="1"/>
  <c r="BM12" i="1"/>
  <c r="BE12" i="1"/>
  <c r="BD12" i="1"/>
  <c r="BY12" i="1" s="1"/>
  <c r="BC12" i="1"/>
  <c r="AZ12" i="1"/>
  <c r="AX12" i="1"/>
  <c r="BA12" i="1" s="1"/>
  <c r="AW12" i="1"/>
  <c r="AV12" i="1"/>
  <c r="BB12" i="1" s="1"/>
  <c r="AU12" i="1"/>
  <c r="AS12" i="1"/>
  <c r="AQ12" i="1"/>
  <c r="AP12" i="1"/>
  <c r="AN12" i="1"/>
  <c r="AM12" i="1"/>
  <c r="AL12" i="1"/>
  <c r="AJ12" i="1" s="1"/>
  <c r="AH12" i="1"/>
  <c r="AG12" i="1"/>
  <c r="AA12" i="1"/>
  <c r="Y12" i="1"/>
  <c r="Z12" i="1" s="1"/>
  <c r="AE12" i="1" s="1"/>
  <c r="X12" i="1"/>
  <c r="CD12" i="1" s="1"/>
  <c r="W12" i="1"/>
  <c r="P12" i="1"/>
  <c r="O12" i="1"/>
  <c r="N12" i="1"/>
  <c r="M12" i="1"/>
  <c r="L12" i="1"/>
  <c r="J12" i="1"/>
  <c r="I12" i="1"/>
  <c r="E12" i="1"/>
  <c r="C12" i="1"/>
  <c r="CD11" i="1"/>
  <c r="CA11" i="1"/>
  <c r="BM11" i="1"/>
  <c r="BE11" i="1"/>
  <c r="BD11" i="1"/>
  <c r="BY11" i="1" s="1"/>
  <c r="BC11" i="1"/>
  <c r="AZ11" i="1"/>
  <c r="AY11" i="1"/>
  <c r="AX11" i="1"/>
  <c r="BA11" i="1" s="1"/>
  <c r="AW11" i="1"/>
  <c r="AV11" i="1"/>
  <c r="BB11" i="1" s="1"/>
  <c r="AS11" i="1"/>
  <c r="AQ11" i="1"/>
  <c r="AP11" i="1"/>
  <c r="AN11" i="1"/>
  <c r="AL11" i="1"/>
  <c r="AJ11" i="1" s="1"/>
  <c r="AH11" i="1"/>
  <c r="AE11" i="1"/>
  <c r="AA11" i="1"/>
  <c r="Y11" i="1"/>
  <c r="X11" i="1"/>
  <c r="Z11" i="1" s="1"/>
  <c r="W11" i="1"/>
  <c r="AC11" i="1" s="1"/>
  <c r="V11" i="1"/>
  <c r="Q11" i="1"/>
  <c r="P11" i="1"/>
  <c r="BJ11" i="1" s="1"/>
  <c r="O11" i="1"/>
  <c r="N11" i="1"/>
  <c r="M11" i="1"/>
  <c r="L11" i="1"/>
  <c r="J11" i="1"/>
  <c r="I11" i="1"/>
  <c r="E11" i="1"/>
  <c r="C11" i="1"/>
  <c r="CD10" i="1"/>
  <c r="CA10" i="1"/>
  <c r="BY10" i="1"/>
  <c r="BM10" i="1"/>
  <c r="BE10" i="1"/>
  <c r="BD10" i="1"/>
  <c r="P10" i="1" s="1"/>
  <c r="BJ10" i="1" s="1"/>
  <c r="BC10" i="1"/>
  <c r="BB10" i="1"/>
  <c r="BA10" i="1"/>
  <c r="AZ10" i="1"/>
  <c r="AX10" i="1"/>
  <c r="AW10" i="1"/>
  <c r="AV10" i="1"/>
  <c r="AU10" i="1"/>
  <c r="AT10" i="1"/>
  <c r="AS10" i="1"/>
  <c r="AQ10" i="1"/>
  <c r="S10" i="1" s="1"/>
  <c r="BG10" i="1" s="1"/>
  <c r="AP10" i="1"/>
  <c r="AN10" i="1"/>
  <c r="AM10" i="1"/>
  <c r="AL10" i="1"/>
  <c r="AJ10" i="1"/>
  <c r="AI10" i="1"/>
  <c r="AO10" i="1" s="1"/>
  <c r="AH10" i="1"/>
  <c r="AG10" i="1"/>
  <c r="AD10" i="1"/>
  <c r="AB10" i="1"/>
  <c r="AA10" i="1"/>
  <c r="Z10" i="1"/>
  <c r="AE10" i="1" s="1"/>
  <c r="BH10" i="1" s="1"/>
  <c r="Y10" i="1"/>
  <c r="X10" i="1"/>
  <c r="W10" i="1"/>
  <c r="T10" i="1"/>
  <c r="U10" i="1" s="1"/>
  <c r="R10" i="1"/>
  <c r="O10" i="1"/>
  <c r="N10" i="1"/>
  <c r="M10" i="1"/>
  <c r="L10" i="1"/>
  <c r="J10" i="1"/>
  <c r="I10" i="1"/>
  <c r="F10" i="1"/>
  <c r="E10" i="1"/>
  <c r="C10" i="1"/>
  <c r="CA9" i="1"/>
  <c r="BY9" i="1"/>
  <c r="BU9" i="1"/>
  <c r="BM9" i="1"/>
  <c r="BJ9" i="1"/>
  <c r="BE9" i="1"/>
  <c r="BD9" i="1"/>
  <c r="BC9" i="1"/>
  <c r="BB9" i="1"/>
  <c r="BA9" i="1"/>
  <c r="AZ9" i="1"/>
  <c r="AX9" i="1"/>
  <c r="AY9" i="1" s="1"/>
  <c r="AW9" i="1"/>
  <c r="AV9" i="1"/>
  <c r="AU9" i="1"/>
  <c r="AT9" i="1"/>
  <c r="AS9" i="1"/>
  <c r="AQ9" i="1"/>
  <c r="AP9" i="1"/>
  <c r="AO9" i="1"/>
  <c r="AN9" i="1"/>
  <c r="AM9" i="1"/>
  <c r="AL9" i="1"/>
  <c r="AJ9" i="1" s="1"/>
  <c r="AK9" i="1" s="1"/>
  <c r="AI9" i="1"/>
  <c r="AH9" i="1"/>
  <c r="AG9" i="1"/>
  <c r="AC9" i="1"/>
  <c r="AF9" i="1" s="1"/>
  <c r="AA9" i="1"/>
  <c r="Y9" i="1"/>
  <c r="X9" i="1"/>
  <c r="Z9" i="1" s="1"/>
  <c r="AE9" i="1" s="1"/>
  <c r="BH9" i="1" s="1"/>
  <c r="W9" i="1"/>
  <c r="P9" i="1"/>
  <c r="V9" i="1" s="1"/>
  <c r="O9" i="1"/>
  <c r="N9" i="1"/>
  <c r="M9" i="1"/>
  <c r="L9" i="1"/>
  <c r="J9" i="1"/>
  <c r="I9" i="1"/>
  <c r="E9" i="1"/>
  <c r="C9" i="1"/>
  <c r="CD8" i="1"/>
  <c r="CA8" i="1"/>
  <c r="BU8" i="1"/>
  <c r="BM8" i="1"/>
  <c r="BJ8" i="1"/>
  <c r="BE8" i="1"/>
  <c r="BD8" i="1"/>
  <c r="BY8" i="1" s="1"/>
  <c r="BC8" i="1"/>
  <c r="BB8" i="1"/>
  <c r="BA8" i="1"/>
  <c r="AZ8" i="1"/>
  <c r="AX8" i="1"/>
  <c r="AW8" i="1"/>
  <c r="AV8" i="1"/>
  <c r="AT8" i="1"/>
  <c r="AS8" i="1"/>
  <c r="AQ8" i="1"/>
  <c r="AP8" i="1"/>
  <c r="AN8" i="1"/>
  <c r="AM8" i="1"/>
  <c r="AL8" i="1"/>
  <c r="AJ8" i="1" s="1"/>
  <c r="S8" i="1" s="1"/>
  <c r="BG8" i="1" s="1"/>
  <c r="AI8" i="1"/>
  <c r="AK8" i="1" s="1"/>
  <c r="AH8" i="1"/>
  <c r="AE8" i="1"/>
  <c r="AD8" i="1"/>
  <c r="AC8" i="1"/>
  <c r="AG8" i="1" s="1"/>
  <c r="AU8" i="1" s="1"/>
  <c r="AB8" i="1"/>
  <c r="AA8" i="1"/>
  <c r="Z8" i="1"/>
  <c r="Y8" i="1"/>
  <c r="X8" i="1"/>
  <c r="W8" i="1"/>
  <c r="V8" i="1"/>
  <c r="U8" i="1"/>
  <c r="T8" i="1"/>
  <c r="R8" i="1"/>
  <c r="Q8" i="1"/>
  <c r="P8" i="1"/>
  <c r="O8" i="1"/>
  <c r="N8" i="1"/>
  <c r="M8" i="1"/>
  <c r="L8" i="1"/>
  <c r="J8" i="1"/>
  <c r="I8" i="1"/>
  <c r="E8" i="1"/>
  <c r="C8" i="1"/>
  <c r="CD7" i="1"/>
  <c r="CA7" i="1"/>
  <c r="BY7" i="1"/>
  <c r="BU7" i="1"/>
  <c r="BM7" i="1"/>
  <c r="BE7" i="1"/>
  <c r="BD7" i="1"/>
  <c r="BC7" i="1"/>
  <c r="BB7" i="1"/>
  <c r="AZ7" i="1"/>
  <c r="AY7" i="1"/>
  <c r="AX7" i="1"/>
  <c r="BA7" i="1" s="1"/>
  <c r="AW7" i="1"/>
  <c r="AV7" i="1"/>
  <c r="AU7" i="1"/>
  <c r="AT7" i="1"/>
  <c r="AS7" i="1"/>
  <c r="AQ7" i="1"/>
  <c r="AP7" i="1"/>
  <c r="AN7" i="1"/>
  <c r="AM7" i="1"/>
  <c r="AL7" i="1"/>
  <c r="AJ7" i="1" s="1"/>
  <c r="AI7" i="1"/>
  <c r="AO7" i="1" s="1"/>
  <c r="AH7" i="1"/>
  <c r="AG7" i="1"/>
  <c r="AC7" i="1"/>
  <c r="AF7" i="1" s="1"/>
  <c r="AB7" i="1"/>
  <c r="AA7" i="1"/>
  <c r="Z7" i="1"/>
  <c r="AE7" i="1" s="1"/>
  <c r="Y7" i="1"/>
  <c r="AD7" i="1" s="1"/>
  <c r="X7" i="1"/>
  <c r="P7" i="1"/>
  <c r="V7" i="1" s="1"/>
  <c r="O7" i="1"/>
  <c r="N7" i="1"/>
  <c r="M7" i="1"/>
  <c r="L7" i="1"/>
  <c r="J7" i="1"/>
  <c r="I7" i="1"/>
  <c r="F7" i="1"/>
  <c r="E7" i="1"/>
  <c r="C7" i="1"/>
  <c r="CA6" i="1"/>
  <c r="BY6" i="1"/>
  <c r="BU6" i="1"/>
  <c r="BM6" i="1"/>
  <c r="BJ6" i="1"/>
  <c r="BE6" i="1"/>
  <c r="BD6" i="1"/>
  <c r="BC6" i="1"/>
  <c r="BC3" i="1" s="1"/>
  <c r="BB6" i="1"/>
  <c r="AZ6" i="1"/>
  <c r="AX6" i="1"/>
  <c r="BA6" i="1" s="1"/>
  <c r="AW6" i="1"/>
  <c r="AV6" i="1"/>
  <c r="AT6" i="1"/>
  <c r="AS6" i="1"/>
  <c r="AQ6" i="1"/>
  <c r="AP6" i="1"/>
  <c r="AP3" i="1" s="1"/>
  <c r="AN6" i="1"/>
  <c r="AM6" i="1"/>
  <c r="AL6" i="1"/>
  <c r="AJ6" i="1" s="1"/>
  <c r="AJ3" i="1" s="1"/>
  <c r="AI6" i="1"/>
  <c r="AK6" i="1" s="1"/>
  <c r="AH6" i="1"/>
  <c r="AH3" i="1" s="1"/>
  <c r="AC6" i="1"/>
  <c r="AB6" i="1"/>
  <c r="AA6" i="1"/>
  <c r="Z6" i="1"/>
  <c r="AE6" i="1" s="1"/>
  <c r="Y6" i="1"/>
  <c r="CD6" i="1" s="1"/>
  <c r="X6" i="1"/>
  <c r="W6" i="1"/>
  <c r="V6" i="1"/>
  <c r="U6" i="1"/>
  <c r="T6" i="1"/>
  <c r="Q6" i="1"/>
  <c r="P6" i="1"/>
  <c r="O6" i="1"/>
  <c r="N6" i="1"/>
  <c r="M6" i="1"/>
  <c r="L6" i="1"/>
  <c r="J6" i="1"/>
  <c r="I6" i="1"/>
  <c r="E6" i="1"/>
  <c r="C6" i="1"/>
  <c r="CA5" i="1"/>
  <c r="BY5" i="1"/>
  <c r="BU5" i="1"/>
  <c r="BM5" i="1"/>
  <c r="BE5" i="1"/>
  <c r="BD5" i="1"/>
  <c r="BC5" i="1"/>
  <c r="BB5" i="1"/>
  <c r="AZ5" i="1"/>
  <c r="AZ3" i="1" s="1"/>
  <c r="AX5" i="1"/>
  <c r="BA5" i="1" s="1"/>
  <c r="AW5" i="1"/>
  <c r="AV5" i="1"/>
  <c r="AT5" i="1"/>
  <c r="AS5" i="1"/>
  <c r="AS3" i="1" s="1"/>
  <c r="AQ5" i="1"/>
  <c r="AQ3" i="1" s="1"/>
  <c r="AP5" i="1"/>
  <c r="AO5" i="1"/>
  <c r="AN5" i="1"/>
  <c r="AM5" i="1" s="1"/>
  <c r="AM3" i="1" s="1"/>
  <c r="AL5" i="1"/>
  <c r="AJ5" i="1"/>
  <c r="AI5" i="1"/>
  <c r="AK5" i="1" s="1"/>
  <c r="AH5" i="1"/>
  <c r="AG5" i="1"/>
  <c r="AU5" i="1" s="1"/>
  <c r="AF5" i="1"/>
  <c r="AC5" i="1"/>
  <c r="AA5" i="1"/>
  <c r="Y5" i="1"/>
  <c r="AD5" i="1" s="1"/>
  <c r="X5" i="1"/>
  <c r="Z5" i="1" s="1"/>
  <c r="W5" i="1"/>
  <c r="V5" i="1"/>
  <c r="T5" i="1"/>
  <c r="U5" i="1" s="1"/>
  <c r="Q5" i="1"/>
  <c r="Q3" i="1" s="1"/>
  <c r="P5" i="1"/>
  <c r="BO5" i="1" s="1"/>
  <c r="BO3" i="1" s="1"/>
  <c r="O5" i="1"/>
  <c r="N5" i="1"/>
  <c r="M5" i="1"/>
  <c r="L5" i="1"/>
  <c r="J5" i="1"/>
  <c r="I5" i="1"/>
  <c r="F5" i="1"/>
  <c r="E5" i="1"/>
  <c r="C5" i="1"/>
  <c r="CC3" i="1"/>
  <c r="CB3" i="1"/>
  <c r="BE3" i="1"/>
  <c r="BD3" i="1"/>
  <c r="AW3" i="1"/>
  <c r="AR3" i="1"/>
  <c r="AN3" i="1"/>
  <c r="AA3" i="1"/>
  <c r="Y3" i="1"/>
  <c r="P3" i="1"/>
  <c r="BJ3" i="1" s="1"/>
  <c r="I3" i="1"/>
  <c r="L2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K1" i="1"/>
  <c r="I1" i="1"/>
  <c r="BP10" i="1" l="1"/>
  <c r="AG11" i="1"/>
  <c r="AU11" i="1" s="1"/>
  <c r="AF11" i="1"/>
  <c r="AK16" i="1"/>
  <c r="S16" i="1"/>
  <c r="BG16" i="1" s="1"/>
  <c r="BH8" i="1"/>
  <c r="BP8" i="1" s="1"/>
  <c r="BW10" i="1"/>
  <c r="BS10" i="1"/>
  <c r="BI10" i="1"/>
  <c r="BW8" i="1"/>
  <c r="BS8" i="1"/>
  <c r="BI8" i="1"/>
  <c r="AE5" i="1"/>
  <c r="AD3" i="1"/>
  <c r="S5" i="1"/>
  <c r="R5" i="1"/>
  <c r="R3" i="1" s="1"/>
  <c r="S7" i="1"/>
  <c r="BG7" i="1" s="1"/>
  <c r="R7" i="1"/>
  <c r="BS13" i="1"/>
  <c r="BW13" i="1"/>
  <c r="BH7" i="1"/>
  <c r="BU11" i="1"/>
  <c r="V12" i="1"/>
  <c r="V17" i="1"/>
  <c r="AK18" i="1"/>
  <c r="BY18" i="1"/>
  <c r="BU18" i="1"/>
  <c r="AB11" i="1"/>
  <c r="AX3" i="1"/>
  <c r="AY5" i="1"/>
  <c r="AD6" i="1"/>
  <c r="Q7" i="1"/>
  <c r="CD9" i="1"/>
  <c r="BU10" i="1"/>
  <c r="T11" i="1"/>
  <c r="U11" i="1" s="1"/>
  <c r="AC12" i="1"/>
  <c r="AF12" i="1" s="1"/>
  <c r="BJ13" i="1"/>
  <c r="AC13" i="1"/>
  <c r="AF13" i="1" s="1"/>
  <c r="T13" i="1"/>
  <c r="U13" i="1" s="1"/>
  <c r="AY13" i="1"/>
  <c r="BW17" i="1"/>
  <c r="BS17" i="1"/>
  <c r="BI17" i="1"/>
  <c r="BP18" i="1"/>
  <c r="AD11" i="1"/>
  <c r="AB12" i="1"/>
  <c r="V14" i="1"/>
  <c r="AC14" i="1"/>
  <c r="T14" i="1"/>
  <c r="U14" i="1" s="1"/>
  <c r="BJ14" i="1"/>
  <c r="V18" i="1"/>
  <c r="BO18" i="1"/>
  <c r="Q18" i="1"/>
  <c r="AC18" i="1"/>
  <c r="AF18" i="1" s="1"/>
  <c r="AF6" i="1"/>
  <c r="AK7" i="1"/>
  <c r="BJ7" i="1"/>
  <c r="AB5" i="1"/>
  <c r="AG6" i="1"/>
  <c r="AO6" i="1"/>
  <c r="AT13" i="1"/>
  <c r="AI13" i="1"/>
  <c r="BO13" i="1"/>
  <c r="Q14" i="1"/>
  <c r="AD15" i="1"/>
  <c r="AB15" i="1"/>
  <c r="CD15" i="1"/>
  <c r="Z15" i="1"/>
  <c r="AE15" i="1" s="1"/>
  <c r="BJ17" i="1"/>
  <c r="AO8" i="1"/>
  <c r="BH11" i="1"/>
  <c r="AT11" i="1"/>
  <c r="AI11" i="1"/>
  <c r="T3" i="1"/>
  <c r="BJ5" i="1"/>
  <c r="AY6" i="1"/>
  <c r="BH6" i="1" s="1"/>
  <c r="T7" i="1"/>
  <c r="U7" i="1" s="1"/>
  <c r="BO9" i="1"/>
  <c r="Q9" i="1"/>
  <c r="BY13" i="1"/>
  <c r="BY3" i="1" s="1"/>
  <c r="BU13" i="1"/>
  <c r="AK14" i="1"/>
  <c r="AO14" i="1"/>
  <c r="AT15" i="1"/>
  <c r="AI15" i="1"/>
  <c r="BH16" i="1"/>
  <c r="BP16" i="1" s="1"/>
  <c r="S18" i="1"/>
  <c r="BG18" i="1" s="1"/>
  <c r="BO8" i="1"/>
  <c r="AF8" i="1"/>
  <c r="V3" i="1"/>
  <c r="AL3" i="1"/>
  <c r="AB9" i="1"/>
  <c r="AK10" i="1"/>
  <c r="Q10" i="1"/>
  <c r="BJ12" i="1"/>
  <c r="T12" i="1"/>
  <c r="U12" i="1" s="1"/>
  <c r="T9" i="1"/>
  <c r="U9" i="1" s="1"/>
  <c r="AC10" i="1"/>
  <c r="AF10" i="1" s="1"/>
  <c r="Q12" i="1"/>
  <c r="AD12" i="1"/>
  <c r="AY12" i="1"/>
  <c r="AO17" i="1"/>
  <c r="AK17" i="1"/>
  <c r="BH19" i="1"/>
  <c r="BO7" i="1"/>
  <c r="X3" i="1"/>
  <c r="CD5" i="1"/>
  <c r="AD9" i="1"/>
  <c r="V10" i="1"/>
  <c r="AT12" i="1"/>
  <c r="AI12" i="1"/>
  <c r="BA14" i="1"/>
  <c r="BA3" i="1" s="1"/>
  <c r="W16" i="1"/>
  <c r="AF16" i="1"/>
  <c r="AC19" i="1"/>
  <c r="AB19" i="1"/>
  <c r="AD19" i="1"/>
  <c r="AK20" i="1"/>
  <c r="BI23" i="1"/>
  <c r="R24" i="1"/>
  <c r="AB21" i="1"/>
  <c r="BP25" i="1"/>
  <c r="BW25" i="1"/>
  <c r="BO16" i="1"/>
  <c r="AD21" i="1"/>
  <c r="BI25" i="1"/>
  <c r="BO29" i="1"/>
  <c r="CD14" i="1"/>
  <c r="AD14" i="1"/>
  <c r="BO17" i="1"/>
  <c r="Q17" i="1"/>
  <c r="BJ18" i="1"/>
  <c r="T18" i="1"/>
  <c r="U18" i="1" s="1"/>
  <c r="AK19" i="1"/>
  <c r="AO19" i="1"/>
  <c r="BO20" i="1"/>
  <c r="AF20" i="1"/>
  <c r="BS20" i="1"/>
  <c r="BW20" i="1"/>
  <c r="BI20" i="1"/>
  <c r="BJ21" i="1"/>
  <c r="AC21" i="1"/>
  <c r="Q21" i="1"/>
  <c r="V21" i="1"/>
  <c r="AT21" i="1"/>
  <c r="AI21" i="1"/>
  <c r="AO22" i="1"/>
  <c r="AK22" i="1"/>
  <c r="V23" i="1"/>
  <c r="W23" i="1"/>
  <c r="AF23" i="1"/>
  <c r="BQ23" i="1"/>
  <c r="BK23" i="1"/>
  <c r="CD24" i="1"/>
  <c r="AB24" i="1"/>
  <c r="AF24" i="1"/>
  <c r="W24" i="1"/>
  <c r="BS24" i="1"/>
  <c r="BI24" i="1"/>
  <c r="BW24" i="1"/>
  <c r="AU25" i="1"/>
  <c r="AC25" i="1"/>
  <c r="BL25" i="1"/>
  <c r="BK25" i="1"/>
  <c r="AD26" i="1"/>
  <c r="CD26" i="1"/>
  <c r="AF26" i="1"/>
  <c r="BO26" i="1"/>
  <c r="W26" i="1"/>
  <c r="AF27" i="1"/>
  <c r="BO27" i="1"/>
  <c r="S27" i="1"/>
  <c r="BG27" i="1" s="1"/>
  <c r="BW27" i="1" s="1"/>
  <c r="AT27" i="1"/>
  <c r="AI27" i="1"/>
  <c r="AU27" i="1" s="1"/>
  <c r="BS27" i="1"/>
  <c r="AD28" i="1"/>
  <c r="CD28" i="1"/>
  <c r="Z28" i="1"/>
  <c r="AE28" i="1" s="1"/>
  <c r="BH28" i="1" s="1"/>
  <c r="BW29" i="1"/>
  <c r="BI29" i="1"/>
  <c r="S30" i="1"/>
  <c r="BG30" i="1" s="1"/>
  <c r="R30" i="1"/>
  <c r="AO30" i="1"/>
  <c r="BH30" i="1"/>
  <c r="T31" i="1"/>
  <c r="U31" i="1" s="1"/>
  <c r="BJ31" i="1"/>
  <c r="Q31" i="1"/>
  <c r="BO31" i="1"/>
  <c r="V31" i="1"/>
  <c r="CD31" i="1"/>
  <c r="AB31" i="1"/>
  <c r="Z31" i="1"/>
  <c r="AE31" i="1" s="1"/>
  <c r="BH31" i="1" s="1"/>
  <c r="AD31" i="1"/>
  <c r="CD34" i="1"/>
  <c r="AB34" i="1"/>
  <c r="Z34" i="1"/>
  <c r="AE34" i="1" s="1"/>
  <c r="BH34" i="1" s="1"/>
  <c r="BP34" i="1" s="1"/>
  <c r="BW36" i="1"/>
  <c r="BS36" i="1"/>
  <c r="AT36" i="1"/>
  <c r="AI36" i="1"/>
  <c r="BH36" i="1" s="1"/>
  <c r="BW37" i="1"/>
  <c r="BS37" i="1"/>
  <c r="AT37" i="1"/>
  <c r="AI37" i="1"/>
  <c r="BH37" i="1" s="1"/>
  <c r="BN40" i="1"/>
  <c r="BF40" i="1"/>
  <c r="BL40" i="1"/>
  <c r="BK40" i="1"/>
  <c r="BQ40" i="1"/>
  <c r="BP44" i="1"/>
  <c r="BI44" i="1"/>
  <c r="BW48" i="1"/>
  <c r="BS48" i="1"/>
  <c r="BI48" i="1"/>
  <c r="AK31" i="1"/>
  <c r="AT32" i="1"/>
  <c r="AI32" i="1"/>
  <c r="BH32" i="1" s="1"/>
  <c r="W35" i="1"/>
  <c r="AD35" i="1"/>
  <c r="CD35" i="1"/>
  <c r="AC35" i="1"/>
  <c r="AB35" i="1"/>
  <c r="BH67" i="1"/>
  <c r="BP67" i="1" s="1"/>
  <c r="V33" i="1"/>
  <c r="BJ33" i="1"/>
  <c r="T33" i="1"/>
  <c r="U33" i="1" s="1"/>
  <c r="AV35" i="1"/>
  <c r="BA35" i="1"/>
  <c r="BI46" i="1"/>
  <c r="BP47" i="1"/>
  <c r="V34" i="1"/>
  <c r="BJ34" i="1"/>
  <c r="T34" i="1"/>
  <c r="U34" i="1" s="1"/>
  <c r="BL47" i="1"/>
  <c r="BQ47" i="1"/>
  <c r="BF47" i="1"/>
  <c r="CD25" i="1"/>
  <c r="BS33" i="1"/>
  <c r="Q34" i="1"/>
  <c r="BW38" i="1"/>
  <c r="BS38" i="1"/>
  <c r="R38" i="1"/>
  <c r="AO38" i="1"/>
  <c r="AK38" i="1"/>
  <c r="BW42" i="1"/>
  <c r="BS42" i="1"/>
  <c r="BI42" i="1"/>
  <c r="BS45" i="1"/>
  <c r="BP49" i="1"/>
  <c r="BI49" i="1"/>
  <c r="BL49" i="1" s="1"/>
  <c r="BO28" i="1"/>
  <c r="R29" i="1"/>
  <c r="Z29" i="1"/>
  <c r="AE29" i="1" s="1"/>
  <c r="BH29" i="1" s="1"/>
  <c r="BP29" i="1" s="1"/>
  <c r="BS32" i="1"/>
  <c r="BW32" i="1"/>
  <c r="BK47" i="1"/>
  <c r="CD22" i="1"/>
  <c r="AD22" i="1"/>
  <c r="AG30" i="1"/>
  <c r="AU30" i="1" s="1"/>
  <c r="AF30" i="1"/>
  <c r="CD33" i="1"/>
  <c r="AB33" i="1"/>
  <c r="Z33" i="1"/>
  <c r="AE33" i="1" s="1"/>
  <c r="BH33" i="1" s="1"/>
  <c r="BP33" i="1" s="1"/>
  <c r="AK33" i="1"/>
  <c r="R33" i="1"/>
  <c r="S39" i="1"/>
  <c r="BG39" i="1" s="1"/>
  <c r="BS39" i="1" s="1"/>
  <c r="BW45" i="1"/>
  <c r="BH38" i="1"/>
  <c r="BW41" i="1"/>
  <c r="AU38" i="1"/>
  <c r="BI34" i="1"/>
  <c r="AU36" i="1"/>
  <c r="BS43" i="1"/>
  <c r="BH45" i="1"/>
  <c r="BP45" i="1" s="1"/>
  <c r="BI43" i="1"/>
  <c r="BK43" i="1" s="1"/>
  <c r="BI41" i="1"/>
  <c r="BO43" i="1"/>
  <c r="Q44" i="1"/>
  <c r="BJ44" i="1"/>
  <c r="T44" i="1"/>
  <c r="U44" i="1" s="1"/>
  <c r="BJ46" i="1"/>
  <c r="V46" i="1"/>
  <c r="BS47" i="1"/>
  <c r="BW47" i="1"/>
  <c r="AK48" i="1"/>
  <c r="AO48" i="1"/>
  <c r="BK48" i="1"/>
  <c r="BF48" i="1"/>
  <c r="R49" i="1"/>
  <c r="AO49" i="1"/>
  <c r="BU49" i="1"/>
  <c r="BY49" i="1"/>
  <c r="BJ50" i="1"/>
  <c r="T50" i="1"/>
  <c r="U50" i="1" s="1"/>
  <c r="Q50" i="1"/>
  <c r="AB50" i="1"/>
  <c r="Z50" i="1"/>
  <c r="AE50" i="1" s="1"/>
  <c r="BH50" i="1" s="1"/>
  <c r="BP50" i="1" s="1"/>
  <c r="S50" i="1"/>
  <c r="BG50" i="1" s="1"/>
  <c r="BW50" i="1" s="1"/>
  <c r="R50" i="1"/>
  <c r="CD51" i="1"/>
  <c r="AB51" i="1"/>
  <c r="Z51" i="1"/>
  <c r="AE51" i="1" s="1"/>
  <c r="BH51" i="1" s="1"/>
  <c r="BP51" i="1" s="1"/>
  <c r="S51" i="1"/>
  <c r="BG51" i="1" s="1"/>
  <c r="BW51" i="1" s="1"/>
  <c r="BI51" i="1"/>
  <c r="BW52" i="1"/>
  <c r="BS52" i="1"/>
  <c r="BQ52" i="1"/>
  <c r="BF52" i="1"/>
  <c r="BI53" i="1"/>
  <c r="BW53" i="1"/>
  <c r="BO53" i="1"/>
  <c r="AF53" i="1"/>
  <c r="R53" i="1"/>
  <c r="AO53" i="1"/>
  <c r="S54" i="1"/>
  <c r="BG54" i="1" s="1"/>
  <c r="R54" i="1"/>
  <c r="BW55" i="1"/>
  <c r="BS55" i="1"/>
  <c r="BI55" i="1"/>
  <c r="BL55" i="1" s="1"/>
  <c r="BW56" i="1"/>
  <c r="BS56" i="1"/>
  <c r="BI56" i="1"/>
  <c r="BW57" i="1"/>
  <c r="BS57" i="1"/>
  <c r="BW58" i="1"/>
  <c r="BS58" i="1"/>
  <c r="BI58" i="1"/>
  <c r="AO58" i="1"/>
  <c r="R58" i="1"/>
  <c r="AK58" i="1"/>
  <c r="BW59" i="1"/>
  <c r="BS59" i="1"/>
  <c r="BW60" i="1"/>
  <c r="BS60" i="1"/>
  <c r="BI60" i="1"/>
  <c r="AK61" i="1"/>
  <c r="S61" i="1"/>
  <c r="BG61" i="1" s="1"/>
  <c r="BI62" i="1"/>
  <c r="BW62" i="1"/>
  <c r="BS62" i="1"/>
  <c r="BW63" i="1"/>
  <c r="BS63" i="1"/>
  <c r="BS65" i="1"/>
  <c r="BW65" i="1"/>
  <c r="BS66" i="1"/>
  <c r="BW66" i="1"/>
  <c r="BI66" i="1"/>
  <c r="BS67" i="1"/>
  <c r="BW67" i="1"/>
  <c r="BW68" i="1"/>
  <c r="BS68" i="1"/>
  <c r="BW70" i="1"/>
  <c r="BS70" i="1"/>
  <c r="CD56" i="1"/>
  <c r="BO59" i="1"/>
  <c r="Q59" i="1"/>
  <c r="BJ64" i="1"/>
  <c r="T64" i="1"/>
  <c r="U64" i="1" s="1"/>
  <c r="BH65" i="1"/>
  <c r="BP65" i="1" s="1"/>
  <c r="S71" i="1"/>
  <c r="BG71" i="1" s="1"/>
  <c r="BO49" i="1"/>
  <c r="BY51" i="1"/>
  <c r="T52" i="1"/>
  <c r="U52" i="1" s="1"/>
  <c r="AB52" i="1"/>
  <c r="BJ52" i="1"/>
  <c r="BL52" i="1" s="1"/>
  <c r="R59" i="1"/>
  <c r="BY60" i="1"/>
  <c r="T61" i="1"/>
  <c r="U61" i="1" s="1"/>
  <c r="CD62" i="1"/>
  <c r="Q64" i="1"/>
  <c r="AY65" i="1"/>
  <c r="AB67" i="1"/>
  <c r="BU69" i="1"/>
  <c r="AU72" i="1"/>
  <c r="BO72" i="1"/>
  <c r="Q49" i="1"/>
  <c r="AI51" i="1"/>
  <c r="R51" i="1" s="1"/>
  <c r="CD52" i="1"/>
  <c r="AY54" i="1"/>
  <c r="BH54" i="1" s="1"/>
  <c r="BP54" i="1" s="1"/>
  <c r="BY55" i="1"/>
  <c r="BB56" i="1"/>
  <c r="BO57" i="1"/>
  <c r="Q57" i="1"/>
  <c r="V58" i="1"/>
  <c r="AI59" i="1"/>
  <c r="BJ59" i="1"/>
  <c r="BY61" i="1"/>
  <c r="AO62" i="1"/>
  <c r="AI63" i="1"/>
  <c r="S64" i="1"/>
  <c r="BG64" i="1" s="1"/>
  <c r="BP64" i="1" s="1"/>
  <c r="CD64" i="1"/>
  <c r="V52" i="1"/>
  <c r="BU52" i="1"/>
  <c r="AK56" i="1"/>
  <c r="AU56" i="1"/>
  <c r="R57" i="1"/>
  <c r="Z57" i="1"/>
  <c r="AE57" i="1" s="1"/>
  <c r="BH57" i="1" s="1"/>
  <c r="BP57" i="1" s="1"/>
  <c r="T59" i="1"/>
  <c r="U59" i="1" s="1"/>
  <c r="BO60" i="1"/>
  <c r="Q60" i="1"/>
  <c r="V61" i="1"/>
  <c r="V62" i="1"/>
  <c r="T63" i="1"/>
  <c r="U63" i="1" s="1"/>
  <c r="AC63" i="1"/>
  <c r="AF63" i="1" s="1"/>
  <c r="Z63" i="1"/>
  <c r="AE63" i="1" s="1"/>
  <c r="BO66" i="1"/>
  <c r="AY67" i="1"/>
  <c r="BO67" i="1"/>
  <c r="CD67" i="1"/>
  <c r="CD68" i="1"/>
  <c r="Z68" i="1"/>
  <c r="AE68" i="1" s="1"/>
  <c r="BH68" i="1" s="1"/>
  <c r="BP68" i="1" s="1"/>
  <c r="AI69" i="1"/>
  <c r="S73" i="1"/>
  <c r="BG73" i="1" s="1"/>
  <c r="BO55" i="1"/>
  <c r="Q55" i="1"/>
  <c r="R60" i="1"/>
  <c r="Z61" i="1"/>
  <c r="AE61" i="1" s="1"/>
  <c r="BH61" i="1" s="1"/>
  <c r="BP61" i="1" s="1"/>
  <c r="AG61" i="1"/>
  <c r="AU61" i="1" s="1"/>
  <c r="CD61" i="1"/>
  <c r="AB62" i="1"/>
  <c r="BU62" i="1"/>
  <c r="V64" i="1"/>
  <c r="BJ65" i="1"/>
  <c r="Q65" i="1"/>
  <c r="AI65" i="1"/>
  <c r="CD65" i="1"/>
  <c r="BJ66" i="1"/>
  <c r="T66" i="1"/>
  <c r="U66" i="1" s="1"/>
  <c r="Z66" i="1"/>
  <c r="AE66" i="1" s="1"/>
  <c r="BH66" i="1" s="1"/>
  <c r="BP66" i="1" s="1"/>
  <c r="AI66" i="1"/>
  <c r="Z69" i="1"/>
  <c r="AE69" i="1" s="1"/>
  <c r="BH72" i="1"/>
  <c r="BP72" i="1" s="1"/>
  <c r="S72" i="1"/>
  <c r="BG72" i="1" s="1"/>
  <c r="AK72" i="1"/>
  <c r="BO58" i="1"/>
  <c r="Q58" i="1"/>
  <c r="V59" i="1"/>
  <c r="AB65" i="1"/>
  <c r="AY69" i="1"/>
  <c r="S69" i="1"/>
  <c r="BG69" i="1" s="1"/>
  <c r="BH71" i="1"/>
  <c r="BP71" i="1" s="1"/>
  <c r="AT75" i="1"/>
  <c r="AI75" i="1"/>
  <c r="Q61" i="1"/>
  <c r="BO62" i="1"/>
  <c r="T62" i="1"/>
  <c r="U62" i="1" s="1"/>
  <c r="R66" i="1"/>
  <c r="AB66" i="1"/>
  <c r="AB68" i="1"/>
  <c r="R71" i="1"/>
  <c r="T55" i="1"/>
  <c r="U55" i="1" s="1"/>
  <c r="BO56" i="1"/>
  <c r="Q56" i="1"/>
  <c r="V57" i="1"/>
  <c r="BJ58" i="1"/>
  <c r="AK60" i="1"/>
  <c r="AU60" i="1"/>
  <c r="AB61" i="1"/>
  <c r="Q62" i="1"/>
  <c r="AY63" i="1"/>
  <c r="AK64" i="1"/>
  <c r="BO64" i="1"/>
  <c r="AK67" i="1"/>
  <c r="AT68" i="1"/>
  <c r="AI68" i="1"/>
  <c r="BA69" i="1"/>
  <c r="AF70" i="1"/>
  <c r="BO70" i="1"/>
  <c r="AI70" i="1"/>
  <c r="BH70" i="1" s="1"/>
  <c r="AT70" i="1"/>
  <c r="BA82" i="1"/>
  <c r="R82" i="1"/>
  <c r="BW84" i="1"/>
  <c r="BS84" i="1"/>
  <c r="R74" i="1"/>
  <c r="AT74" i="1"/>
  <c r="AI74" i="1"/>
  <c r="BO74" i="1"/>
  <c r="AU75" i="1"/>
  <c r="BS75" i="1"/>
  <c r="AU76" i="1"/>
  <c r="BW76" i="1"/>
  <c r="R78" i="1"/>
  <c r="S78" i="1"/>
  <c r="BG78" i="1" s="1"/>
  <c r="AY71" i="1"/>
  <c r="BI76" i="1"/>
  <c r="S77" i="1"/>
  <c r="BG77" i="1" s="1"/>
  <c r="Z73" i="1"/>
  <c r="AE73" i="1" s="1"/>
  <c r="AI73" i="1"/>
  <c r="R73" i="1" s="1"/>
  <c r="BU73" i="1"/>
  <c r="BY73" i="1"/>
  <c r="R76" i="1"/>
  <c r="BO80" i="1"/>
  <c r="BA71" i="1"/>
  <c r="BI75" i="1"/>
  <c r="Z78" i="1"/>
  <c r="AE78" i="1" s="1"/>
  <c r="BH78" i="1" s="1"/>
  <c r="BP78" i="1" s="1"/>
  <c r="CD78" i="1"/>
  <c r="S79" i="1"/>
  <c r="BG79" i="1" s="1"/>
  <c r="BS81" i="1"/>
  <c r="AB73" i="1"/>
  <c r="BS74" i="1"/>
  <c r="BI74" i="1"/>
  <c r="BW81" i="1"/>
  <c r="CD69" i="1"/>
  <c r="AK71" i="1"/>
  <c r="BA72" i="1"/>
  <c r="AY72" i="1"/>
  <c r="AB74" i="1"/>
  <c r="Z74" i="1"/>
  <c r="AE74" i="1" s="1"/>
  <c r="BH74" i="1" s="1"/>
  <c r="BP74" i="1" s="1"/>
  <c r="BA76" i="1"/>
  <c r="BW80" i="1"/>
  <c r="BS80" i="1"/>
  <c r="BA80" i="1"/>
  <c r="AY80" i="1"/>
  <c r="BS89" i="1"/>
  <c r="BW89" i="1"/>
  <c r="BI89" i="1"/>
  <c r="AB71" i="1"/>
  <c r="BU72" i="1"/>
  <c r="AK76" i="1"/>
  <c r="AG87" i="1"/>
  <c r="AU87" i="1" s="1"/>
  <c r="AF87" i="1"/>
  <c r="V91" i="1"/>
  <c r="BO91" i="1"/>
  <c r="BJ91" i="1"/>
  <c r="Q91" i="1"/>
  <c r="T91" i="1"/>
  <c r="U91" i="1" s="1"/>
  <c r="BY78" i="1"/>
  <c r="AG81" i="1"/>
  <c r="BO82" i="1"/>
  <c r="Z83" i="1"/>
  <c r="AE83" i="1" s="1"/>
  <c r="BH83" i="1" s="1"/>
  <c r="BP83" i="1" s="1"/>
  <c r="CD83" i="1"/>
  <c r="AK83" i="1"/>
  <c r="BH87" i="1"/>
  <c r="V90" i="1"/>
  <c r="BO90" i="1"/>
  <c r="BJ90" i="1"/>
  <c r="Q90" i="1"/>
  <c r="T90" i="1"/>
  <c r="U90" i="1" s="1"/>
  <c r="BW96" i="1"/>
  <c r="BS96" i="1"/>
  <c r="AK78" i="1"/>
  <c r="AI79" i="1"/>
  <c r="R79" i="1" s="1"/>
  <c r="AB80" i="1"/>
  <c r="CD80" i="1"/>
  <c r="Z81" i="1"/>
  <c r="AE81" i="1" s="1"/>
  <c r="S82" i="1"/>
  <c r="BG82" i="1" s="1"/>
  <c r="BP82" i="1" s="1"/>
  <c r="BJ88" i="1"/>
  <c r="BI88" i="1" s="1"/>
  <c r="Q88" i="1"/>
  <c r="BO88" i="1"/>
  <c r="V88" i="1"/>
  <c r="BW91" i="1"/>
  <c r="BS91" i="1"/>
  <c r="V75" i="1"/>
  <c r="T75" i="1"/>
  <c r="U75" i="1" s="1"/>
  <c r="Z75" i="1"/>
  <c r="AE75" i="1" s="1"/>
  <c r="BH75" i="1" s="1"/>
  <c r="BP75" i="1" s="1"/>
  <c r="BO75" i="1"/>
  <c r="AI77" i="1"/>
  <c r="BH77" i="1" s="1"/>
  <c r="BP77" i="1" s="1"/>
  <c r="T78" i="1"/>
  <c r="U78" i="1" s="1"/>
  <c r="BO78" i="1"/>
  <c r="T79" i="1"/>
  <c r="U79" i="1" s="1"/>
  <c r="Z79" i="1"/>
  <c r="AE79" i="1" s="1"/>
  <c r="BH79" i="1" s="1"/>
  <c r="CD79" i="1"/>
  <c r="AI80" i="1"/>
  <c r="BW83" i="1"/>
  <c r="BS83" i="1"/>
  <c r="S90" i="1"/>
  <c r="BG90" i="1" s="1"/>
  <c r="AF83" i="1"/>
  <c r="BO83" i="1"/>
  <c r="S87" i="1"/>
  <c r="BG87" i="1" s="1"/>
  <c r="R87" i="1"/>
  <c r="AK91" i="1"/>
  <c r="R91" i="1"/>
  <c r="AO91" i="1"/>
  <c r="BW93" i="1"/>
  <c r="BS93" i="1"/>
  <c r="BU77" i="1"/>
  <c r="T80" i="1"/>
  <c r="U80" i="1" s="1"/>
  <c r="V80" i="1"/>
  <c r="R83" i="1"/>
  <c r="AT84" i="1"/>
  <c r="AI84" i="1"/>
  <c r="BH84" i="1" s="1"/>
  <c r="S85" i="1"/>
  <c r="BG85" i="1" s="1"/>
  <c r="BP85" i="1" s="1"/>
  <c r="Q86" i="1"/>
  <c r="BO86" i="1"/>
  <c r="BJ86" i="1"/>
  <c r="AG86" i="1"/>
  <c r="AU86" i="1" s="1"/>
  <c r="V86" i="1"/>
  <c r="AK90" i="1"/>
  <c r="R90" i="1"/>
  <c r="AO90" i="1"/>
  <c r="BP89" i="1"/>
  <c r="AK92" i="1"/>
  <c r="R92" i="1"/>
  <c r="AO92" i="1"/>
  <c r="BH92" i="1"/>
  <c r="BP92" i="1" s="1"/>
  <c r="AF77" i="1"/>
  <c r="BO77" i="1"/>
  <c r="R80" i="1"/>
  <c r="AT81" i="1"/>
  <c r="AI81" i="1"/>
  <c r="CD74" i="1"/>
  <c r="AB84" i="1"/>
  <c r="BH86" i="1"/>
  <c r="BP86" i="1" s="1"/>
  <c r="S88" i="1"/>
  <c r="BG88" i="1" s="1"/>
  <c r="T92" i="1"/>
  <c r="U92" i="1" s="1"/>
  <c r="Q93" i="1"/>
  <c r="AB93" i="1"/>
  <c r="CD93" i="1"/>
  <c r="AB94" i="1"/>
  <c r="CD94" i="1"/>
  <c r="AK94" i="1"/>
  <c r="AO94" i="1"/>
  <c r="S95" i="1"/>
  <c r="BG95" i="1" s="1"/>
  <c r="Z98" i="1"/>
  <c r="AE98" i="1" s="1"/>
  <c r="AB98" i="1"/>
  <c r="CD98" i="1"/>
  <c r="AO98" i="1"/>
  <c r="AK98" i="1"/>
  <c r="AK85" i="1"/>
  <c r="AY86" i="1"/>
  <c r="BJ89" i="1"/>
  <c r="T89" i="1"/>
  <c r="U89" i="1" s="1"/>
  <c r="BO89" i="1"/>
  <c r="BY89" i="1"/>
  <c r="BW92" i="1"/>
  <c r="BI92" i="1"/>
  <c r="BS92" i="1"/>
  <c r="AT96" i="1"/>
  <c r="AI96" i="1"/>
  <c r="BH96" i="1" s="1"/>
  <c r="BW98" i="1"/>
  <c r="BS98" i="1"/>
  <c r="AK108" i="1"/>
  <c r="BH108" i="1"/>
  <c r="BP108" i="1" s="1"/>
  <c r="BO84" i="1"/>
  <c r="BU86" i="1"/>
  <c r="Q87" i="1"/>
  <c r="AB87" i="1"/>
  <c r="BO87" i="1"/>
  <c r="AF88" i="1"/>
  <c r="Q89" i="1"/>
  <c r="AY90" i="1"/>
  <c r="AY91" i="1"/>
  <c r="R93" i="1"/>
  <c r="T94" i="1"/>
  <c r="U94" i="1" s="1"/>
  <c r="BJ94" i="1"/>
  <c r="AC96" i="1"/>
  <c r="AF96" i="1" s="1"/>
  <c r="BH100" i="1"/>
  <c r="BP100" i="1" s="1"/>
  <c r="BW100" i="1"/>
  <c r="BS100" i="1"/>
  <c r="AB76" i="1"/>
  <c r="AY77" i="1"/>
  <c r="BB77" i="1" s="1"/>
  <c r="BA86" i="1"/>
  <c r="T87" i="1"/>
  <c r="U87" i="1" s="1"/>
  <c r="CD87" i="1"/>
  <c r="AB88" i="1"/>
  <c r="CD90" i="1"/>
  <c r="CD91" i="1"/>
  <c r="BU92" i="1"/>
  <c r="BH93" i="1"/>
  <c r="BP93" i="1" s="1"/>
  <c r="Q94" i="1"/>
  <c r="AB95" i="1"/>
  <c r="Z95" i="1"/>
  <c r="AE95" i="1" s="1"/>
  <c r="BH95" i="1" s="1"/>
  <c r="BP95" i="1" s="1"/>
  <c r="R96" i="1"/>
  <c r="AK106" i="1"/>
  <c r="BH106" i="1"/>
  <c r="S106" i="1"/>
  <c r="BG106" i="1" s="1"/>
  <c r="BA91" i="1"/>
  <c r="BO92" i="1"/>
  <c r="V92" i="1"/>
  <c r="BO94" i="1"/>
  <c r="S86" i="1"/>
  <c r="BG86" i="1" s="1"/>
  <c r="V87" i="1"/>
  <c r="Z88" i="1"/>
  <c r="AE88" i="1" s="1"/>
  <c r="BH88" i="1" s="1"/>
  <c r="AT88" i="1"/>
  <c r="V89" i="1"/>
  <c r="AO89" i="1"/>
  <c r="Z90" i="1"/>
  <c r="AE90" i="1" s="1"/>
  <c r="BH90" i="1" s="1"/>
  <c r="BP90" i="1" s="1"/>
  <c r="Z91" i="1"/>
  <c r="AE91" i="1" s="1"/>
  <c r="BH91" i="1" s="1"/>
  <c r="BP91" i="1" s="1"/>
  <c r="Q92" i="1"/>
  <c r="BA93" i="1"/>
  <c r="S94" i="1"/>
  <c r="BG94" i="1" s="1"/>
  <c r="BP94" i="1" s="1"/>
  <c r="BO95" i="1"/>
  <c r="V95" i="1"/>
  <c r="T95" i="1"/>
  <c r="U95" i="1" s="1"/>
  <c r="BO97" i="1"/>
  <c r="BB97" i="1"/>
  <c r="S97" i="1"/>
  <c r="BG97" i="1" s="1"/>
  <c r="BW99" i="1"/>
  <c r="BS99" i="1"/>
  <c r="BI99" i="1"/>
  <c r="BH101" i="1"/>
  <c r="BP101" i="1" s="1"/>
  <c r="AK107" i="1"/>
  <c r="BH107" i="1"/>
  <c r="BP107" i="1" s="1"/>
  <c r="CD89" i="1"/>
  <c r="AB89" i="1"/>
  <c r="AK93" i="1"/>
  <c r="AY96" i="1"/>
  <c r="AY97" i="1"/>
  <c r="BH97" i="1" s="1"/>
  <c r="BP97" i="1" s="1"/>
  <c r="BA97" i="1"/>
  <c r="BY98" i="1"/>
  <c r="AO99" i="1"/>
  <c r="AI100" i="1"/>
  <c r="AT100" i="1"/>
  <c r="AI101" i="1"/>
  <c r="AT101" i="1"/>
  <c r="AK102" i="1"/>
  <c r="AO102" i="1"/>
  <c r="R114" i="1"/>
  <c r="BA114" i="1"/>
  <c r="AY114" i="1"/>
  <c r="BH114" i="1" s="1"/>
  <c r="BP114" i="1" s="1"/>
  <c r="S122" i="1"/>
  <c r="BG122" i="1" s="1"/>
  <c r="BH122" i="1"/>
  <c r="BP122" i="1" s="1"/>
  <c r="BH134" i="1"/>
  <c r="BP134" i="1" s="1"/>
  <c r="BJ103" i="1"/>
  <c r="T103" i="1"/>
  <c r="U103" i="1" s="1"/>
  <c r="Q103" i="1"/>
  <c r="BW103" i="1"/>
  <c r="R105" i="1"/>
  <c r="AO105" i="1"/>
  <c r="CD110" i="1"/>
  <c r="AB110" i="1"/>
  <c r="Z110" i="1"/>
  <c r="AE110" i="1" s="1"/>
  <c r="BH110" i="1" s="1"/>
  <c r="T98" i="1"/>
  <c r="U98" i="1" s="1"/>
  <c r="BO98" i="1"/>
  <c r="CD99" i="1"/>
  <c r="BI103" i="1"/>
  <c r="R106" i="1"/>
  <c r="AF106" i="1"/>
  <c r="S107" i="1"/>
  <c r="BG107" i="1" s="1"/>
  <c r="R107" i="1"/>
  <c r="AB109" i="1"/>
  <c r="Z109" i="1"/>
  <c r="AE109" i="1" s="1"/>
  <c r="BH109" i="1" s="1"/>
  <c r="V111" i="1"/>
  <c r="BJ111" i="1"/>
  <c r="T111" i="1"/>
  <c r="U111" i="1" s="1"/>
  <c r="Q111" i="1"/>
  <c r="BO115" i="1"/>
  <c r="AU115" i="1"/>
  <c r="BQ125" i="1"/>
  <c r="BK125" i="1"/>
  <c r="S102" i="1"/>
  <c r="BG102" i="1" s="1"/>
  <c r="BP102" i="1" s="1"/>
  <c r="AK105" i="1"/>
  <c r="S108" i="1"/>
  <c r="BG108" i="1" s="1"/>
  <c r="R108" i="1"/>
  <c r="BO111" i="1"/>
  <c r="BV119" i="1"/>
  <c r="BX119" i="1" s="1"/>
  <c r="BR119" i="1"/>
  <c r="BT119" i="1" s="1"/>
  <c r="BZ119" i="1"/>
  <c r="BK127" i="1"/>
  <c r="BQ127" i="1"/>
  <c r="R98" i="1"/>
  <c r="BO99" i="1"/>
  <c r="BW101" i="1"/>
  <c r="V103" i="1"/>
  <c r="Z104" i="1"/>
  <c r="AE104" i="1" s="1"/>
  <c r="BH104" i="1" s="1"/>
  <c r="BP104" i="1" s="1"/>
  <c r="CD104" i="1"/>
  <c r="AB104" i="1"/>
  <c r="BW111" i="1"/>
  <c r="BS111" i="1"/>
  <c r="BI112" i="1"/>
  <c r="BQ112" i="1" s="1"/>
  <c r="BS112" i="1"/>
  <c r="BY113" i="1"/>
  <c r="BU113" i="1"/>
  <c r="BS115" i="1"/>
  <c r="BW115" i="1"/>
  <c r="BJ96" i="1"/>
  <c r="BU100" i="1"/>
  <c r="BO103" i="1"/>
  <c r="S110" i="1"/>
  <c r="BG110" i="1" s="1"/>
  <c r="R110" i="1"/>
  <c r="CD115" i="1"/>
  <c r="AB115" i="1"/>
  <c r="Z115" i="1"/>
  <c r="AE115" i="1" s="1"/>
  <c r="BH115" i="1" s="1"/>
  <c r="BP115" i="1" s="1"/>
  <c r="BK121" i="1"/>
  <c r="BO85" i="1"/>
  <c r="Q96" i="1"/>
  <c r="Q97" i="1"/>
  <c r="V98" i="1"/>
  <c r="AY98" i="1"/>
  <c r="BA98" i="1"/>
  <c r="BJ98" i="1"/>
  <c r="BU99" i="1"/>
  <c r="CD103" i="1"/>
  <c r="AB103" i="1"/>
  <c r="S104" i="1"/>
  <c r="BG104" i="1" s="1"/>
  <c r="AC104" i="1"/>
  <c r="AY104" i="1"/>
  <c r="BA104" i="1"/>
  <c r="S109" i="1"/>
  <c r="BG109" i="1" s="1"/>
  <c r="R109" i="1"/>
  <c r="BJ110" i="1"/>
  <c r="T110" i="1"/>
  <c r="U110" i="1" s="1"/>
  <c r="BO110" i="1"/>
  <c r="Q110" i="1"/>
  <c r="CD111" i="1"/>
  <c r="AB111" i="1"/>
  <c r="Z111" i="1"/>
  <c r="AE111" i="1" s="1"/>
  <c r="BH111" i="1" s="1"/>
  <c r="BP111" i="1" s="1"/>
  <c r="BB113" i="1"/>
  <c r="AY113" i="1"/>
  <c r="AU118" i="1"/>
  <c r="BO118" i="1"/>
  <c r="R99" i="1"/>
  <c r="AF99" i="1"/>
  <c r="AU102" i="1"/>
  <c r="AK103" i="1"/>
  <c r="AO103" i="1"/>
  <c r="BW105" i="1"/>
  <c r="BJ109" i="1"/>
  <c r="T109" i="1"/>
  <c r="U109" i="1" s="1"/>
  <c r="BO109" i="1"/>
  <c r="Q109" i="1"/>
  <c r="V110" i="1"/>
  <c r="AF113" i="1"/>
  <c r="W113" i="1"/>
  <c r="BJ99" i="1"/>
  <c r="BJ100" i="1"/>
  <c r="V105" i="1"/>
  <c r="CD105" i="1"/>
  <c r="AC116" i="1"/>
  <c r="BH113" i="1"/>
  <c r="BP113" i="1" s="1"/>
  <c r="BI116" i="1"/>
  <c r="BH112" i="1"/>
  <c r="BP112" i="1" s="1"/>
  <c r="BS113" i="1"/>
  <c r="BO145" i="1"/>
  <c r="Q105" i="1"/>
  <c r="BO105" i="1"/>
  <c r="BI113" i="1"/>
  <c r="S114" i="1"/>
  <c r="BG114" i="1" s="1"/>
  <c r="Q100" i="1"/>
  <c r="Z105" i="1"/>
  <c r="AE105" i="1" s="1"/>
  <c r="BH105" i="1" s="1"/>
  <c r="BP105" i="1" s="1"/>
  <c r="BV117" i="1"/>
  <c r="BX117" i="1" s="1"/>
  <c r="BR118" i="1"/>
  <c r="BT118" i="1" s="1"/>
  <c r="BP127" i="1"/>
  <c r="BP121" i="1"/>
  <c r="T105" i="1"/>
  <c r="U105" i="1" s="1"/>
  <c r="BL118" i="1"/>
  <c r="BQ113" i="1"/>
  <c r="BK113" i="1"/>
  <c r="V115" i="1"/>
  <c r="T116" i="1"/>
  <c r="U116" i="1" s="1"/>
  <c r="BZ117" i="1"/>
  <c r="T117" i="1"/>
  <c r="U117" i="1" s="1"/>
  <c r="AB117" i="1"/>
  <c r="CD117" i="1"/>
  <c r="BL117" i="1"/>
  <c r="BK117" i="1"/>
  <c r="BJ118" i="1"/>
  <c r="BK118" i="1" s="1"/>
  <c r="T118" i="1"/>
  <c r="U118" i="1" s="1"/>
  <c r="V118" i="1"/>
  <c r="BQ119" i="1"/>
  <c r="BL119" i="1"/>
  <c r="BK119" i="1"/>
  <c r="BS120" i="1"/>
  <c r="BW120" i="1"/>
  <c r="AK120" i="1"/>
  <c r="AO120" i="1"/>
  <c r="BL120" i="1"/>
  <c r="BF120" i="1"/>
  <c r="BS121" i="1"/>
  <c r="BW121" i="1"/>
  <c r="AK121" i="1"/>
  <c r="AO121" i="1"/>
  <c r="BL121" i="1"/>
  <c r="BF121" i="1"/>
  <c r="BS122" i="1"/>
  <c r="BW122" i="1"/>
  <c r="AK122" i="1"/>
  <c r="AO122" i="1"/>
  <c r="BS123" i="1"/>
  <c r="BW123" i="1"/>
  <c r="AK123" i="1"/>
  <c r="AO123" i="1"/>
  <c r="BL123" i="1"/>
  <c r="BF123" i="1"/>
  <c r="BS124" i="1"/>
  <c r="BW124" i="1"/>
  <c r="AK124" i="1"/>
  <c r="AO124" i="1"/>
  <c r="BL124" i="1"/>
  <c r="BF124" i="1"/>
  <c r="BS125" i="1"/>
  <c r="BW125" i="1"/>
  <c r="R125" i="1"/>
  <c r="AF125" i="1"/>
  <c r="AK125" i="1"/>
  <c r="AO125" i="1"/>
  <c r="BL125" i="1"/>
  <c r="BF125" i="1"/>
  <c r="BS126" i="1"/>
  <c r="BW126" i="1"/>
  <c r="AK126" i="1"/>
  <c r="AO126" i="1"/>
  <c r="BL126" i="1"/>
  <c r="BF126" i="1"/>
  <c r="BS127" i="1"/>
  <c r="BW127" i="1"/>
  <c r="AK127" i="1"/>
  <c r="AO127" i="1"/>
  <c r="BL127" i="1"/>
  <c r="BF127" i="1"/>
  <c r="BS128" i="1"/>
  <c r="BW128" i="1"/>
  <c r="AU128" i="1"/>
  <c r="AK128" i="1"/>
  <c r="AO128" i="1"/>
  <c r="BW129" i="1"/>
  <c r="BS129" i="1"/>
  <c r="BI129" i="1"/>
  <c r="AK129" i="1"/>
  <c r="AO129" i="1"/>
  <c r="BS130" i="1"/>
  <c r="BW130" i="1"/>
  <c r="AK130" i="1"/>
  <c r="R130" i="1"/>
  <c r="AO130" i="1"/>
  <c r="BW131" i="1"/>
  <c r="BS131" i="1"/>
  <c r="BI131" i="1"/>
  <c r="BW132" i="1"/>
  <c r="BS132" i="1"/>
  <c r="BS133" i="1"/>
  <c r="BI133" i="1"/>
  <c r="BW133" i="1"/>
  <c r="BW134" i="1"/>
  <c r="BS134" i="1"/>
  <c r="AK134" i="1"/>
  <c r="AO134" i="1"/>
  <c r="BW135" i="1"/>
  <c r="BS135" i="1"/>
  <c r="BI135" i="1"/>
  <c r="BI136" i="1"/>
  <c r="BW136" i="1"/>
  <c r="BS136" i="1"/>
  <c r="BS137" i="1"/>
  <c r="BI137" i="1"/>
  <c r="BW137" i="1"/>
  <c r="BW138" i="1"/>
  <c r="BS138" i="1"/>
  <c r="BW139" i="1"/>
  <c r="BS139" i="1"/>
  <c r="BI140" i="1"/>
  <c r="BW140" i="1"/>
  <c r="BS140" i="1"/>
  <c r="S142" i="1"/>
  <c r="BG142" i="1" s="1"/>
  <c r="AK142" i="1"/>
  <c r="BS143" i="1"/>
  <c r="BI143" i="1"/>
  <c r="BW143" i="1"/>
  <c r="BS146" i="1"/>
  <c r="BW146" i="1"/>
  <c r="BW148" i="1"/>
  <c r="BS148" i="1"/>
  <c r="BS149" i="1"/>
  <c r="BW149" i="1"/>
  <c r="BS151" i="1"/>
  <c r="BW151" i="1"/>
  <c r="BR153" i="1"/>
  <c r="BV153" i="1"/>
  <c r="AB132" i="1"/>
  <c r="AK132" i="1"/>
  <c r="BO134" i="1"/>
  <c r="R135" i="1"/>
  <c r="AB136" i="1"/>
  <c r="AK136" i="1"/>
  <c r="R140" i="1"/>
  <c r="AK140" i="1"/>
  <c r="BY140" i="1"/>
  <c r="AB141" i="1"/>
  <c r="T142" i="1"/>
  <c r="U142" i="1" s="1"/>
  <c r="R142" i="1"/>
  <c r="V144" i="1"/>
  <c r="AC144" i="1"/>
  <c r="BO144" i="1" s="1"/>
  <c r="BJ144" i="1"/>
  <c r="T144" i="1"/>
  <c r="U144" i="1" s="1"/>
  <c r="CD146" i="1"/>
  <c r="AB146" i="1"/>
  <c r="AC150" i="1"/>
  <c r="AF150" i="1" s="1"/>
  <c r="AU150" i="1"/>
  <c r="BH155" i="1"/>
  <c r="Q120" i="1"/>
  <c r="BO120" i="1"/>
  <c r="Q121" i="1"/>
  <c r="BO121" i="1"/>
  <c r="Q122" i="1"/>
  <c r="BO122" i="1"/>
  <c r="Q123" i="1"/>
  <c r="BO123" i="1"/>
  <c r="Q124" i="1"/>
  <c r="Q125" i="1"/>
  <c r="AG125" i="1"/>
  <c r="AU125" i="1" s="1"/>
  <c r="Q126" i="1"/>
  <c r="BO126" i="1"/>
  <c r="Q127" i="1"/>
  <c r="Q128" i="1"/>
  <c r="Q129" i="1"/>
  <c r="AG129" i="1"/>
  <c r="AU129" i="1" s="1"/>
  <c r="AY129" i="1"/>
  <c r="V130" i="1"/>
  <c r="BO130" i="1"/>
  <c r="R131" i="1"/>
  <c r="BA131" i="1"/>
  <c r="AC132" i="1"/>
  <c r="AY134" i="1"/>
  <c r="BB134" i="1" s="1"/>
  <c r="BY134" i="1"/>
  <c r="BA135" i="1"/>
  <c r="AU136" i="1"/>
  <c r="AY138" i="1"/>
  <c r="CD138" i="1"/>
  <c r="AI141" i="1"/>
  <c r="AU141" i="1" s="1"/>
  <c r="AF142" i="1"/>
  <c r="BH146" i="1"/>
  <c r="BP146" i="1" s="1"/>
  <c r="AG147" i="1"/>
  <c r="AU147" i="1" s="1"/>
  <c r="BH149" i="1"/>
  <c r="BP149" i="1" s="1"/>
  <c r="BJ150" i="1"/>
  <c r="BO150" i="1"/>
  <c r="Q150" i="1"/>
  <c r="V150" i="1"/>
  <c r="BP158" i="1"/>
  <c r="AK160" i="1"/>
  <c r="BS163" i="1"/>
  <c r="BW163" i="1"/>
  <c r="Z128" i="1"/>
  <c r="AE128" i="1" s="1"/>
  <c r="BH128" i="1" s="1"/>
  <c r="Z129" i="1"/>
  <c r="AE129" i="1" s="1"/>
  <c r="BH129" i="1" s="1"/>
  <c r="BP129" i="1" s="1"/>
  <c r="AO133" i="1"/>
  <c r="BO133" i="1"/>
  <c r="R134" i="1"/>
  <c r="AB135" i="1"/>
  <c r="AO137" i="1"/>
  <c r="BO137" i="1"/>
  <c r="Z138" i="1"/>
  <c r="AE138" i="1" s="1"/>
  <c r="BH138" i="1" s="1"/>
  <c r="BP138" i="1" s="1"/>
  <c r="AI138" i="1"/>
  <c r="R138" i="1" s="1"/>
  <c r="T139" i="1"/>
  <c r="U139" i="1" s="1"/>
  <c r="BO139" i="1"/>
  <c r="Q139" i="1"/>
  <c r="Z139" i="1"/>
  <c r="AE139" i="1" s="1"/>
  <c r="AI139" i="1"/>
  <c r="R139" i="1" s="1"/>
  <c r="CD140" i="1"/>
  <c r="BO141" i="1"/>
  <c r="V142" i="1"/>
  <c r="BJ142" i="1"/>
  <c r="S144" i="1"/>
  <c r="BG144" i="1" s="1"/>
  <c r="BA145" i="1"/>
  <c r="BB151" i="1"/>
  <c r="AY151" i="1"/>
  <c r="BA155" i="1"/>
  <c r="AY155" i="1"/>
  <c r="BO155" i="1"/>
  <c r="BW159" i="1"/>
  <c r="BS159" i="1"/>
  <c r="AO165" i="1"/>
  <c r="AK165" i="1"/>
  <c r="AU131" i="1"/>
  <c r="AU135" i="1"/>
  <c r="V140" i="1"/>
  <c r="BH142" i="1"/>
  <c r="BU143" i="1"/>
  <c r="V145" i="1"/>
  <c r="BJ145" i="1"/>
  <c r="AC145" i="1"/>
  <c r="AF145" i="1" s="1"/>
  <c r="S145" i="1"/>
  <c r="BG145" i="1" s="1"/>
  <c r="R146" i="1"/>
  <c r="AF146" i="1"/>
  <c r="W146" i="1"/>
  <c r="AY146" i="1"/>
  <c r="CD147" i="1"/>
  <c r="AT147" i="1"/>
  <c r="BH153" i="1"/>
  <c r="AY154" i="1"/>
  <c r="BH154" i="1" s="1"/>
  <c r="BP154" i="1" s="1"/>
  <c r="BH157" i="1"/>
  <c r="BP157" i="1" s="1"/>
  <c r="BH160" i="1"/>
  <c r="BS162" i="1"/>
  <c r="BI162" i="1"/>
  <c r="BW162" i="1"/>
  <c r="AF131" i="1"/>
  <c r="BU131" i="1"/>
  <c r="BU135" i="1"/>
  <c r="BU138" i="1"/>
  <c r="Q141" i="1"/>
  <c r="AK143" i="1"/>
  <c r="AO143" i="1"/>
  <c r="CD144" i="1"/>
  <c r="AB144" i="1"/>
  <c r="Z144" i="1"/>
  <c r="AE144" i="1" s="1"/>
  <c r="BH144" i="1" s="1"/>
  <c r="BP144" i="1" s="1"/>
  <c r="AK144" i="1"/>
  <c r="R144" i="1"/>
  <c r="S147" i="1"/>
  <c r="BG147" i="1" s="1"/>
  <c r="BU152" i="1"/>
  <c r="BY152" i="1"/>
  <c r="BZ153" i="1"/>
  <c r="BU154" i="1"/>
  <c r="S155" i="1"/>
  <c r="BG155" i="1" s="1"/>
  <c r="S156" i="1"/>
  <c r="BG156" i="1" s="1"/>
  <c r="AK161" i="1"/>
  <c r="R161" i="1"/>
  <c r="AO161" i="1"/>
  <c r="AC124" i="1"/>
  <c r="AF124" i="1" s="1"/>
  <c r="AC127" i="1"/>
  <c r="AF127" i="1" s="1"/>
  <c r="AC128" i="1"/>
  <c r="AF128" i="1" s="1"/>
  <c r="Z130" i="1"/>
  <c r="AE130" i="1" s="1"/>
  <c r="BH130" i="1" s="1"/>
  <c r="BP130" i="1" s="1"/>
  <c r="CD130" i="1"/>
  <c r="AY132" i="1"/>
  <c r="BH132" i="1" s="1"/>
  <c r="S141" i="1"/>
  <c r="BG141" i="1" s="1"/>
  <c r="CD142" i="1"/>
  <c r="BJ143" i="1"/>
  <c r="T143" i="1"/>
  <c r="U143" i="1" s="1"/>
  <c r="BO143" i="1"/>
  <c r="Q143" i="1"/>
  <c r="BO146" i="1"/>
  <c r="Z147" i="1"/>
  <c r="AE147" i="1" s="1"/>
  <c r="AI148" i="1"/>
  <c r="R148" i="1" s="1"/>
  <c r="BK153" i="1"/>
  <c r="BQ153" i="1"/>
  <c r="BL153" i="1"/>
  <c r="S154" i="1"/>
  <c r="BG154" i="1" s="1"/>
  <c r="R154" i="1"/>
  <c r="BW158" i="1"/>
  <c r="BS158" i="1"/>
  <c r="BI158" i="1"/>
  <c r="V129" i="1"/>
  <c r="AB137" i="1"/>
  <c r="T141" i="1"/>
  <c r="U141" i="1" s="1"/>
  <c r="AO149" i="1"/>
  <c r="AK149" i="1"/>
  <c r="BS152" i="1"/>
  <c r="BI152" i="1"/>
  <c r="BO154" i="1"/>
  <c r="S160" i="1"/>
  <c r="BG160" i="1" s="1"/>
  <c r="BS167" i="1"/>
  <c r="BW167" i="1"/>
  <c r="BO138" i="1"/>
  <c r="T140" i="1"/>
  <c r="U140" i="1" s="1"/>
  <c r="BO140" i="1"/>
  <c r="Q140" i="1"/>
  <c r="CD145" i="1"/>
  <c r="Z145" i="1"/>
  <c r="AE145" i="1" s="1"/>
  <c r="AF147" i="1"/>
  <c r="AY147" i="1"/>
  <c r="S150" i="1"/>
  <c r="BG150" i="1" s="1"/>
  <c r="R150" i="1"/>
  <c r="AT151" i="1"/>
  <c r="AI151" i="1"/>
  <c r="BH151" i="1" s="1"/>
  <c r="S153" i="1"/>
  <c r="BG153" i="1" s="1"/>
  <c r="R153" i="1"/>
  <c r="AK156" i="1"/>
  <c r="AO156" i="1"/>
  <c r="BW157" i="1"/>
  <c r="BS157" i="1"/>
  <c r="BI157" i="1"/>
  <c r="BW165" i="1"/>
  <c r="BS165" i="1"/>
  <c r="BS166" i="1"/>
  <c r="BW166" i="1"/>
  <c r="BU156" i="1"/>
  <c r="BO157" i="1"/>
  <c r="R158" i="1"/>
  <c r="BU160" i="1"/>
  <c r="BO161" i="1"/>
  <c r="R162" i="1"/>
  <c r="BA167" i="1"/>
  <c r="R170" i="1"/>
  <c r="S170" i="1"/>
  <c r="BG170" i="1" s="1"/>
  <c r="BP170" i="1" s="1"/>
  <c r="S172" i="1"/>
  <c r="BG172" i="1" s="1"/>
  <c r="BO152" i="1"/>
  <c r="AK153" i="1"/>
  <c r="AY157" i="1"/>
  <c r="AU159" i="1"/>
  <c r="BU165" i="1"/>
  <c r="BA169" i="1"/>
  <c r="AY169" i="1"/>
  <c r="BH169" i="1" s="1"/>
  <c r="BP169" i="1" s="1"/>
  <c r="BY146" i="1"/>
  <c r="BY147" i="1"/>
  <c r="T148" i="1"/>
  <c r="U148" i="1" s="1"/>
  <c r="T149" i="1"/>
  <c r="U149" i="1" s="1"/>
  <c r="AB149" i="1"/>
  <c r="T152" i="1"/>
  <c r="U152" i="1" s="1"/>
  <c r="AK154" i="1"/>
  <c r="BU155" i="1"/>
  <c r="BO156" i="1"/>
  <c r="AK158" i="1"/>
  <c r="BU159" i="1"/>
  <c r="AO160" i="1"/>
  <c r="BO160" i="1"/>
  <c r="AK162" i="1"/>
  <c r="BB163" i="1"/>
  <c r="T165" i="1"/>
  <c r="U165" i="1" s="1"/>
  <c r="BO165" i="1"/>
  <c r="Q165" i="1"/>
  <c r="V165" i="1"/>
  <c r="BO170" i="1"/>
  <c r="AU170" i="1"/>
  <c r="BO171" i="1"/>
  <c r="AU171" i="1"/>
  <c r="BU142" i="1"/>
  <c r="AI145" i="1"/>
  <c r="BJ148" i="1"/>
  <c r="AC149" i="1"/>
  <c r="AF149" i="1" s="1"/>
  <c r="CD150" i="1"/>
  <c r="V152" i="1"/>
  <c r="AU154" i="1"/>
  <c r="AY156" i="1"/>
  <c r="BH156" i="1" s="1"/>
  <c r="BP156" i="1" s="1"/>
  <c r="AU158" i="1"/>
  <c r="AY160" i="1"/>
  <c r="S161" i="1"/>
  <c r="BG161" i="1" s="1"/>
  <c r="BP161" i="1" s="1"/>
  <c r="V163" i="1"/>
  <c r="T163" i="1"/>
  <c r="U163" i="1" s="1"/>
  <c r="AI163" i="1"/>
  <c r="BH163" i="1" s="1"/>
  <c r="AK164" i="1"/>
  <c r="BO164" i="1"/>
  <c r="R165" i="1"/>
  <c r="AY165" i="1"/>
  <c r="BH165" i="1" s="1"/>
  <c r="Z166" i="1"/>
  <c r="AE166" i="1" s="1"/>
  <c r="BH166" i="1" s="1"/>
  <c r="BP166" i="1" s="1"/>
  <c r="CD166" i="1"/>
  <c r="BO166" i="1"/>
  <c r="BU167" i="1"/>
  <c r="BS168" i="1"/>
  <c r="S169" i="1"/>
  <c r="BG169" i="1" s="1"/>
  <c r="T174" i="1"/>
  <c r="U174" i="1" s="1"/>
  <c r="BO174" i="1"/>
  <c r="Q174" i="1"/>
  <c r="V174" i="1"/>
  <c r="BJ174" i="1"/>
  <c r="S174" i="1"/>
  <c r="BG174" i="1" s="1"/>
  <c r="R174" i="1"/>
  <c r="BU158" i="1"/>
  <c r="CD165" i="1"/>
  <c r="CD168" i="1"/>
  <c r="AB168" i="1"/>
  <c r="BW168" i="1"/>
  <c r="BS171" i="1"/>
  <c r="BW171" i="1"/>
  <c r="Z150" i="1"/>
  <c r="AE150" i="1" s="1"/>
  <c r="AI150" i="1"/>
  <c r="BJ151" i="1"/>
  <c r="AC151" i="1"/>
  <c r="AY159" i="1"/>
  <c r="BH159" i="1" s="1"/>
  <c r="BU163" i="1"/>
  <c r="BS164" i="1"/>
  <c r="BU166" i="1"/>
  <c r="BY166" i="1"/>
  <c r="CD171" i="1"/>
  <c r="AB171" i="1"/>
  <c r="Z171" i="1"/>
  <c r="AE171" i="1" s="1"/>
  <c r="BH171" i="1" s="1"/>
  <c r="BP171" i="1" s="1"/>
  <c r="Z173" i="1"/>
  <c r="AE173" i="1" s="1"/>
  <c r="BH173" i="1" s="1"/>
  <c r="BP173" i="1" s="1"/>
  <c r="AB173" i="1"/>
  <c r="BO149" i="1"/>
  <c r="BJ152" i="1"/>
  <c r="AC152" i="1"/>
  <c r="AO153" i="1"/>
  <c r="R155" i="1"/>
  <c r="R159" i="1"/>
  <c r="AB160" i="1"/>
  <c r="AT165" i="1"/>
  <c r="AB166" i="1"/>
  <c r="S173" i="1"/>
  <c r="BG173" i="1" s="1"/>
  <c r="BS175" i="1"/>
  <c r="BW175" i="1"/>
  <c r="AU175" i="1"/>
  <c r="BO175" i="1"/>
  <c r="AB178" i="1"/>
  <c r="Z178" i="1"/>
  <c r="AE178" i="1" s="1"/>
  <c r="CD178" i="1"/>
  <c r="Q148" i="1"/>
  <c r="Q149" i="1"/>
  <c r="Q152" i="1"/>
  <c r="AK152" i="1"/>
  <c r="BA164" i="1"/>
  <c r="AY164" i="1"/>
  <c r="BH164" i="1" s="1"/>
  <c r="AK169" i="1"/>
  <c r="AO169" i="1"/>
  <c r="R176" i="1"/>
  <c r="AO176" i="1"/>
  <c r="AK176" i="1"/>
  <c r="CD163" i="1"/>
  <c r="AK166" i="1"/>
  <c r="T167" i="1"/>
  <c r="U167" i="1" s="1"/>
  <c r="R167" i="1"/>
  <c r="T168" i="1"/>
  <c r="U168" i="1" s="1"/>
  <c r="AI168" i="1"/>
  <c r="BH168" i="1" s="1"/>
  <c r="AB170" i="1"/>
  <c r="CD170" i="1"/>
  <c r="Z172" i="1"/>
  <c r="AE172" i="1" s="1"/>
  <c r="BH172" i="1" s="1"/>
  <c r="BP172" i="1" s="1"/>
  <c r="AK172" i="1"/>
  <c r="AU172" i="1"/>
  <c r="BS184" i="1"/>
  <c r="BW184" i="1"/>
  <c r="BW188" i="1"/>
  <c r="BS188" i="1"/>
  <c r="BA171" i="1"/>
  <c r="R173" i="1"/>
  <c r="BH174" i="1"/>
  <c r="BP174" i="1" s="1"/>
  <c r="BA175" i="1"/>
  <c r="AY175" i="1"/>
  <c r="BW176" i="1"/>
  <c r="AK179" i="1"/>
  <c r="AO179" i="1"/>
  <c r="S182" i="1"/>
  <c r="BG182" i="1" s="1"/>
  <c r="BW183" i="1"/>
  <c r="BS183" i="1"/>
  <c r="BW187" i="1"/>
  <c r="BS187" i="1"/>
  <c r="BS186" i="1"/>
  <c r="BW186" i="1"/>
  <c r="R166" i="1"/>
  <c r="Z167" i="1"/>
  <c r="AE167" i="1" s="1"/>
  <c r="BH167" i="1" s="1"/>
  <c r="BP167" i="1" s="1"/>
  <c r="AI171" i="1"/>
  <c r="R175" i="1"/>
  <c r="Z177" i="1"/>
  <c r="AE177" i="1" s="1"/>
  <c r="BH177" i="1" s="1"/>
  <c r="CD177" i="1"/>
  <c r="AD177" i="1"/>
  <c r="AB177" i="1"/>
  <c r="AF180" i="1"/>
  <c r="BO180" i="1"/>
  <c r="R179" i="1"/>
  <c r="CD162" i="1"/>
  <c r="AK167" i="1"/>
  <c r="AO173" i="1"/>
  <c r="AK173" i="1"/>
  <c r="AK170" i="1"/>
  <c r="AF176" i="1"/>
  <c r="W176" i="1"/>
  <c r="BO176" i="1"/>
  <c r="AU177" i="1"/>
  <c r="BO177" i="1"/>
  <c r="BS178" i="1"/>
  <c r="BW178" i="1"/>
  <c r="BO173" i="1"/>
  <c r="Q173" i="1"/>
  <c r="BJ173" i="1"/>
  <c r="AB174" i="1"/>
  <c r="CD174" i="1"/>
  <c r="AB175" i="1"/>
  <c r="S179" i="1"/>
  <c r="BG179" i="1" s="1"/>
  <c r="BS180" i="1"/>
  <c r="BW180" i="1"/>
  <c r="S181" i="1"/>
  <c r="BG181" i="1" s="1"/>
  <c r="BP181" i="1" s="1"/>
  <c r="S185" i="1"/>
  <c r="BG185" i="1" s="1"/>
  <c r="BP185" i="1" s="1"/>
  <c r="Q180" i="1"/>
  <c r="R181" i="1"/>
  <c r="AO181" i="1"/>
  <c r="AK181" i="1"/>
  <c r="AB187" i="1"/>
  <c r="BY188" i="1"/>
  <c r="BS193" i="1"/>
  <c r="BW193" i="1"/>
  <c r="BI193" i="1"/>
  <c r="BY172" i="1"/>
  <c r="BU174" i="1"/>
  <c r="Z176" i="1"/>
  <c r="AE176" i="1" s="1"/>
  <c r="BH176" i="1" s="1"/>
  <c r="BP176" i="1" s="1"/>
  <c r="AY176" i="1"/>
  <c r="BY177" i="1"/>
  <c r="V179" i="1"/>
  <c r="BO179" i="1"/>
  <c r="Z180" i="1"/>
  <c r="AE180" i="1" s="1"/>
  <c r="AI180" i="1"/>
  <c r="BJ180" i="1"/>
  <c r="Z183" i="1"/>
  <c r="AE183" i="1" s="1"/>
  <c r="BH183" i="1" s="1"/>
  <c r="BP183" i="1" s="1"/>
  <c r="AO183" i="1"/>
  <c r="AK183" i="1"/>
  <c r="BO183" i="1"/>
  <c r="AB184" i="1"/>
  <c r="R188" i="1"/>
  <c r="AF188" i="1"/>
  <c r="W188" i="1"/>
  <c r="AO194" i="1"/>
  <c r="R194" i="1"/>
  <c r="AK194" i="1"/>
  <c r="BY176" i="1"/>
  <c r="AY178" i="1"/>
  <c r="T181" i="1"/>
  <c r="U181" i="1" s="1"/>
  <c r="R183" i="1"/>
  <c r="BJ186" i="1"/>
  <c r="BO186" i="1"/>
  <c r="Q186" i="1"/>
  <c r="Z175" i="1"/>
  <c r="AE175" i="1" s="1"/>
  <c r="BH175" i="1" s="1"/>
  <c r="BP175" i="1" s="1"/>
  <c r="T176" i="1"/>
  <c r="U176" i="1" s="1"/>
  <c r="AB176" i="1"/>
  <c r="AF178" i="1"/>
  <c r="AY179" i="1"/>
  <c r="T180" i="1"/>
  <c r="U180" i="1" s="1"/>
  <c r="AB180" i="1"/>
  <c r="AB183" i="1"/>
  <c r="Z184" i="1"/>
  <c r="AE184" i="1" s="1"/>
  <c r="BH184" i="1" s="1"/>
  <c r="BP184" i="1" s="1"/>
  <c r="AK184" i="1"/>
  <c r="AI186" i="1"/>
  <c r="R186" i="1" s="1"/>
  <c r="AY187" i="1"/>
  <c r="BH187" i="1" s="1"/>
  <c r="BO189" i="1"/>
  <c r="Q189" i="1"/>
  <c r="T189" i="1"/>
  <c r="U189" i="1" s="1"/>
  <c r="BJ189" i="1"/>
  <c r="AT189" i="1"/>
  <c r="AI189" i="1"/>
  <c r="S190" i="1"/>
  <c r="BG190" i="1" s="1"/>
  <c r="BO182" i="1"/>
  <c r="Q182" i="1"/>
  <c r="BJ182" i="1"/>
  <c r="T175" i="1"/>
  <c r="U175" i="1" s="1"/>
  <c r="Q177" i="1"/>
  <c r="BB177" i="1"/>
  <c r="BJ178" i="1"/>
  <c r="T178" i="1"/>
  <c r="U178" i="1" s="1"/>
  <c r="Z179" i="1"/>
  <c r="AE179" i="1" s="1"/>
  <c r="BH179" i="1" s="1"/>
  <c r="V180" i="1"/>
  <c r="AI182" i="1"/>
  <c r="R182" i="1" s="1"/>
  <c r="V183" i="1"/>
  <c r="AY184" i="1"/>
  <c r="BJ185" i="1"/>
  <c r="BO185" i="1"/>
  <c r="Q185" i="1"/>
  <c r="T186" i="1"/>
  <c r="U186" i="1" s="1"/>
  <c r="CD187" i="1"/>
  <c r="AI188" i="1"/>
  <c r="S189" i="1"/>
  <c r="BG189" i="1" s="1"/>
  <c r="R191" i="1"/>
  <c r="S191" i="1"/>
  <c r="BG191" i="1" s="1"/>
  <c r="BJ183" i="1"/>
  <c r="R185" i="1"/>
  <c r="AK185" i="1"/>
  <c r="AO185" i="1"/>
  <c r="V186" i="1"/>
  <c r="BO187" i="1"/>
  <c r="CD188" i="1"/>
  <c r="AB188" i="1"/>
  <c r="BH192" i="1"/>
  <c r="BO181" i="1"/>
  <c r="Q181" i="1"/>
  <c r="BJ181" i="1"/>
  <c r="T182" i="1"/>
  <c r="U182" i="1" s="1"/>
  <c r="AY186" i="1"/>
  <c r="R187" i="1"/>
  <c r="BO188" i="1"/>
  <c r="Z188" i="1"/>
  <c r="AE188" i="1" s="1"/>
  <c r="BH188" i="1" s="1"/>
  <c r="BP188" i="1" s="1"/>
  <c r="AY190" i="1"/>
  <c r="BH190" i="1" s="1"/>
  <c r="BP190" i="1" s="1"/>
  <c r="BB190" i="1"/>
  <c r="BI194" i="1"/>
  <c r="BW194" i="1"/>
  <c r="BS194" i="1"/>
  <c r="Z191" i="1"/>
  <c r="AE191" i="1" s="1"/>
  <c r="BH191" i="1" s="1"/>
  <c r="BP191" i="1" s="1"/>
  <c r="BU191" i="1"/>
  <c r="S192" i="1"/>
  <c r="BG192" i="1" s="1"/>
  <c r="AB193" i="1"/>
  <c r="BH194" i="1"/>
  <c r="BP194" i="1" s="1"/>
  <c r="BW196" i="1"/>
  <c r="BS196" i="1"/>
  <c r="BY187" i="1"/>
  <c r="BY189" i="1"/>
  <c r="Q191" i="1"/>
  <c r="AO193" i="1"/>
  <c r="BH196" i="1"/>
  <c r="BP196" i="1" s="1"/>
  <c r="BH202" i="1"/>
  <c r="BP202" i="1" s="1"/>
  <c r="BO184" i="1"/>
  <c r="CD192" i="1"/>
  <c r="AF194" i="1"/>
  <c r="W194" i="1"/>
  <c r="S195" i="1"/>
  <c r="BG195" i="1" s="1"/>
  <c r="AO198" i="1"/>
  <c r="AK198" i="1"/>
  <c r="BO191" i="1"/>
  <c r="BO193" i="1"/>
  <c r="BS203" i="1"/>
  <c r="BW203" i="1"/>
  <c r="V192" i="1"/>
  <c r="BJ192" i="1"/>
  <c r="BO192" i="1"/>
  <c r="AK195" i="1"/>
  <c r="AO195" i="1"/>
  <c r="BS204" i="1"/>
  <c r="BI204" i="1"/>
  <c r="BW204" i="1"/>
  <c r="V191" i="1"/>
  <c r="Q192" i="1"/>
  <c r="AI192" i="1"/>
  <c r="Z193" i="1"/>
  <c r="AE193" i="1" s="1"/>
  <c r="BH193" i="1" s="1"/>
  <c r="BP193" i="1" s="1"/>
  <c r="AT194" i="1"/>
  <c r="S198" i="1"/>
  <c r="BG198" i="1" s="1"/>
  <c r="AK199" i="1"/>
  <c r="R199" i="1"/>
  <c r="AO199" i="1"/>
  <c r="S205" i="1"/>
  <c r="BG205" i="1" s="1"/>
  <c r="T184" i="1"/>
  <c r="U184" i="1" s="1"/>
  <c r="BO190" i="1"/>
  <c r="Q190" i="1"/>
  <c r="W191" i="1"/>
  <c r="AB192" i="1"/>
  <c r="BH197" i="1"/>
  <c r="BP197" i="1" s="1"/>
  <c r="BS199" i="1"/>
  <c r="BI199" i="1"/>
  <c r="BW199" i="1"/>
  <c r="BW212" i="1"/>
  <c r="BS212" i="1"/>
  <c r="BU194" i="1"/>
  <c r="R196" i="1"/>
  <c r="S197" i="1"/>
  <c r="BG197" i="1" s="1"/>
  <c r="AY198" i="1"/>
  <c r="AU199" i="1"/>
  <c r="BO200" i="1"/>
  <c r="Q200" i="1"/>
  <c r="S202" i="1"/>
  <c r="BG202" i="1" s="1"/>
  <c r="BY202" i="1"/>
  <c r="BY203" i="1"/>
  <c r="T204" i="1"/>
  <c r="U204" i="1" s="1"/>
  <c r="AK204" i="1"/>
  <c r="R205" i="1"/>
  <c r="BO206" i="1"/>
  <c r="Q209" i="1"/>
  <c r="BO209" i="1"/>
  <c r="V209" i="1"/>
  <c r="BS213" i="1"/>
  <c r="BW213" i="1"/>
  <c r="BI213" i="1"/>
  <c r="BU193" i="1"/>
  <c r="BO195" i="1"/>
  <c r="BY196" i="1"/>
  <c r="T197" i="1"/>
  <c r="U197" i="1" s="1"/>
  <c r="AB197" i="1"/>
  <c r="BA197" i="1"/>
  <c r="CD197" i="1"/>
  <c r="R200" i="1"/>
  <c r="Z200" i="1"/>
  <c r="AE200" i="1" s="1"/>
  <c r="BH200" i="1" s="1"/>
  <c r="BP200" i="1" s="1"/>
  <c r="Z201" i="1"/>
  <c r="AE201" i="1" s="1"/>
  <c r="BH201" i="1" s="1"/>
  <c r="AG201" i="1"/>
  <c r="AO201" i="1"/>
  <c r="AY201" i="1"/>
  <c r="W202" i="1"/>
  <c r="Z206" i="1"/>
  <c r="AE206" i="1" s="1"/>
  <c r="BH206" i="1" s="1"/>
  <c r="CD207" i="1"/>
  <c r="AB207" i="1"/>
  <c r="Z207" i="1"/>
  <c r="AE207" i="1" s="1"/>
  <c r="BH207" i="1" s="1"/>
  <c r="BA211" i="1"/>
  <c r="AY211" i="1"/>
  <c r="Q194" i="1"/>
  <c r="BO194" i="1"/>
  <c r="Z195" i="1"/>
  <c r="AE195" i="1" s="1"/>
  <c r="AY195" i="1"/>
  <c r="T196" i="1"/>
  <c r="U196" i="1" s="1"/>
  <c r="AB196" i="1"/>
  <c r="AK197" i="1"/>
  <c r="Z198" i="1"/>
  <c r="AE198" i="1" s="1"/>
  <c r="BH198" i="1" s="1"/>
  <c r="BP198" i="1" s="1"/>
  <c r="W199" i="1"/>
  <c r="S200" i="1"/>
  <c r="BG200" i="1" s="1"/>
  <c r="AF202" i="1"/>
  <c r="AI206" i="1"/>
  <c r="T209" i="1"/>
  <c r="U209" i="1" s="1"/>
  <c r="AK196" i="1"/>
  <c r="R198" i="1"/>
  <c r="BJ201" i="1"/>
  <c r="BJ202" i="1"/>
  <c r="CD204" i="1"/>
  <c r="BO205" i="1"/>
  <c r="AB206" i="1"/>
  <c r="CD211" i="1"/>
  <c r="AB211" i="1"/>
  <c r="Z211" i="1"/>
  <c r="AE211" i="1" s="1"/>
  <c r="BH211" i="1" s="1"/>
  <c r="BP211" i="1" s="1"/>
  <c r="BI217" i="1"/>
  <c r="BW217" i="1"/>
  <c r="BS217" i="1"/>
  <c r="T195" i="1"/>
  <c r="U195" i="1" s="1"/>
  <c r="AB195" i="1"/>
  <c r="S201" i="1"/>
  <c r="BG201" i="1" s="1"/>
  <c r="AF205" i="1"/>
  <c r="T207" i="1"/>
  <c r="U207" i="1" s="1"/>
  <c r="AC207" i="1"/>
  <c r="BA207" i="1"/>
  <c r="AY207" i="1"/>
  <c r="BJ207" i="1"/>
  <c r="AB209" i="1"/>
  <c r="Z209" i="1"/>
  <c r="AE209" i="1" s="1"/>
  <c r="AK210" i="1"/>
  <c r="AO210" i="1"/>
  <c r="AY210" i="1"/>
  <c r="BA210" i="1"/>
  <c r="Q213" i="1"/>
  <c r="BO213" i="1"/>
  <c r="BJ213" i="1"/>
  <c r="T213" i="1"/>
  <c r="U213" i="1" s="1"/>
  <c r="T214" i="1"/>
  <c r="U214" i="1" s="1"/>
  <c r="BO214" i="1"/>
  <c r="Q214" i="1"/>
  <c r="BJ214" i="1"/>
  <c r="V214" i="1"/>
  <c r="T194" i="1"/>
  <c r="U194" i="1" s="1"/>
  <c r="AB194" i="1"/>
  <c r="W196" i="1"/>
  <c r="BO197" i="1"/>
  <c r="V200" i="1"/>
  <c r="R202" i="1"/>
  <c r="AT202" i="1"/>
  <c r="AI203" i="1"/>
  <c r="BH203" i="1" s="1"/>
  <c r="Q204" i="1"/>
  <c r="Z204" i="1"/>
  <c r="AE204" i="1" s="1"/>
  <c r="BH204" i="1" s="1"/>
  <c r="BP204" i="1" s="1"/>
  <c r="AY205" i="1"/>
  <c r="Q207" i="1"/>
  <c r="R207" i="1"/>
  <c r="AK208" i="1"/>
  <c r="S210" i="1"/>
  <c r="BG210" i="1" s="1"/>
  <c r="BS206" i="1"/>
  <c r="S207" i="1"/>
  <c r="BG207" i="1" s="1"/>
  <c r="BO207" i="1"/>
  <c r="BJ209" i="1"/>
  <c r="CD209" i="1"/>
  <c r="Q196" i="1"/>
  <c r="AF198" i="1"/>
  <c r="BO203" i="1"/>
  <c r="BJ204" i="1"/>
  <c r="Z205" i="1"/>
  <c r="AE205" i="1" s="1"/>
  <c r="BH205" i="1" s="1"/>
  <c r="BP205" i="1" s="1"/>
  <c r="R208" i="1"/>
  <c r="S208" i="1"/>
  <c r="BG208" i="1" s="1"/>
  <c r="S209" i="1"/>
  <c r="BG209" i="1" s="1"/>
  <c r="AT209" i="1"/>
  <c r="AI209" i="1"/>
  <c r="AY208" i="1"/>
  <c r="BH208" i="1" s="1"/>
  <c r="BP208" i="1" s="1"/>
  <c r="Z210" i="1"/>
  <c r="AE210" i="1" s="1"/>
  <c r="T211" i="1"/>
  <c r="U211" i="1" s="1"/>
  <c r="AY212" i="1"/>
  <c r="BH212" i="1" s="1"/>
  <c r="R213" i="1"/>
  <c r="S214" i="1"/>
  <c r="BG214" i="1" s="1"/>
  <c r="BU214" i="1"/>
  <c r="BS218" i="1"/>
  <c r="BW218" i="1"/>
  <c r="BS225" i="1"/>
  <c r="BI225" i="1"/>
  <c r="BW225" i="1"/>
  <c r="BS226" i="1"/>
  <c r="BW226" i="1"/>
  <c r="BU212" i="1"/>
  <c r="AF213" i="1"/>
  <c r="BU213" i="1"/>
  <c r="AY214" i="1"/>
  <c r="BH214" i="1" s="1"/>
  <c r="BP214" i="1" s="1"/>
  <c r="AY216" i="1"/>
  <c r="BO222" i="1"/>
  <c r="AF222" i="1"/>
  <c r="W222" i="1"/>
  <c r="BH225" i="1"/>
  <c r="BP225" i="1" s="1"/>
  <c r="CD215" i="1"/>
  <c r="AB215" i="1"/>
  <c r="Z215" i="1"/>
  <c r="AE215" i="1" s="1"/>
  <c r="BH215" i="1" s="1"/>
  <c r="BP215" i="1" s="1"/>
  <c r="BO216" i="1"/>
  <c r="BW222" i="1"/>
  <c r="BS222" i="1"/>
  <c r="AB208" i="1"/>
  <c r="BJ208" i="1"/>
  <c r="BJ210" i="1"/>
  <c r="T210" i="1"/>
  <c r="U210" i="1" s="1"/>
  <c r="Q210" i="1"/>
  <c r="AB210" i="1"/>
  <c r="AI211" i="1"/>
  <c r="BO212" i="1"/>
  <c r="BH213" i="1"/>
  <c r="BP213" i="1" s="1"/>
  <c r="V216" i="1"/>
  <c r="BJ216" i="1"/>
  <c r="T216" i="1"/>
  <c r="U216" i="1" s="1"/>
  <c r="S216" i="1"/>
  <c r="BG216" i="1" s="1"/>
  <c r="AT216" i="1"/>
  <c r="AI216" i="1"/>
  <c r="BH216" i="1" s="1"/>
  <c r="BP216" i="1" s="1"/>
  <c r="S219" i="1"/>
  <c r="BG219" i="1" s="1"/>
  <c r="S221" i="1"/>
  <c r="BG221" i="1" s="1"/>
  <c r="CD214" i="1"/>
  <c r="Q216" i="1"/>
  <c r="AF216" i="1"/>
  <c r="BH224" i="1"/>
  <c r="BP224" i="1" s="1"/>
  <c r="BU209" i="1"/>
  <c r="V211" i="1"/>
  <c r="BJ215" i="1"/>
  <c r="T215" i="1"/>
  <c r="U215" i="1" s="1"/>
  <c r="BS220" i="1"/>
  <c r="BI220" i="1"/>
  <c r="BW220" i="1"/>
  <c r="BA215" i="1"/>
  <c r="AY215" i="1"/>
  <c r="AK218" i="1"/>
  <c r="R218" i="1"/>
  <c r="AO218" i="1"/>
  <c r="R224" i="1"/>
  <c r="AO224" i="1"/>
  <c r="AK224" i="1"/>
  <c r="S211" i="1"/>
  <c r="BG211" i="1" s="1"/>
  <c r="R214" i="1"/>
  <c r="S215" i="1"/>
  <c r="BG215" i="1" s="1"/>
  <c r="CD216" i="1"/>
  <c r="AB216" i="1"/>
  <c r="AO217" i="1"/>
  <c r="AK217" i="1"/>
  <c r="BH218" i="1"/>
  <c r="BP218" i="1" s="1"/>
  <c r="AK225" i="1"/>
  <c r="AK226" i="1"/>
  <c r="Q221" i="1"/>
  <c r="BO221" i="1"/>
  <c r="Z222" i="1"/>
  <c r="AE222" i="1" s="1"/>
  <c r="BH222" i="1" s="1"/>
  <c r="BP222" i="1" s="1"/>
  <c r="AY222" i="1"/>
  <c r="S223" i="1"/>
  <c r="BG223" i="1" s="1"/>
  <c r="AI223" i="1"/>
  <c r="BH223" i="1" s="1"/>
  <c r="BP223" i="1" s="1"/>
  <c r="BA223" i="1"/>
  <c r="AT224" i="1"/>
  <c r="BU226" i="1"/>
  <c r="AU217" i="1"/>
  <c r="BU218" i="1"/>
  <c r="BO220" i="1"/>
  <c r="Z221" i="1"/>
  <c r="AE221" i="1" s="1"/>
  <c r="BY222" i="1"/>
  <c r="T223" i="1"/>
  <c r="U223" i="1" s="1"/>
  <c r="AB223" i="1"/>
  <c r="BJ223" i="1"/>
  <c r="AU224" i="1"/>
  <c r="CD224" i="1"/>
  <c r="W225" i="1"/>
  <c r="BU225" i="1"/>
  <c r="W217" i="1"/>
  <c r="AF218" i="1"/>
  <c r="Q219" i="1"/>
  <c r="AG219" i="1"/>
  <c r="AU219" i="1" s="1"/>
  <c r="AO219" i="1"/>
  <c r="R220" i="1"/>
  <c r="Z220" i="1"/>
  <c r="AE220" i="1" s="1"/>
  <c r="BH220" i="1" s="1"/>
  <c r="BP220" i="1" s="1"/>
  <c r="AY220" i="1"/>
  <c r="AI221" i="1"/>
  <c r="BY221" i="1"/>
  <c r="T222" i="1"/>
  <c r="U222" i="1" s="1"/>
  <c r="W224" i="1"/>
  <c r="BU224" i="1"/>
  <c r="AO226" i="1"/>
  <c r="BO226" i="1"/>
  <c r="R219" i="1"/>
  <c r="Z219" i="1"/>
  <c r="AE219" i="1" s="1"/>
  <c r="BH219" i="1" s="1"/>
  <c r="BP219" i="1" s="1"/>
  <c r="BY220" i="1"/>
  <c r="T221" i="1"/>
  <c r="U221" i="1" s="1"/>
  <c r="AB221" i="1"/>
  <c r="AK222" i="1"/>
  <c r="V223" i="1"/>
  <c r="Q225" i="1"/>
  <c r="AO225" i="1"/>
  <c r="BO225" i="1"/>
  <c r="Z226" i="1"/>
  <c r="AE226" i="1" s="1"/>
  <c r="BH226" i="1" s="1"/>
  <c r="BP226" i="1" s="1"/>
  <c r="AY226" i="1"/>
  <c r="AB220" i="1"/>
  <c r="BJ221" i="1"/>
  <c r="R225" i="1"/>
  <c r="T219" i="1"/>
  <c r="U219" i="1" s="1"/>
  <c r="BO223" i="1"/>
  <c r="T226" i="1"/>
  <c r="U226" i="1" s="1"/>
  <c r="AB226" i="1"/>
  <c r="S224" i="1"/>
  <c r="BG224" i="1" s="1"/>
  <c r="T225" i="1"/>
  <c r="U225" i="1" s="1"/>
  <c r="BP168" i="1" l="1"/>
  <c r="BI168" i="1"/>
  <c r="BP163" i="1"/>
  <c r="BI163" i="1"/>
  <c r="BP151" i="1"/>
  <c r="BI151" i="1"/>
  <c r="BP132" i="1"/>
  <c r="BI132" i="1"/>
  <c r="BP96" i="1"/>
  <c r="BI96" i="1"/>
  <c r="BP84" i="1"/>
  <c r="BI84" i="1"/>
  <c r="BP212" i="1"/>
  <c r="BI212" i="1"/>
  <c r="BP70" i="1"/>
  <c r="BI70" i="1"/>
  <c r="BP203" i="1"/>
  <c r="BI203" i="1"/>
  <c r="BP164" i="1"/>
  <c r="BI164" i="1"/>
  <c r="BP159" i="1"/>
  <c r="BI159" i="1"/>
  <c r="BP37" i="1"/>
  <c r="BI37" i="1"/>
  <c r="BP165" i="1"/>
  <c r="BI165" i="1"/>
  <c r="BP36" i="1"/>
  <c r="BI36" i="1"/>
  <c r="BP187" i="1"/>
  <c r="BI187" i="1"/>
  <c r="BP32" i="1"/>
  <c r="BI32" i="1"/>
  <c r="BH221" i="1"/>
  <c r="BP221" i="1" s="1"/>
  <c r="BI222" i="1"/>
  <c r="BO219" i="1"/>
  <c r="BI226" i="1"/>
  <c r="BP201" i="1"/>
  <c r="R203" i="1"/>
  <c r="BH178" i="1"/>
  <c r="BH145" i="1"/>
  <c r="BP145" i="1" s="1"/>
  <c r="BI167" i="1"/>
  <c r="BH147" i="1"/>
  <c r="BP147" i="1" s="1"/>
  <c r="BI134" i="1"/>
  <c r="BI130" i="1"/>
  <c r="BI105" i="1"/>
  <c r="BI115" i="1"/>
  <c r="BH98" i="1"/>
  <c r="BI83" i="1"/>
  <c r="BP87" i="1"/>
  <c r="BO61" i="1"/>
  <c r="BI67" i="1"/>
  <c r="BK49" i="1"/>
  <c r="R28" i="1"/>
  <c r="S28" i="1"/>
  <c r="BG28" i="1" s="1"/>
  <c r="BQ24" i="1"/>
  <c r="BF24" i="1"/>
  <c r="BL24" i="1"/>
  <c r="BK24" i="1"/>
  <c r="BQ20" i="1"/>
  <c r="BL20" i="1"/>
  <c r="BF25" i="1"/>
  <c r="BQ25" i="1"/>
  <c r="BL23" i="1"/>
  <c r="BF23" i="1"/>
  <c r="AF19" i="1"/>
  <c r="BO19" i="1"/>
  <c r="AK11" i="1"/>
  <c r="AK3" i="1" s="1"/>
  <c r="AO11" i="1"/>
  <c r="S6" i="1"/>
  <c r="BG6" i="1" s="1"/>
  <c r="BP6" i="1" s="1"/>
  <c r="R6" i="1"/>
  <c r="BO12" i="1"/>
  <c r="BB214" i="1"/>
  <c r="BI183" i="1"/>
  <c r="BI171" i="1"/>
  <c r="R141" i="1"/>
  <c r="BP142" i="1"/>
  <c r="BH148" i="1"/>
  <c r="BO147" i="1"/>
  <c r="BP110" i="1"/>
  <c r="BI91" i="1"/>
  <c r="BH63" i="1"/>
  <c r="AF61" i="1"/>
  <c r="S22" i="1"/>
  <c r="BG22" i="1" s="1"/>
  <c r="R22" i="1"/>
  <c r="R21" i="1"/>
  <c r="S21" i="1"/>
  <c r="BG21" i="1" s="1"/>
  <c r="R9" i="1"/>
  <c r="S9" i="1"/>
  <c r="BG9" i="1" s="1"/>
  <c r="S12" i="1"/>
  <c r="BG12" i="1" s="1"/>
  <c r="R12" i="1"/>
  <c r="AT3" i="1"/>
  <c r="S15" i="1"/>
  <c r="BG15" i="1" s="1"/>
  <c r="R15" i="1"/>
  <c r="AU6" i="1"/>
  <c r="AG3" i="1"/>
  <c r="AU3" i="1" s="1"/>
  <c r="BF8" i="1"/>
  <c r="BL8" i="1"/>
  <c r="BK8" i="1"/>
  <c r="BQ8" i="1"/>
  <c r="BH209" i="1"/>
  <c r="BP209" i="1" s="1"/>
  <c r="BH195" i="1"/>
  <c r="BP195" i="1" s="1"/>
  <c r="BI184" i="1"/>
  <c r="BP160" i="1"/>
  <c r="R151" i="1"/>
  <c r="BO125" i="1"/>
  <c r="BP155" i="1"/>
  <c r="BI138" i="1"/>
  <c r="BO129" i="1"/>
  <c r="BH81" i="1"/>
  <c r="S26" i="1"/>
  <c r="BG26" i="1" s="1"/>
  <c r="R26" i="1"/>
  <c r="AK21" i="1"/>
  <c r="AO21" i="1"/>
  <c r="S19" i="1"/>
  <c r="BG19" i="1" s="1"/>
  <c r="R19" i="1"/>
  <c r="BH21" i="1"/>
  <c r="CD3" i="1"/>
  <c r="BS18" i="1"/>
  <c r="BI18" i="1"/>
  <c r="BW18" i="1"/>
  <c r="BP11" i="1"/>
  <c r="AB3" i="1"/>
  <c r="S11" i="1"/>
  <c r="BG11" i="1" s="1"/>
  <c r="R11" i="1"/>
  <c r="AY3" i="1"/>
  <c r="BW7" i="1"/>
  <c r="BS7" i="1"/>
  <c r="BI7" i="1"/>
  <c r="BW16" i="1"/>
  <c r="BS16" i="1"/>
  <c r="BI16" i="1"/>
  <c r="AC3" i="1"/>
  <c r="AF3" i="1" s="1"/>
  <c r="BH182" i="1"/>
  <c r="BP182" i="1" s="1"/>
  <c r="BH180" i="1"/>
  <c r="BH139" i="1"/>
  <c r="BO128" i="1"/>
  <c r="BH73" i="1"/>
  <c r="BP73" i="1" s="1"/>
  <c r="BH69" i="1"/>
  <c r="BP69" i="1" s="1"/>
  <c r="AU15" i="1"/>
  <c r="AK15" i="1"/>
  <c r="AO15" i="1"/>
  <c r="AK13" i="1"/>
  <c r="AO13" i="1"/>
  <c r="BF17" i="1"/>
  <c r="BQ17" i="1"/>
  <c r="BL17" i="1"/>
  <c r="BK17" i="1"/>
  <c r="BP7" i="1"/>
  <c r="S3" i="1"/>
  <c r="BG5" i="1"/>
  <c r="BP192" i="1"/>
  <c r="BH210" i="1"/>
  <c r="BP210" i="1" s="1"/>
  <c r="BI196" i="1"/>
  <c r="BF196" i="1" s="1"/>
  <c r="BZ196" i="1" s="1"/>
  <c r="BI188" i="1"/>
  <c r="BI175" i="1"/>
  <c r="R168" i="1"/>
  <c r="BP153" i="1"/>
  <c r="BO124" i="1"/>
  <c r="BK112" i="1"/>
  <c r="BO96" i="1"/>
  <c r="BI111" i="1"/>
  <c r="BK111" i="1" s="1"/>
  <c r="BP109" i="1"/>
  <c r="BI122" i="1"/>
  <c r="BI93" i="1"/>
  <c r="BL93" i="1" s="1"/>
  <c r="BP79" i="1"/>
  <c r="BI57" i="1"/>
  <c r="BS51" i="1"/>
  <c r="BI45" i="1"/>
  <c r="BP30" i="1"/>
  <c r="AF25" i="1"/>
  <c r="BO25" i="1"/>
  <c r="S14" i="1"/>
  <c r="BG14" i="1" s="1"/>
  <c r="R14" i="1"/>
  <c r="BU3" i="1"/>
  <c r="BH13" i="1"/>
  <c r="BI218" i="1"/>
  <c r="BQ218" i="1" s="1"/>
  <c r="BP179" i="1"/>
  <c r="BH186" i="1"/>
  <c r="BI166" i="1"/>
  <c r="BO127" i="1"/>
  <c r="BI149" i="1"/>
  <c r="BI146" i="1"/>
  <c r="BI101" i="1"/>
  <c r="BP88" i="1"/>
  <c r="BO63" i="1"/>
  <c r="BI68" i="1"/>
  <c r="BI65" i="1"/>
  <c r="BK52" i="1"/>
  <c r="BF49" i="1"/>
  <c r="BZ49" i="1" s="1"/>
  <c r="BP38" i="1"/>
  <c r="BI38" i="1"/>
  <c r="BP39" i="1"/>
  <c r="BB35" i="1"/>
  <c r="AV3" i="1"/>
  <c r="BB3" i="1" s="1"/>
  <c r="BZ40" i="1"/>
  <c r="BP28" i="1"/>
  <c r="BO21" i="1"/>
  <c r="AF21" i="1"/>
  <c r="AK12" i="1"/>
  <c r="AO12" i="1"/>
  <c r="AO3" i="1" s="1"/>
  <c r="AI3" i="1"/>
  <c r="BH15" i="1"/>
  <c r="BP15" i="1" s="1"/>
  <c r="R13" i="1"/>
  <c r="W14" i="1"/>
  <c r="W3" i="1" s="1"/>
  <c r="AF14" i="1"/>
  <c r="Z3" i="1"/>
  <c r="BF10" i="1"/>
  <c r="BQ10" i="1"/>
  <c r="BL10" i="1"/>
  <c r="BK10" i="1"/>
  <c r="BH12" i="1"/>
  <c r="BP12" i="1" s="1"/>
  <c r="BO11" i="1"/>
  <c r="BP207" i="1"/>
  <c r="BI176" i="1"/>
  <c r="BH150" i="1"/>
  <c r="BP150" i="1" s="1"/>
  <c r="BP106" i="1"/>
  <c r="BI100" i="1"/>
  <c r="BL100" i="1" s="1"/>
  <c r="T88" i="1"/>
  <c r="U88" i="1" s="1"/>
  <c r="BQ49" i="1"/>
  <c r="BO30" i="1"/>
  <c r="BI33" i="1"/>
  <c r="R27" i="1"/>
  <c r="BH27" i="1"/>
  <c r="BO10" i="1"/>
  <c r="BO6" i="1"/>
  <c r="BO14" i="1"/>
  <c r="AE3" i="1"/>
  <c r="BH5" i="1"/>
  <c r="AK51" i="1"/>
  <c r="AO51" i="1"/>
  <c r="BV52" i="1"/>
  <c r="BX52" i="1" s="1"/>
  <c r="BZ52" i="1"/>
  <c r="BR52" i="1"/>
  <c r="BT52" i="1" s="1"/>
  <c r="BR49" i="1"/>
  <c r="BT49" i="1" s="1"/>
  <c r="BV49" i="1"/>
  <c r="BX49" i="1" s="1"/>
  <c r="BV48" i="1"/>
  <c r="BX48" i="1" s="1"/>
  <c r="BR48" i="1"/>
  <c r="BT48" i="1" s="1"/>
  <c r="BZ48" i="1"/>
  <c r="BL41" i="1"/>
  <c r="BQ41" i="1"/>
  <c r="BF41" i="1"/>
  <c r="BV41" i="1" s="1"/>
  <c r="BX41" i="1" s="1"/>
  <c r="BK41" i="1"/>
  <c r="BF43" i="1"/>
  <c r="BZ43" i="1" s="1"/>
  <c r="BQ43" i="1"/>
  <c r="BL43" i="1"/>
  <c r="BL34" i="1"/>
  <c r="BK34" i="1"/>
  <c r="BQ34" i="1"/>
  <c r="BF34" i="1"/>
  <c r="BZ34" i="1" s="1"/>
  <c r="BW39" i="1"/>
  <c r="BI39" i="1"/>
  <c r="BL32" i="1"/>
  <c r="BK32" i="1"/>
  <c r="BF32" i="1"/>
  <c r="BZ32" i="1" s="1"/>
  <c r="BQ32" i="1"/>
  <c r="BF45" i="1"/>
  <c r="BL45" i="1"/>
  <c r="BL42" i="1"/>
  <c r="BK42" i="1"/>
  <c r="BF42" i="1"/>
  <c r="BQ42" i="1"/>
  <c r="BL33" i="1"/>
  <c r="BK33" i="1"/>
  <c r="BQ33" i="1"/>
  <c r="BF33" i="1"/>
  <c r="BZ33" i="1" s="1"/>
  <c r="BV47" i="1"/>
  <c r="BX47" i="1" s="1"/>
  <c r="BR47" i="1"/>
  <c r="BT47" i="1" s="1"/>
  <c r="BZ47" i="1"/>
  <c r="BL46" i="1"/>
  <c r="BQ46" i="1"/>
  <c r="BF46" i="1"/>
  <c r="BK46" i="1"/>
  <c r="AF35" i="1"/>
  <c r="P35" i="1"/>
  <c r="Q35" i="1" s="1"/>
  <c r="S35" i="1"/>
  <c r="BG35" i="1" s="1"/>
  <c r="BP35" i="1" s="1"/>
  <c r="R35" i="1"/>
  <c r="AK32" i="1"/>
  <c r="AO32" i="1"/>
  <c r="R32" i="1"/>
  <c r="BQ48" i="1"/>
  <c r="BL48" i="1"/>
  <c r="BF44" i="1"/>
  <c r="BQ44" i="1"/>
  <c r="BL44" i="1"/>
  <c r="BK44" i="1"/>
  <c r="BV40" i="1"/>
  <c r="BX40" i="1" s="1"/>
  <c r="BR40" i="1"/>
  <c r="BT40" i="1" s="1"/>
  <c r="AO37" i="1"/>
  <c r="AK37" i="1"/>
  <c r="R37" i="1"/>
  <c r="BF37" i="1"/>
  <c r="BL37" i="1"/>
  <c r="BK37" i="1"/>
  <c r="BQ37" i="1"/>
  <c r="AO36" i="1"/>
  <c r="AK36" i="1"/>
  <c r="R36" i="1"/>
  <c r="BF36" i="1"/>
  <c r="BL36" i="1"/>
  <c r="BK36" i="1"/>
  <c r="BQ36" i="1"/>
  <c r="S31" i="1"/>
  <c r="BG31" i="1" s="1"/>
  <c r="R31" i="1"/>
  <c r="BW30" i="1"/>
  <c r="BS30" i="1"/>
  <c r="BI30" i="1"/>
  <c r="BK30" i="1" s="1"/>
  <c r="BL29" i="1"/>
  <c r="BK29" i="1"/>
  <c r="BQ29" i="1"/>
  <c r="BF29" i="1"/>
  <c r="AO27" i="1"/>
  <c r="AK27" i="1"/>
  <c r="BK20" i="1"/>
  <c r="BF20" i="1"/>
  <c r="BN20" i="1"/>
  <c r="BZ20" i="1" s="1"/>
  <c r="BP128" i="1"/>
  <c r="BI128" i="1"/>
  <c r="BV127" i="1"/>
  <c r="BX127" i="1" s="1"/>
  <c r="BZ127" i="1"/>
  <c r="BR127" i="1"/>
  <c r="BT127" i="1" s="1"/>
  <c r="BV126" i="1"/>
  <c r="BX126" i="1" s="1"/>
  <c r="BZ126" i="1"/>
  <c r="BR126" i="1"/>
  <c r="BT126" i="1" s="1"/>
  <c r="BV125" i="1"/>
  <c r="BX125" i="1" s="1"/>
  <c r="BZ125" i="1"/>
  <c r="BR125" i="1"/>
  <c r="BT125" i="1" s="1"/>
  <c r="BV124" i="1"/>
  <c r="BX124" i="1" s="1"/>
  <c r="BZ124" i="1"/>
  <c r="BR124" i="1"/>
  <c r="BT124" i="1" s="1"/>
  <c r="BV123" i="1"/>
  <c r="BX123" i="1" s="1"/>
  <c r="BZ123" i="1"/>
  <c r="BR123" i="1"/>
  <c r="BT123" i="1" s="1"/>
  <c r="BV121" i="1"/>
  <c r="BX121" i="1" s="1"/>
  <c r="BZ121" i="1"/>
  <c r="BR121" i="1"/>
  <c r="BT121" i="1" s="1"/>
  <c r="BV120" i="1"/>
  <c r="BX120" i="1" s="1"/>
  <c r="BZ120" i="1"/>
  <c r="BR120" i="1"/>
  <c r="BT120" i="1" s="1"/>
  <c r="BW114" i="1"/>
  <c r="BI114" i="1"/>
  <c r="BS114" i="1"/>
  <c r="BL113" i="1"/>
  <c r="BF113" i="1"/>
  <c r="BL116" i="1"/>
  <c r="BK116" i="1"/>
  <c r="BQ116" i="1"/>
  <c r="BF116" i="1"/>
  <c r="BZ116" i="1" s="1"/>
  <c r="W116" i="1"/>
  <c r="BO116" i="1"/>
  <c r="AF116" i="1"/>
  <c r="BF105" i="1"/>
  <c r="BZ105" i="1" s="1"/>
  <c r="BL105" i="1"/>
  <c r="BK105" i="1"/>
  <c r="BQ105" i="1"/>
  <c r="BS109" i="1"/>
  <c r="BI109" i="1"/>
  <c r="BW109" i="1"/>
  <c r="AF104" i="1"/>
  <c r="BO104" i="1"/>
  <c r="BI104" i="1"/>
  <c r="BW104" i="1"/>
  <c r="BS104" i="1"/>
  <c r="BS110" i="1"/>
  <c r="BI110" i="1"/>
  <c r="BW110" i="1"/>
  <c r="BL115" i="1"/>
  <c r="BQ115" i="1"/>
  <c r="BF115" i="1"/>
  <c r="BZ115" i="1" s="1"/>
  <c r="BK115" i="1"/>
  <c r="BF112" i="1"/>
  <c r="BL112" i="1"/>
  <c r="BL111" i="1"/>
  <c r="BF111" i="1"/>
  <c r="BZ111" i="1" s="1"/>
  <c r="BF101" i="1"/>
  <c r="BZ101" i="1" s="1"/>
  <c r="BK101" i="1"/>
  <c r="BL101" i="1"/>
  <c r="BQ101" i="1"/>
  <c r="BS108" i="1"/>
  <c r="BW108" i="1"/>
  <c r="BI108" i="1"/>
  <c r="BS102" i="1"/>
  <c r="BI102" i="1"/>
  <c r="BW102" i="1"/>
  <c r="BS107" i="1"/>
  <c r="BW107" i="1"/>
  <c r="BI107" i="1"/>
  <c r="BK103" i="1"/>
  <c r="BQ103" i="1"/>
  <c r="BL103" i="1"/>
  <c r="BF103" i="1"/>
  <c r="BZ103" i="1" s="1"/>
  <c r="BQ122" i="1"/>
  <c r="BK122" i="1"/>
  <c r="AO101" i="1"/>
  <c r="AK101" i="1"/>
  <c r="R101" i="1"/>
  <c r="AO100" i="1"/>
  <c r="AK100" i="1"/>
  <c r="R100" i="1"/>
  <c r="BQ99" i="1"/>
  <c r="BF99" i="1"/>
  <c r="BK99" i="1"/>
  <c r="BL99" i="1"/>
  <c r="BI97" i="1"/>
  <c r="BW97" i="1"/>
  <c r="BS97" i="1"/>
  <c r="BS94" i="1"/>
  <c r="BI94" i="1"/>
  <c r="BW94" i="1"/>
  <c r="BI86" i="1"/>
  <c r="BS86" i="1"/>
  <c r="BW86" i="1"/>
  <c r="BS106" i="1"/>
  <c r="BW106" i="1"/>
  <c r="BI106" i="1"/>
  <c r="BQ100" i="1"/>
  <c r="BF100" i="1"/>
  <c r="BK100" i="1"/>
  <c r="AO96" i="1"/>
  <c r="AU96" i="1"/>
  <c r="AK96" i="1"/>
  <c r="BF92" i="1"/>
  <c r="BZ92" i="1" s="1"/>
  <c r="BL92" i="1"/>
  <c r="BK92" i="1"/>
  <c r="BQ92" i="1"/>
  <c r="BW95" i="1"/>
  <c r="BS95" i="1"/>
  <c r="BI95" i="1"/>
  <c r="BS88" i="1"/>
  <c r="BW88" i="1"/>
  <c r="AK81" i="1"/>
  <c r="R81" i="1"/>
  <c r="AO81" i="1"/>
  <c r="BW85" i="1"/>
  <c r="BS85" i="1"/>
  <c r="BI85" i="1"/>
  <c r="AK84" i="1"/>
  <c r="AO84" i="1"/>
  <c r="R84" i="1"/>
  <c r="BQ93" i="1"/>
  <c r="BK93" i="1"/>
  <c r="BF93" i="1"/>
  <c r="BZ93" i="1" s="1"/>
  <c r="BI87" i="1"/>
  <c r="BW87" i="1"/>
  <c r="BS87" i="1"/>
  <c r="BW90" i="1"/>
  <c r="BS90" i="1"/>
  <c r="BI90" i="1"/>
  <c r="BL83" i="1"/>
  <c r="BK83" i="1"/>
  <c r="BQ83" i="1"/>
  <c r="BF83" i="1"/>
  <c r="AK80" i="1"/>
  <c r="AO80" i="1"/>
  <c r="BH80" i="1"/>
  <c r="AO77" i="1"/>
  <c r="AU77" i="1"/>
  <c r="AK77" i="1"/>
  <c r="R77" i="1"/>
  <c r="BL91" i="1"/>
  <c r="BK91" i="1"/>
  <c r="BQ91" i="1"/>
  <c r="BF91" i="1"/>
  <c r="BZ91" i="1" s="1"/>
  <c r="BQ88" i="1"/>
  <c r="BF88" i="1"/>
  <c r="BZ88" i="1" s="1"/>
  <c r="BL88" i="1"/>
  <c r="BK88" i="1"/>
  <c r="BS82" i="1"/>
  <c r="BI82" i="1"/>
  <c r="BW82" i="1"/>
  <c r="AO79" i="1"/>
  <c r="AK79" i="1"/>
  <c r="BF96" i="1"/>
  <c r="BZ96" i="1" s="1"/>
  <c r="BL96" i="1"/>
  <c r="BK96" i="1"/>
  <c r="BQ96" i="1"/>
  <c r="AU81" i="1"/>
  <c r="BO81" i="1"/>
  <c r="BK89" i="1"/>
  <c r="BL89" i="1"/>
  <c r="BQ89" i="1"/>
  <c r="BF89" i="1"/>
  <c r="BZ89" i="1" s="1"/>
  <c r="BK74" i="1"/>
  <c r="BF74" i="1"/>
  <c r="BQ74" i="1"/>
  <c r="BL74" i="1"/>
  <c r="BI79" i="1"/>
  <c r="BW79" i="1"/>
  <c r="BS79" i="1"/>
  <c r="BL75" i="1"/>
  <c r="BQ75" i="1"/>
  <c r="BF75" i="1"/>
  <c r="BZ75" i="1" s="1"/>
  <c r="BK75" i="1"/>
  <c r="AU73" i="1"/>
  <c r="AO73" i="1"/>
  <c r="AK73" i="1"/>
  <c r="BS77" i="1"/>
  <c r="BI77" i="1"/>
  <c r="BW77" i="1"/>
  <c r="BL76" i="1"/>
  <c r="BQ76" i="1"/>
  <c r="BF76" i="1"/>
  <c r="BK76" i="1"/>
  <c r="BI78" i="1"/>
  <c r="BS78" i="1"/>
  <c r="BW78" i="1"/>
  <c r="AK74" i="1"/>
  <c r="AO74" i="1"/>
  <c r="BL84" i="1"/>
  <c r="BF84" i="1"/>
  <c r="BK84" i="1"/>
  <c r="BQ84" i="1"/>
  <c r="AK70" i="1"/>
  <c r="AO70" i="1"/>
  <c r="R70" i="1"/>
  <c r="AK68" i="1"/>
  <c r="AO68" i="1"/>
  <c r="R68" i="1"/>
  <c r="AK75" i="1"/>
  <c r="R75" i="1"/>
  <c r="AO75" i="1"/>
  <c r="BS69" i="1"/>
  <c r="BI69" i="1"/>
  <c r="BW69" i="1"/>
  <c r="BI72" i="1"/>
  <c r="BW72" i="1"/>
  <c r="BS72" i="1"/>
  <c r="AK66" i="1"/>
  <c r="AO66" i="1"/>
  <c r="AK65" i="1"/>
  <c r="R65" i="1"/>
  <c r="AO65" i="1"/>
  <c r="BS73" i="1"/>
  <c r="BI73" i="1"/>
  <c r="BW73" i="1"/>
  <c r="AO69" i="1"/>
  <c r="AK69" i="1"/>
  <c r="R69" i="1"/>
  <c r="BS64" i="1"/>
  <c r="BW64" i="1"/>
  <c r="BI64" i="1"/>
  <c r="AO63" i="1"/>
  <c r="R63" i="1"/>
  <c r="AK63" i="1"/>
  <c r="AO59" i="1"/>
  <c r="AK59" i="1"/>
  <c r="BH59" i="1"/>
  <c r="BW71" i="1"/>
  <c r="BS71" i="1"/>
  <c r="BI71" i="1"/>
  <c r="BN70" i="1"/>
  <c r="BF70" i="1"/>
  <c r="BL70" i="1"/>
  <c r="BQ70" i="1"/>
  <c r="BK70" i="1"/>
  <c r="BK68" i="1"/>
  <c r="BF68" i="1"/>
  <c r="BZ68" i="1" s="1"/>
  <c r="BL68" i="1"/>
  <c r="BQ68" i="1"/>
  <c r="BL67" i="1"/>
  <c r="BQ67" i="1"/>
  <c r="BF67" i="1"/>
  <c r="BZ67" i="1" s="1"/>
  <c r="BK67" i="1"/>
  <c r="BL66" i="1"/>
  <c r="BF66" i="1"/>
  <c r="BZ66" i="1" s="1"/>
  <c r="BQ66" i="1"/>
  <c r="BK66" i="1"/>
  <c r="BQ65" i="1"/>
  <c r="BL65" i="1"/>
  <c r="BF65" i="1"/>
  <c r="BK65" i="1"/>
  <c r="BL62" i="1"/>
  <c r="BK62" i="1"/>
  <c r="BQ62" i="1"/>
  <c r="BF62" i="1"/>
  <c r="BZ62" i="1" s="1"/>
  <c r="BI61" i="1"/>
  <c r="BS61" i="1"/>
  <c r="BW61" i="1"/>
  <c r="BF60" i="1"/>
  <c r="BZ60" i="1" s="1"/>
  <c r="BL60" i="1"/>
  <c r="BK60" i="1"/>
  <c r="BQ60" i="1"/>
  <c r="BF58" i="1"/>
  <c r="BZ58" i="1" s="1"/>
  <c r="BQ58" i="1"/>
  <c r="BL58" i="1"/>
  <c r="BK58" i="1"/>
  <c r="BF57" i="1"/>
  <c r="BZ57" i="1" s="1"/>
  <c r="BL57" i="1"/>
  <c r="BK57" i="1"/>
  <c r="BQ57" i="1"/>
  <c r="BF56" i="1"/>
  <c r="BQ56" i="1"/>
  <c r="BL56" i="1"/>
  <c r="BK56" i="1"/>
  <c r="BF55" i="1"/>
  <c r="BZ55" i="1" s="1"/>
  <c r="BK55" i="1"/>
  <c r="BQ55" i="1"/>
  <c r="BW54" i="1"/>
  <c r="BI54" i="1"/>
  <c r="BS54" i="1"/>
  <c r="BQ53" i="1"/>
  <c r="BF53" i="1"/>
  <c r="BL53" i="1"/>
  <c r="BK53" i="1"/>
  <c r="BF51" i="1"/>
  <c r="BZ51" i="1" s="1"/>
  <c r="BL51" i="1"/>
  <c r="BK51" i="1"/>
  <c r="BQ51" i="1"/>
  <c r="BS50" i="1"/>
  <c r="BI50" i="1"/>
  <c r="BI224" i="1"/>
  <c r="BW224" i="1"/>
  <c r="BS224" i="1"/>
  <c r="AK221" i="1"/>
  <c r="R221" i="1"/>
  <c r="AO221" i="1"/>
  <c r="R223" i="1"/>
  <c r="AO223" i="1"/>
  <c r="AK223" i="1"/>
  <c r="BW223" i="1"/>
  <c r="BS223" i="1"/>
  <c r="BI223" i="1"/>
  <c r="BS215" i="1"/>
  <c r="BI215" i="1"/>
  <c r="BW215" i="1"/>
  <c r="BI211" i="1"/>
  <c r="BW211" i="1"/>
  <c r="BS211" i="1"/>
  <c r="BL220" i="1"/>
  <c r="BK220" i="1"/>
  <c r="BQ220" i="1"/>
  <c r="BF220" i="1"/>
  <c r="BS221" i="1"/>
  <c r="BI221" i="1"/>
  <c r="BW221" i="1"/>
  <c r="BS219" i="1"/>
  <c r="BI219" i="1"/>
  <c r="BW219" i="1"/>
  <c r="AK216" i="1"/>
  <c r="R216" i="1"/>
  <c r="AO216" i="1"/>
  <c r="BS216" i="1"/>
  <c r="BI216" i="1"/>
  <c r="BW216" i="1"/>
  <c r="AO211" i="1"/>
  <c r="R211" i="1"/>
  <c r="AK211" i="1"/>
  <c r="BF222" i="1"/>
  <c r="BZ222" i="1" s="1"/>
  <c r="BL222" i="1"/>
  <c r="BK222" i="1"/>
  <c r="BQ222" i="1"/>
  <c r="BK226" i="1"/>
  <c r="BQ226" i="1"/>
  <c r="BF226" i="1"/>
  <c r="BZ226" i="1" s="1"/>
  <c r="BL226" i="1"/>
  <c r="BQ225" i="1"/>
  <c r="BF225" i="1"/>
  <c r="BZ225" i="1" s="1"/>
  <c r="BL225" i="1"/>
  <c r="BK225" i="1"/>
  <c r="BL218" i="1"/>
  <c r="BI214" i="1"/>
  <c r="BW214" i="1"/>
  <c r="BS214" i="1"/>
  <c r="AK209" i="1"/>
  <c r="AO209" i="1"/>
  <c r="R209" i="1"/>
  <c r="BS209" i="1"/>
  <c r="BI209" i="1"/>
  <c r="BW209" i="1"/>
  <c r="BW208" i="1"/>
  <c r="BI208" i="1"/>
  <c r="BS208" i="1"/>
  <c r="BI207" i="1"/>
  <c r="BW207" i="1"/>
  <c r="BS207" i="1"/>
  <c r="BS210" i="1"/>
  <c r="BW210" i="1"/>
  <c r="BI210" i="1"/>
  <c r="AK203" i="1"/>
  <c r="AO203" i="1"/>
  <c r="W207" i="1"/>
  <c r="AF207" i="1"/>
  <c r="BW201" i="1"/>
  <c r="BS201" i="1"/>
  <c r="BI201" i="1"/>
  <c r="BQ217" i="1"/>
  <c r="BF217" i="1"/>
  <c r="BL217" i="1"/>
  <c r="BK217" i="1"/>
  <c r="AO206" i="1"/>
  <c r="AK206" i="1"/>
  <c r="R206" i="1"/>
  <c r="BW200" i="1"/>
  <c r="BS200" i="1"/>
  <c r="BI200" i="1"/>
  <c r="BP206" i="1"/>
  <c r="BI206" i="1"/>
  <c r="BO201" i="1"/>
  <c r="AU201" i="1"/>
  <c r="BQ213" i="1"/>
  <c r="BF213" i="1"/>
  <c r="BZ213" i="1" s="1"/>
  <c r="BL213" i="1"/>
  <c r="BK213" i="1"/>
  <c r="BI202" i="1"/>
  <c r="BW202" i="1"/>
  <c r="BS202" i="1"/>
  <c r="BS197" i="1"/>
  <c r="BW197" i="1"/>
  <c r="BI197" i="1"/>
  <c r="BF212" i="1"/>
  <c r="BK212" i="1"/>
  <c r="BL212" i="1"/>
  <c r="BQ212" i="1"/>
  <c r="BQ199" i="1"/>
  <c r="BF199" i="1"/>
  <c r="BL199" i="1"/>
  <c r="BK199" i="1"/>
  <c r="BS205" i="1"/>
  <c r="BI205" i="1"/>
  <c r="BW205" i="1"/>
  <c r="BW198" i="1"/>
  <c r="BS198" i="1"/>
  <c r="BI198" i="1"/>
  <c r="AK192" i="1"/>
  <c r="R192" i="1"/>
  <c r="AO192" i="1"/>
  <c r="BK204" i="1"/>
  <c r="BQ204" i="1"/>
  <c r="BF204" i="1"/>
  <c r="BZ204" i="1" s="1"/>
  <c r="BL204" i="1"/>
  <c r="BL203" i="1"/>
  <c r="BK203" i="1"/>
  <c r="BQ203" i="1"/>
  <c r="BF203" i="1"/>
  <c r="BZ203" i="1" s="1"/>
  <c r="BS195" i="1"/>
  <c r="BI195" i="1"/>
  <c r="BW195" i="1"/>
  <c r="BL196" i="1"/>
  <c r="BQ196" i="1"/>
  <c r="BS192" i="1"/>
  <c r="BW192" i="1"/>
  <c r="BI192" i="1"/>
  <c r="BK194" i="1"/>
  <c r="BQ194" i="1"/>
  <c r="BF194" i="1"/>
  <c r="BZ194" i="1" s="1"/>
  <c r="BL194" i="1"/>
  <c r="BI191" i="1"/>
  <c r="BS191" i="1"/>
  <c r="BW191" i="1"/>
  <c r="BW189" i="1"/>
  <c r="BS189" i="1"/>
  <c r="AO188" i="1"/>
  <c r="AK188" i="1"/>
  <c r="AO182" i="1"/>
  <c r="AK182" i="1"/>
  <c r="BW190" i="1"/>
  <c r="BS190" i="1"/>
  <c r="BI190" i="1"/>
  <c r="AO189" i="1"/>
  <c r="R189" i="1"/>
  <c r="BH189" i="1"/>
  <c r="BP189" i="1" s="1"/>
  <c r="AK189" i="1"/>
  <c r="AK186" i="1"/>
  <c r="AO186" i="1"/>
  <c r="AO180" i="1"/>
  <c r="AK180" i="1"/>
  <c r="R180" i="1"/>
  <c r="BQ193" i="1"/>
  <c r="BL193" i="1"/>
  <c r="BK193" i="1"/>
  <c r="BF193" i="1"/>
  <c r="BS185" i="1"/>
  <c r="BW185" i="1"/>
  <c r="BI185" i="1"/>
  <c r="BW181" i="1"/>
  <c r="BS181" i="1"/>
  <c r="BI181" i="1"/>
  <c r="BS179" i="1"/>
  <c r="BI179" i="1"/>
  <c r="BW179" i="1"/>
  <c r="S177" i="1"/>
  <c r="BG177" i="1" s="1"/>
  <c r="BP177" i="1" s="1"/>
  <c r="R177" i="1"/>
  <c r="AF177" i="1"/>
  <c r="AK171" i="1"/>
  <c r="AO171" i="1"/>
  <c r="R171" i="1"/>
  <c r="BL187" i="1"/>
  <c r="BQ187" i="1"/>
  <c r="BK187" i="1"/>
  <c r="BF187" i="1"/>
  <c r="BZ187" i="1" s="1"/>
  <c r="BK183" i="1"/>
  <c r="BL183" i="1"/>
  <c r="BF183" i="1"/>
  <c r="BZ183" i="1" s="1"/>
  <c r="BQ183" i="1"/>
  <c r="BW182" i="1"/>
  <c r="BS182" i="1"/>
  <c r="BI182" i="1"/>
  <c r="BL176" i="1"/>
  <c r="BK176" i="1"/>
  <c r="BQ176" i="1"/>
  <c r="BF176" i="1"/>
  <c r="BZ176" i="1" s="1"/>
  <c r="BF188" i="1"/>
  <c r="BQ188" i="1"/>
  <c r="BL188" i="1"/>
  <c r="BK188" i="1"/>
  <c r="BF184" i="1"/>
  <c r="BZ184" i="1" s="1"/>
  <c r="BL184" i="1"/>
  <c r="BK184" i="1"/>
  <c r="BQ184" i="1"/>
  <c r="AK168" i="1"/>
  <c r="AO168" i="1"/>
  <c r="BK175" i="1"/>
  <c r="BL175" i="1"/>
  <c r="BF175" i="1"/>
  <c r="BZ175" i="1" s="1"/>
  <c r="BQ175" i="1"/>
  <c r="BW173" i="1"/>
  <c r="BS173" i="1"/>
  <c r="BI173" i="1"/>
  <c r="BQ164" i="1"/>
  <c r="BF164" i="1"/>
  <c r="BL164" i="1"/>
  <c r="BK164" i="1"/>
  <c r="W152" i="1"/>
  <c r="AF152" i="1"/>
  <c r="AF151" i="1"/>
  <c r="W151" i="1"/>
  <c r="BO151" i="1"/>
  <c r="AK150" i="1"/>
  <c r="AO150" i="1"/>
  <c r="BL171" i="1"/>
  <c r="BQ171" i="1"/>
  <c r="BF171" i="1"/>
  <c r="BK171" i="1"/>
  <c r="BI174" i="1"/>
  <c r="BW174" i="1"/>
  <c r="BS174" i="1"/>
  <c r="BS169" i="1"/>
  <c r="BW169" i="1"/>
  <c r="BI169" i="1"/>
  <c r="AK163" i="1"/>
  <c r="R163" i="1"/>
  <c r="AO163" i="1"/>
  <c r="BW161" i="1"/>
  <c r="BS161" i="1"/>
  <c r="BI161" i="1"/>
  <c r="AK145" i="1"/>
  <c r="R145" i="1"/>
  <c r="AO145" i="1"/>
  <c r="BL168" i="1"/>
  <c r="BK168" i="1"/>
  <c r="BF168" i="1"/>
  <c r="BZ168" i="1" s="1"/>
  <c r="BQ168" i="1"/>
  <c r="BS172" i="1"/>
  <c r="BW172" i="1"/>
  <c r="BI172" i="1"/>
  <c r="BS170" i="1"/>
  <c r="BW170" i="1"/>
  <c r="BI170" i="1"/>
  <c r="BF166" i="1"/>
  <c r="BQ166" i="1"/>
  <c r="BL166" i="1"/>
  <c r="BK166" i="1"/>
  <c r="BF165" i="1"/>
  <c r="BZ165" i="1" s="1"/>
  <c r="BK165" i="1"/>
  <c r="BQ165" i="1"/>
  <c r="BL165" i="1"/>
  <c r="BL157" i="1"/>
  <c r="BK157" i="1"/>
  <c r="BQ157" i="1"/>
  <c r="BF157" i="1"/>
  <c r="BS153" i="1"/>
  <c r="BT153" i="1" s="1"/>
  <c r="BW153" i="1"/>
  <c r="BX153" i="1" s="1"/>
  <c r="AK151" i="1"/>
  <c r="AO151" i="1"/>
  <c r="BS150" i="1"/>
  <c r="BW150" i="1"/>
  <c r="BI150" i="1"/>
  <c r="BK167" i="1"/>
  <c r="BF167" i="1"/>
  <c r="BZ167" i="1" s="1"/>
  <c r="BL167" i="1"/>
  <c r="BQ167" i="1"/>
  <c r="BS160" i="1"/>
  <c r="BI160" i="1"/>
  <c r="BW160" i="1"/>
  <c r="BL152" i="1"/>
  <c r="BK152" i="1"/>
  <c r="BQ152" i="1"/>
  <c r="BF152" i="1"/>
  <c r="BZ152" i="1" s="1"/>
  <c r="BF158" i="1"/>
  <c r="BL158" i="1"/>
  <c r="BK158" i="1"/>
  <c r="BQ158" i="1"/>
  <c r="BW154" i="1"/>
  <c r="BS154" i="1"/>
  <c r="BI154" i="1"/>
  <c r="AO148" i="1"/>
  <c r="AK148" i="1"/>
  <c r="AU148" i="1"/>
  <c r="BS141" i="1"/>
  <c r="BI141" i="1"/>
  <c r="BW141" i="1"/>
  <c r="BS156" i="1"/>
  <c r="BI156" i="1"/>
  <c r="BW156" i="1"/>
  <c r="BI155" i="1"/>
  <c r="BW155" i="1"/>
  <c r="BS155" i="1"/>
  <c r="BI147" i="1"/>
  <c r="BW147" i="1"/>
  <c r="BS147" i="1"/>
  <c r="BK162" i="1"/>
  <c r="BF162" i="1"/>
  <c r="BL162" i="1"/>
  <c r="BQ162" i="1"/>
  <c r="BS145" i="1"/>
  <c r="BW145" i="1"/>
  <c r="BI145" i="1"/>
  <c r="BQ159" i="1"/>
  <c r="BF159" i="1"/>
  <c r="BL159" i="1"/>
  <c r="BK159" i="1"/>
  <c r="BS144" i="1"/>
  <c r="BW144" i="1"/>
  <c r="BI144" i="1"/>
  <c r="AO139" i="1"/>
  <c r="AK139" i="1"/>
  <c r="AK138" i="1"/>
  <c r="AO138" i="1"/>
  <c r="BK163" i="1"/>
  <c r="BL163" i="1"/>
  <c r="BF163" i="1"/>
  <c r="BQ163" i="1"/>
  <c r="BH141" i="1"/>
  <c r="BP141" i="1" s="1"/>
  <c r="AO141" i="1"/>
  <c r="AK141" i="1"/>
  <c r="AF132" i="1"/>
  <c r="BO132" i="1"/>
  <c r="W144" i="1"/>
  <c r="AF144" i="1"/>
  <c r="BL151" i="1"/>
  <c r="BK151" i="1"/>
  <c r="BQ151" i="1"/>
  <c r="BF151" i="1"/>
  <c r="BZ151" i="1" s="1"/>
  <c r="BF149" i="1"/>
  <c r="BK149" i="1"/>
  <c r="BQ149" i="1"/>
  <c r="BL149" i="1"/>
  <c r="BL146" i="1"/>
  <c r="BK146" i="1"/>
  <c r="BQ146" i="1"/>
  <c r="BF146" i="1"/>
  <c r="BQ143" i="1"/>
  <c r="BF143" i="1"/>
  <c r="BZ143" i="1" s="1"/>
  <c r="BL143" i="1"/>
  <c r="BK143" i="1"/>
  <c r="BS142" i="1"/>
  <c r="BW142" i="1"/>
  <c r="BI142" i="1"/>
  <c r="BF140" i="1"/>
  <c r="BZ140" i="1" s="1"/>
  <c r="BL140" i="1"/>
  <c r="BK140" i="1"/>
  <c r="BQ140" i="1"/>
  <c r="BQ138" i="1"/>
  <c r="BL138" i="1"/>
  <c r="BK138" i="1"/>
  <c r="BF138" i="1"/>
  <c r="BK137" i="1"/>
  <c r="BQ137" i="1"/>
  <c r="BF137" i="1"/>
  <c r="BL137" i="1"/>
  <c r="BQ136" i="1"/>
  <c r="BF136" i="1"/>
  <c r="BL136" i="1"/>
  <c r="BK136" i="1"/>
  <c r="BF135" i="1"/>
  <c r="BL135" i="1"/>
  <c r="BK135" i="1"/>
  <c r="BQ135" i="1"/>
  <c r="BL134" i="1"/>
  <c r="BK134" i="1"/>
  <c r="BQ134" i="1"/>
  <c r="BF134" i="1"/>
  <c r="BK133" i="1"/>
  <c r="BQ133" i="1"/>
  <c r="BF133" i="1"/>
  <c r="BL133" i="1"/>
  <c r="BQ132" i="1"/>
  <c r="BF132" i="1"/>
  <c r="BL132" i="1"/>
  <c r="BK132" i="1"/>
  <c r="BF131" i="1"/>
  <c r="BL131" i="1"/>
  <c r="BK131" i="1"/>
  <c r="BQ131" i="1"/>
  <c r="BL130" i="1"/>
  <c r="BK130" i="1"/>
  <c r="BQ130" i="1"/>
  <c r="BF130" i="1"/>
  <c r="BZ130" i="1" s="1"/>
  <c r="BK129" i="1"/>
  <c r="BL129" i="1"/>
  <c r="BQ129" i="1"/>
  <c r="BF129" i="1"/>
  <c r="BZ129" i="1" s="1"/>
  <c r="BQ128" i="1" l="1"/>
  <c r="BF128" i="1"/>
  <c r="BL128" i="1"/>
  <c r="BK128" i="1"/>
  <c r="BW19" i="1"/>
  <c r="BI19" i="1"/>
  <c r="BS19" i="1"/>
  <c r="BW22" i="1"/>
  <c r="BS22" i="1"/>
  <c r="BP22" i="1"/>
  <c r="BI22" i="1"/>
  <c r="BV25" i="1"/>
  <c r="BX25" i="1" s="1"/>
  <c r="BR25" i="1"/>
  <c r="BT25" i="1" s="1"/>
  <c r="BZ25" i="1"/>
  <c r="BK196" i="1"/>
  <c r="BK218" i="1"/>
  <c r="BZ70" i="1"/>
  <c r="BP80" i="1"/>
  <c r="BI80" i="1"/>
  <c r="BQ111" i="1"/>
  <c r="BP27" i="1"/>
  <c r="BI27" i="1"/>
  <c r="BR10" i="1"/>
  <c r="BT10" i="1" s="1"/>
  <c r="BZ10" i="1"/>
  <c r="BV10" i="1"/>
  <c r="BX10" i="1" s="1"/>
  <c r="BQ38" i="1"/>
  <c r="BF38" i="1"/>
  <c r="BL38" i="1"/>
  <c r="BK38" i="1"/>
  <c r="BP13" i="1"/>
  <c r="BI13" i="1"/>
  <c r="BQ45" i="1"/>
  <c r="BK45" i="1"/>
  <c r="BV17" i="1"/>
  <c r="BX17" i="1" s="1"/>
  <c r="BR17" i="1"/>
  <c r="BT17" i="1" s="1"/>
  <c r="BZ17" i="1"/>
  <c r="BL7" i="1"/>
  <c r="BQ7" i="1"/>
  <c r="BF7" i="1"/>
  <c r="BK7" i="1"/>
  <c r="BI12" i="1"/>
  <c r="BW12" i="1"/>
  <c r="BS12" i="1"/>
  <c r="BP63" i="1"/>
  <c r="BI63" i="1"/>
  <c r="BI189" i="1"/>
  <c r="BF218" i="1"/>
  <c r="BZ218" i="1" s="1"/>
  <c r="BQ114" i="1"/>
  <c r="BK114" i="1"/>
  <c r="BR20" i="1"/>
  <c r="BT20" i="1" s="1"/>
  <c r="BV20" i="1"/>
  <c r="BX20" i="1" s="1"/>
  <c r="BV29" i="1"/>
  <c r="BX29" i="1" s="1"/>
  <c r="BZ29" i="1"/>
  <c r="BR29" i="1"/>
  <c r="BT29" i="1" s="1"/>
  <c r="BS31" i="1"/>
  <c r="BI31" i="1"/>
  <c r="BW31" i="1"/>
  <c r="BP19" i="1"/>
  <c r="BW5" i="1"/>
  <c r="BW3" i="1" s="1"/>
  <c r="BG3" i="1"/>
  <c r="BS5" i="1"/>
  <c r="BS3" i="1" s="1"/>
  <c r="BI5" i="1"/>
  <c r="BP139" i="1"/>
  <c r="BI139" i="1"/>
  <c r="BQ18" i="1"/>
  <c r="BF18" i="1"/>
  <c r="BL18" i="1"/>
  <c r="BK18" i="1"/>
  <c r="BV8" i="1"/>
  <c r="BX8" i="1" s="1"/>
  <c r="BR8" i="1"/>
  <c r="BT8" i="1" s="1"/>
  <c r="BZ8" i="1"/>
  <c r="BW9" i="1"/>
  <c r="BS9" i="1"/>
  <c r="BI9" i="1"/>
  <c r="BP9" i="1"/>
  <c r="BH3" i="1"/>
  <c r="BP5" i="1"/>
  <c r="BP3" i="1" s="1"/>
  <c r="BP180" i="1"/>
  <c r="BI180" i="1"/>
  <c r="BW26" i="1"/>
  <c r="BS26" i="1"/>
  <c r="BI26" i="1"/>
  <c r="BP26" i="1"/>
  <c r="BP59" i="1"/>
  <c r="BI59" i="1"/>
  <c r="BW14" i="1"/>
  <c r="BI14" i="1"/>
  <c r="BS14" i="1"/>
  <c r="BP14" i="1"/>
  <c r="BP81" i="1"/>
  <c r="BI81" i="1"/>
  <c r="BS21" i="1"/>
  <c r="BI21" i="1"/>
  <c r="BW21" i="1"/>
  <c r="BV23" i="1"/>
  <c r="BX23" i="1" s="1"/>
  <c r="BR23" i="1"/>
  <c r="BT23" i="1" s="1"/>
  <c r="BZ23" i="1"/>
  <c r="BV24" i="1"/>
  <c r="BX24" i="1" s="1"/>
  <c r="BR24" i="1"/>
  <c r="BT24" i="1" s="1"/>
  <c r="BZ24" i="1"/>
  <c r="BP186" i="1"/>
  <c r="BI186" i="1"/>
  <c r="BF122" i="1"/>
  <c r="BL122" i="1"/>
  <c r="BP21" i="1"/>
  <c r="BP148" i="1"/>
  <c r="BI148" i="1"/>
  <c r="BP98" i="1"/>
  <c r="BI98" i="1"/>
  <c r="BP178" i="1"/>
  <c r="BI178" i="1"/>
  <c r="BP31" i="1"/>
  <c r="BF16" i="1"/>
  <c r="BQ16" i="1"/>
  <c r="BL16" i="1"/>
  <c r="BK16" i="1"/>
  <c r="BI11" i="1"/>
  <c r="BS11" i="1"/>
  <c r="BW11" i="1"/>
  <c r="BS15" i="1"/>
  <c r="BI15" i="1"/>
  <c r="BW15" i="1"/>
  <c r="BS6" i="1"/>
  <c r="BI6" i="1"/>
  <c r="BW6" i="1"/>
  <c r="BW28" i="1"/>
  <c r="BS28" i="1"/>
  <c r="BI28" i="1"/>
  <c r="BQ50" i="1"/>
  <c r="BL50" i="1"/>
  <c r="BK50" i="1"/>
  <c r="BF50" i="1"/>
  <c r="BR51" i="1"/>
  <c r="BT51" i="1" s="1"/>
  <c r="BV51" i="1"/>
  <c r="BX51" i="1" s="1"/>
  <c r="BR55" i="1"/>
  <c r="BT55" i="1" s="1"/>
  <c r="BV55" i="1"/>
  <c r="BX55" i="1" s="1"/>
  <c r="BF30" i="1"/>
  <c r="BR30" i="1" s="1"/>
  <c r="BT30" i="1" s="1"/>
  <c r="BL30" i="1"/>
  <c r="BQ30" i="1"/>
  <c r="BV36" i="1"/>
  <c r="BX36" i="1" s="1"/>
  <c r="BZ36" i="1"/>
  <c r="BR36" i="1"/>
  <c r="BT36" i="1" s="1"/>
  <c r="BV37" i="1"/>
  <c r="BX37" i="1" s="1"/>
  <c r="BZ37" i="1"/>
  <c r="BR37" i="1"/>
  <c r="BT37" i="1" s="1"/>
  <c r="BR44" i="1"/>
  <c r="BT44" i="1" s="1"/>
  <c r="BZ44" i="1"/>
  <c r="BV44" i="1"/>
  <c r="BX44" i="1" s="1"/>
  <c r="BW35" i="1"/>
  <c r="BS35" i="1"/>
  <c r="BI35" i="1"/>
  <c r="BO35" i="1"/>
  <c r="V35" i="1"/>
  <c r="T35" i="1"/>
  <c r="U35" i="1" s="1"/>
  <c r="BJ35" i="1"/>
  <c r="BV46" i="1"/>
  <c r="BX46" i="1" s="1"/>
  <c r="BR46" i="1"/>
  <c r="BT46" i="1" s="1"/>
  <c r="BZ46" i="1"/>
  <c r="BR33" i="1"/>
  <c r="BT33" i="1" s="1"/>
  <c r="BV33" i="1"/>
  <c r="BX33" i="1" s="1"/>
  <c r="BV42" i="1"/>
  <c r="BX42" i="1" s="1"/>
  <c r="BR42" i="1"/>
  <c r="BT42" i="1" s="1"/>
  <c r="BZ42" i="1"/>
  <c r="BR45" i="1"/>
  <c r="BT45" i="1" s="1"/>
  <c r="BZ45" i="1"/>
  <c r="BV45" i="1"/>
  <c r="BX45" i="1" s="1"/>
  <c r="BR32" i="1"/>
  <c r="BT32" i="1" s="1"/>
  <c r="BV32" i="1"/>
  <c r="BX32" i="1" s="1"/>
  <c r="BQ39" i="1"/>
  <c r="BF39" i="1"/>
  <c r="BL39" i="1"/>
  <c r="BK39" i="1"/>
  <c r="BR34" i="1"/>
  <c r="BT34" i="1" s="1"/>
  <c r="BV34" i="1"/>
  <c r="BX34" i="1" s="1"/>
  <c r="BR43" i="1"/>
  <c r="BT43" i="1" s="1"/>
  <c r="BV43" i="1"/>
  <c r="BX43" i="1" s="1"/>
  <c r="BR41" i="1"/>
  <c r="BT41" i="1" s="1"/>
  <c r="BZ41" i="1"/>
  <c r="BR53" i="1"/>
  <c r="BT53" i="1" s="1"/>
  <c r="BZ53" i="1"/>
  <c r="BV53" i="1"/>
  <c r="BX53" i="1" s="1"/>
  <c r="BL54" i="1"/>
  <c r="BK54" i="1"/>
  <c r="BQ54" i="1"/>
  <c r="BF54" i="1"/>
  <c r="BZ54" i="1" s="1"/>
  <c r="BR56" i="1"/>
  <c r="BT56" i="1" s="1"/>
  <c r="BZ56" i="1"/>
  <c r="BV56" i="1"/>
  <c r="BX56" i="1" s="1"/>
  <c r="BV57" i="1"/>
  <c r="BX57" i="1" s="1"/>
  <c r="BR57" i="1"/>
  <c r="BT57" i="1" s="1"/>
  <c r="BR58" i="1"/>
  <c r="BT58" i="1" s="1"/>
  <c r="BV58" i="1"/>
  <c r="BX58" i="1" s="1"/>
  <c r="BV60" i="1"/>
  <c r="BX60" i="1" s="1"/>
  <c r="BR60" i="1"/>
  <c r="BT60" i="1" s="1"/>
  <c r="BL61" i="1"/>
  <c r="BK61" i="1"/>
  <c r="BQ61" i="1"/>
  <c r="BF61" i="1"/>
  <c r="BZ61" i="1" s="1"/>
  <c r="BR62" i="1"/>
  <c r="BT62" i="1" s="1"/>
  <c r="BV62" i="1"/>
  <c r="BX62" i="1" s="1"/>
  <c r="BR65" i="1"/>
  <c r="BT65" i="1" s="1"/>
  <c r="BZ65" i="1"/>
  <c r="BV65" i="1"/>
  <c r="BX65" i="1" s="1"/>
  <c r="BR66" i="1"/>
  <c r="BT66" i="1" s="1"/>
  <c r="BV66" i="1"/>
  <c r="BX66" i="1" s="1"/>
  <c r="BV67" i="1"/>
  <c r="BX67" i="1" s="1"/>
  <c r="BR67" i="1"/>
  <c r="BT67" i="1" s="1"/>
  <c r="BV68" i="1"/>
  <c r="BX68" i="1" s="1"/>
  <c r="BR68" i="1"/>
  <c r="BT68" i="1" s="1"/>
  <c r="BV70" i="1"/>
  <c r="BX70" i="1" s="1"/>
  <c r="BR70" i="1"/>
  <c r="BT70" i="1" s="1"/>
  <c r="BL71" i="1"/>
  <c r="BK71" i="1"/>
  <c r="BF71" i="1"/>
  <c r="BQ71" i="1"/>
  <c r="BL64" i="1"/>
  <c r="BK64" i="1"/>
  <c r="BQ64" i="1"/>
  <c r="BF64" i="1"/>
  <c r="BZ64" i="1" s="1"/>
  <c r="BK73" i="1"/>
  <c r="BQ73" i="1"/>
  <c r="BN73" i="1"/>
  <c r="BF73" i="1"/>
  <c r="BL73" i="1"/>
  <c r="BL72" i="1"/>
  <c r="BF72" i="1"/>
  <c r="BQ72" i="1"/>
  <c r="BK72" i="1"/>
  <c r="BK69" i="1"/>
  <c r="BQ69" i="1"/>
  <c r="BL69" i="1"/>
  <c r="BF69" i="1"/>
  <c r="BV84" i="1"/>
  <c r="BX84" i="1" s="1"/>
  <c r="BR84" i="1"/>
  <c r="BT84" i="1" s="1"/>
  <c r="BZ84" i="1"/>
  <c r="BQ78" i="1"/>
  <c r="BF78" i="1"/>
  <c r="BZ78" i="1" s="1"/>
  <c r="BL78" i="1"/>
  <c r="BK78" i="1"/>
  <c r="BV76" i="1"/>
  <c r="BX76" i="1" s="1"/>
  <c r="BR76" i="1"/>
  <c r="BT76" i="1" s="1"/>
  <c r="BZ76" i="1"/>
  <c r="BK77" i="1"/>
  <c r="BQ77" i="1"/>
  <c r="BL77" i="1"/>
  <c r="BF77" i="1"/>
  <c r="BV75" i="1"/>
  <c r="BX75" i="1" s="1"/>
  <c r="BR75" i="1"/>
  <c r="BT75" i="1" s="1"/>
  <c r="BQ79" i="1"/>
  <c r="BK79" i="1"/>
  <c r="BF79" i="1"/>
  <c r="BZ79" i="1" s="1"/>
  <c r="BL79" i="1"/>
  <c r="BV74" i="1"/>
  <c r="BX74" i="1" s="1"/>
  <c r="BR74" i="1"/>
  <c r="BT74" i="1" s="1"/>
  <c r="BZ74" i="1"/>
  <c r="BV89" i="1"/>
  <c r="BX89" i="1" s="1"/>
  <c r="BR89" i="1"/>
  <c r="BT89" i="1" s="1"/>
  <c r="BV96" i="1"/>
  <c r="BX96" i="1" s="1"/>
  <c r="BR96" i="1"/>
  <c r="BT96" i="1" s="1"/>
  <c r="BL82" i="1"/>
  <c r="BK82" i="1"/>
  <c r="BF82" i="1"/>
  <c r="BQ82" i="1"/>
  <c r="BR88" i="1"/>
  <c r="BT88" i="1" s="1"/>
  <c r="BV88" i="1"/>
  <c r="BX88" i="1" s="1"/>
  <c r="BV91" i="1"/>
  <c r="BX91" i="1" s="1"/>
  <c r="BR91" i="1"/>
  <c r="BT91" i="1" s="1"/>
  <c r="BV83" i="1"/>
  <c r="BX83" i="1" s="1"/>
  <c r="BR83" i="1"/>
  <c r="BT83" i="1" s="1"/>
  <c r="BZ83" i="1"/>
  <c r="BL90" i="1"/>
  <c r="BK90" i="1"/>
  <c r="BQ90" i="1"/>
  <c r="BF90" i="1"/>
  <c r="BZ90" i="1" s="1"/>
  <c r="BQ87" i="1"/>
  <c r="BK87" i="1"/>
  <c r="BL87" i="1"/>
  <c r="BF87" i="1"/>
  <c r="BZ87" i="1" s="1"/>
  <c r="BR93" i="1"/>
  <c r="BT93" i="1" s="1"/>
  <c r="BV93" i="1"/>
  <c r="BX93" i="1" s="1"/>
  <c r="BF85" i="1"/>
  <c r="BL85" i="1"/>
  <c r="BQ85" i="1"/>
  <c r="BK85" i="1"/>
  <c r="BL95" i="1"/>
  <c r="BF95" i="1"/>
  <c r="BZ95" i="1" s="1"/>
  <c r="BK95" i="1"/>
  <c r="BQ95" i="1"/>
  <c r="BV92" i="1"/>
  <c r="BX92" i="1" s="1"/>
  <c r="BR92" i="1"/>
  <c r="BT92" i="1" s="1"/>
  <c r="BV100" i="1"/>
  <c r="BX100" i="1" s="1"/>
  <c r="BZ100" i="1"/>
  <c r="BR100" i="1"/>
  <c r="BT100" i="1" s="1"/>
  <c r="BQ106" i="1"/>
  <c r="BF106" i="1"/>
  <c r="BL106" i="1"/>
  <c r="BK106" i="1"/>
  <c r="BQ86" i="1"/>
  <c r="BK86" i="1"/>
  <c r="BF86" i="1"/>
  <c r="BZ86" i="1" s="1"/>
  <c r="BL86" i="1"/>
  <c r="BL94" i="1"/>
  <c r="BK94" i="1"/>
  <c r="BF94" i="1"/>
  <c r="BZ94" i="1" s="1"/>
  <c r="BQ94" i="1"/>
  <c r="BL97" i="1"/>
  <c r="BK97" i="1"/>
  <c r="BQ97" i="1"/>
  <c r="BF97" i="1"/>
  <c r="BZ97" i="1" s="1"/>
  <c r="BV99" i="1"/>
  <c r="BX99" i="1" s="1"/>
  <c r="BR99" i="1"/>
  <c r="BT99" i="1" s="1"/>
  <c r="BZ99" i="1"/>
  <c r="BV103" i="1"/>
  <c r="BX103" i="1" s="1"/>
  <c r="BR103" i="1"/>
  <c r="BT103" i="1" s="1"/>
  <c r="BQ107" i="1"/>
  <c r="BF107" i="1"/>
  <c r="BL107" i="1"/>
  <c r="BK107" i="1"/>
  <c r="BL102" i="1"/>
  <c r="BF102" i="1"/>
  <c r="BZ102" i="1" s="1"/>
  <c r="BK102" i="1"/>
  <c r="BQ102" i="1"/>
  <c r="BQ108" i="1"/>
  <c r="BF108" i="1"/>
  <c r="BL108" i="1"/>
  <c r="BK108" i="1"/>
  <c r="BR101" i="1"/>
  <c r="BT101" i="1" s="1"/>
  <c r="BV101" i="1"/>
  <c r="BX101" i="1" s="1"/>
  <c r="BV111" i="1"/>
  <c r="BX111" i="1" s="1"/>
  <c r="BR111" i="1"/>
  <c r="BT111" i="1" s="1"/>
  <c r="BV112" i="1"/>
  <c r="BX112" i="1" s="1"/>
  <c r="BR112" i="1"/>
  <c r="BT112" i="1" s="1"/>
  <c r="BZ112" i="1"/>
  <c r="BR115" i="1"/>
  <c r="BT115" i="1" s="1"/>
  <c r="BV115" i="1"/>
  <c r="BX115" i="1" s="1"/>
  <c r="BL110" i="1"/>
  <c r="BK110" i="1"/>
  <c r="BQ110" i="1"/>
  <c r="BF110" i="1"/>
  <c r="BZ110" i="1" s="1"/>
  <c r="BL104" i="1"/>
  <c r="BK104" i="1"/>
  <c r="BF104" i="1"/>
  <c r="BQ104" i="1"/>
  <c r="BL109" i="1"/>
  <c r="BQ109" i="1"/>
  <c r="BF109" i="1"/>
  <c r="BZ109" i="1" s="1"/>
  <c r="BK109" i="1"/>
  <c r="BR105" i="1"/>
  <c r="BT105" i="1" s="1"/>
  <c r="BV105" i="1"/>
  <c r="BX105" i="1" s="1"/>
  <c r="BR116" i="1"/>
  <c r="BT116" i="1" s="1"/>
  <c r="BV116" i="1"/>
  <c r="BX116" i="1" s="1"/>
  <c r="BV113" i="1"/>
  <c r="BX113" i="1" s="1"/>
  <c r="BR113" i="1"/>
  <c r="BT113" i="1" s="1"/>
  <c r="BZ113" i="1"/>
  <c r="BL114" i="1"/>
  <c r="BF114" i="1"/>
  <c r="BV129" i="1"/>
  <c r="BX129" i="1" s="1"/>
  <c r="BR129" i="1"/>
  <c r="BT129" i="1" s="1"/>
  <c r="BV130" i="1"/>
  <c r="BX130" i="1" s="1"/>
  <c r="BR130" i="1"/>
  <c r="BT130" i="1" s="1"/>
  <c r="BV131" i="1"/>
  <c r="BX131" i="1" s="1"/>
  <c r="BR131" i="1"/>
  <c r="BT131" i="1" s="1"/>
  <c r="BZ131" i="1"/>
  <c r="BV132" i="1"/>
  <c r="BX132" i="1" s="1"/>
  <c r="BR132" i="1"/>
  <c r="BT132" i="1" s="1"/>
  <c r="BZ132" i="1"/>
  <c r="BV133" i="1"/>
  <c r="BX133" i="1" s="1"/>
  <c r="BR133" i="1"/>
  <c r="BT133" i="1" s="1"/>
  <c r="BZ133" i="1"/>
  <c r="BV134" i="1"/>
  <c r="BX134" i="1" s="1"/>
  <c r="BR134" i="1"/>
  <c r="BT134" i="1" s="1"/>
  <c r="BZ134" i="1"/>
  <c r="BV135" i="1"/>
  <c r="BX135" i="1" s="1"/>
  <c r="BR135" i="1"/>
  <c r="BT135" i="1" s="1"/>
  <c r="BZ135" i="1"/>
  <c r="BV136" i="1"/>
  <c r="BX136" i="1" s="1"/>
  <c r="BR136" i="1"/>
  <c r="BT136" i="1" s="1"/>
  <c r="BZ136" i="1"/>
  <c r="BV137" i="1"/>
  <c r="BX137" i="1" s="1"/>
  <c r="BR137" i="1"/>
  <c r="BT137" i="1" s="1"/>
  <c r="BZ137" i="1"/>
  <c r="BV138" i="1"/>
  <c r="BX138" i="1" s="1"/>
  <c r="BZ138" i="1"/>
  <c r="BR138" i="1"/>
  <c r="BT138" i="1" s="1"/>
  <c r="BR140" i="1"/>
  <c r="BT140" i="1" s="1"/>
  <c r="BV140" i="1"/>
  <c r="BX140" i="1" s="1"/>
  <c r="BQ142" i="1"/>
  <c r="BL142" i="1"/>
  <c r="BK142" i="1"/>
  <c r="BF142" i="1"/>
  <c r="BZ142" i="1" s="1"/>
  <c r="BR143" i="1"/>
  <c r="BT143" i="1" s="1"/>
  <c r="BV143" i="1"/>
  <c r="BX143" i="1" s="1"/>
  <c r="BV146" i="1"/>
  <c r="BX146" i="1" s="1"/>
  <c r="BZ146" i="1"/>
  <c r="BR146" i="1"/>
  <c r="BT146" i="1" s="1"/>
  <c r="BR149" i="1"/>
  <c r="BT149" i="1" s="1"/>
  <c r="BZ149" i="1"/>
  <c r="BV149" i="1"/>
  <c r="BX149" i="1" s="1"/>
  <c r="BV151" i="1"/>
  <c r="BX151" i="1" s="1"/>
  <c r="BR151" i="1"/>
  <c r="BT151" i="1" s="1"/>
  <c r="BV163" i="1"/>
  <c r="BX163" i="1" s="1"/>
  <c r="BR163" i="1"/>
  <c r="BT163" i="1" s="1"/>
  <c r="BZ163" i="1"/>
  <c r="BL144" i="1"/>
  <c r="BK144" i="1"/>
  <c r="BQ144" i="1"/>
  <c r="BF144" i="1"/>
  <c r="BZ144" i="1" s="1"/>
  <c r="BV159" i="1"/>
  <c r="BX159" i="1" s="1"/>
  <c r="BR159" i="1"/>
  <c r="BT159" i="1" s="1"/>
  <c r="BZ159" i="1"/>
  <c r="BL145" i="1"/>
  <c r="BK145" i="1"/>
  <c r="BQ145" i="1"/>
  <c r="BF145" i="1"/>
  <c r="BZ145" i="1" s="1"/>
  <c r="BV162" i="1"/>
  <c r="BX162" i="1" s="1"/>
  <c r="BR162" i="1"/>
  <c r="BT162" i="1" s="1"/>
  <c r="BZ162" i="1"/>
  <c r="BL147" i="1"/>
  <c r="BK147" i="1"/>
  <c r="BQ147" i="1"/>
  <c r="BF147" i="1"/>
  <c r="BQ155" i="1"/>
  <c r="BL155" i="1"/>
  <c r="BK155" i="1"/>
  <c r="BF155" i="1"/>
  <c r="BK156" i="1"/>
  <c r="BQ156" i="1"/>
  <c r="BF156" i="1"/>
  <c r="BL156" i="1"/>
  <c r="BK141" i="1"/>
  <c r="BQ141" i="1"/>
  <c r="BF141" i="1"/>
  <c r="BZ141" i="1" s="1"/>
  <c r="BL141" i="1"/>
  <c r="BF154" i="1"/>
  <c r="BK154" i="1"/>
  <c r="BQ154" i="1"/>
  <c r="BL154" i="1"/>
  <c r="BV158" i="1"/>
  <c r="BX158" i="1" s="1"/>
  <c r="BR158" i="1"/>
  <c r="BT158" i="1" s="1"/>
  <c r="BZ158" i="1"/>
  <c r="BV152" i="1"/>
  <c r="BX152" i="1" s="1"/>
  <c r="BR152" i="1"/>
  <c r="BT152" i="1" s="1"/>
  <c r="BK160" i="1"/>
  <c r="BQ160" i="1"/>
  <c r="BF160" i="1"/>
  <c r="BL160" i="1"/>
  <c r="BV167" i="1"/>
  <c r="BX167" i="1" s="1"/>
  <c r="BR167" i="1"/>
  <c r="BT167" i="1" s="1"/>
  <c r="BL150" i="1"/>
  <c r="BQ150" i="1"/>
  <c r="BK150" i="1"/>
  <c r="BF150" i="1"/>
  <c r="BZ150" i="1" s="1"/>
  <c r="BV157" i="1"/>
  <c r="BX157" i="1" s="1"/>
  <c r="BR157" i="1"/>
  <c r="BT157" i="1" s="1"/>
  <c r="BZ157" i="1"/>
  <c r="BR165" i="1"/>
  <c r="BT165" i="1" s="1"/>
  <c r="BV165" i="1"/>
  <c r="BX165" i="1" s="1"/>
  <c r="BR166" i="1"/>
  <c r="BT166" i="1" s="1"/>
  <c r="BV166" i="1"/>
  <c r="BX166" i="1" s="1"/>
  <c r="BZ166" i="1"/>
  <c r="BL170" i="1"/>
  <c r="BQ170" i="1"/>
  <c r="BF170" i="1"/>
  <c r="BK170" i="1"/>
  <c r="BL172" i="1"/>
  <c r="BQ172" i="1"/>
  <c r="BK172" i="1"/>
  <c r="BF172" i="1"/>
  <c r="BR168" i="1"/>
  <c r="BT168" i="1" s="1"/>
  <c r="BV168" i="1"/>
  <c r="BX168" i="1" s="1"/>
  <c r="BL161" i="1"/>
  <c r="BK161" i="1"/>
  <c r="BQ161" i="1"/>
  <c r="BF161" i="1"/>
  <c r="BL169" i="1"/>
  <c r="BK169" i="1"/>
  <c r="BQ169" i="1"/>
  <c r="BF169" i="1"/>
  <c r="BQ174" i="1"/>
  <c r="BF174" i="1"/>
  <c r="BZ174" i="1" s="1"/>
  <c r="BL174" i="1"/>
  <c r="BK174" i="1"/>
  <c r="BV171" i="1"/>
  <c r="BX171" i="1" s="1"/>
  <c r="BR171" i="1"/>
  <c r="BT171" i="1" s="1"/>
  <c r="BZ171" i="1"/>
  <c r="BV164" i="1"/>
  <c r="BX164" i="1" s="1"/>
  <c r="BR164" i="1"/>
  <c r="BT164" i="1" s="1"/>
  <c r="BZ164" i="1"/>
  <c r="BF173" i="1"/>
  <c r="BZ173" i="1" s="1"/>
  <c r="BL173" i="1"/>
  <c r="BQ173" i="1"/>
  <c r="BK173" i="1"/>
  <c r="BR175" i="1"/>
  <c r="BT175" i="1" s="1"/>
  <c r="BV175" i="1"/>
  <c r="BX175" i="1" s="1"/>
  <c r="BV184" i="1"/>
  <c r="BX184" i="1" s="1"/>
  <c r="BR184" i="1"/>
  <c r="BT184" i="1" s="1"/>
  <c r="BV188" i="1"/>
  <c r="BX188" i="1" s="1"/>
  <c r="BR188" i="1"/>
  <c r="BT188" i="1" s="1"/>
  <c r="BZ188" i="1"/>
  <c r="BV176" i="1"/>
  <c r="BX176" i="1" s="1"/>
  <c r="BR176" i="1"/>
  <c r="BT176" i="1" s="1"/>
  <c r="BF182" i="1"/>
  <c r="BZ182" i="1" s="1"/>
  <c r="BQ182" i="1"/>
  <c r="BL182" i="1"/>
  <c r="BK182" i="1"/>
  <c r="BV183" i="1"/>
  <c r="BX183" i="1" s="1"/>
  <c r="BR183" i="1"/>
  <c r="BT183" i="1" s="1"/>
  <c r="BV187" i="1"/>
  <c r="BX187" i="1" s="1"/>
  <c r="BR187" i="1"/>
  <c r="BT187" i="1" s="1"/>
  <c r="BI177" i="1"/>
  <c r="BW177" i="1"/>
  <c r="BS177" i="1"/>
  <c r="BL179" i="1"/>
  <c r="BK179" i="1"/>
  <c r="BQ179" i="1"/>
  <c r="BF179" i="1"/>
  <c r="BZ179" i="1" s="1"/>
  <c r="BF181" i="1"/>
  <c r="BZ181" i="1" s="1"/>
  <c r="BL181" i="1"/>
  <c r="BK181" i="1"/>
  <c r="BQ181" i="1"/>
  <c r="BF185" i="1"/>
  <c r="BQ185" i="1"/>
  <c r="BL185" i="1"/>
  <c r="BK185" i="1"/>
  <c r="BV193" i="1"/>
  <c r="BX193" i="1" s="1"/>
  <c r="BR193" i="1"/>
  <c r="BT193" i="1" s="1"/>
  <c r="BZ193" i="1"/>
  <c r="BF190" i="1"/>
  <c r="BZ190" i="1" s="1"/>
  <c r="BQ190" i="1"/>
  <c r="BL190" i="1"/>
  <c r="BK190" i="1"/>
  <c r="BF189" i="1"/>
  <c r="BZ189" i="1" s="1"/>
  <c r="BK189" i="1"/>
  <c r="BQ189" i="1"/>
  <c r="BL189" i="1"/>
  <c r="BQ191" i="1"/>
  <c r="BF191" i="1"/>
  <c r="BZ191" i="1" s="1"/>
  <c r="BL191" i="1"/>
  <c r="BK191" i="1"/>
  <c r="BR194" i="1"/>
  <c r="BT194" i="1" s="1"/>
  <c r="BV194" i="1"/>
  <c r="BX194" i="1" s="1"/>
  <c r="BQ192" i="1"/>
  <c r="BK192" i="1"/>
  <c r="BL192" i="1"/>
  <c r="BF192" i="1"/>
  <c r="BZ192" i="1" s="1"/>
  <c r="BV196" i="1"/>
  <c r="BX196" i="1" s="1"/>
  <c r="BR196" i="1"/>
  <c r="BT196" i="1" s="1"/>
  <c r="BL195" i="1"/>
  <c r="BK195" i="1"/>
  <c r="BQ195" i="1"/>
  <c r="BF195" i="1"/>
  <c r="BZ195" i="1" s="1"/>
  <c r="BV203" i="1"/>
  <c r="BX203" i="1" s="1"/>
  <c r="BR203" i="1"/>
  <c r="BT203" i="1" s="1"/>
  <c r="BR204" i="1"/>
  <c r="BT204" i="1" s="1"/>
  <c r="BV204" i="1"/>
  <c r="BX204" i="1" s="1"/>
  <c r="BL198" i="1"/>
  <c r="BF198" i="1"/>
  <c r="BZ198" i="1" s="1"/>
  <c r="BK198" i="1"/>
  <c r="BQ198" i="1"/>
  <c r="BL205" i="1"/>
  <c r="BQ205" i="1"/>
  <c r="BF205" i="1"/>
  <c r="BZ205" i="1" s="1"/>
  <c r="BK205" i="1"/>
  <c r="BV199" i="1"/>
  <c r="BX199" i="1" s="1"/>
  <c r="BR199" i="1"/>
  <c r="BT199" i="1" s="1"/>
  <c r="BZ199" i="1"/>
  <c r="BV212" i="1"/>
  <c r="BX212" i="1" s="1"/>
  <c r="BR212" i="1"/>
  <c r="BT212" i="1" s="1"/>
  <c r="BZ212" i="1"/>
  <c r="BQ197" i="1"/>
  <c r="BF197" i="1"/>
  <c r="BZ197" i="1" s="1"/>
  <c r="BL197" i="1"/>
  <c r="BK197" i="1"/>
  <c r="BL202" i="1"/>
  <c r="BK202" i="1"/>
  <c r="BQ202" i="1"/>
  <c r="BF202" i="1"/>
  <c r="BZ202" i="1" s="1"/>
  <c r="BV213" i="1"/>
  <c r="BX213" i="1" s="1"/>
  <c r="BR213" i="1"/>
  <c r="BT213" i="1" s="1"/>
  <c r="BQ206" i="1"/>
  <c r="BF206" i="1"/>
  <c r="BK206" i="1"/>
  <c r="BL206" i="1"/>
  <c r="BF200" i="1"/>
  <c r="BZ200" i="1" s="1"/>
  <c r="BQ200" i="1"/>
  <c r="BL200" i="1"/>
  <c r="BK200" i="1"/>
  <c r="BZ217" i="1"/>
  <c r="BR217" i="1"/>
  <c r="BT217" i="1" s="1"/>
  <c r="BV217" i="1"/>
  <c r="BX217" i="1" s="1"/>
  <c r="BL201" i="1"/>
  <c r="BK201" i="1"/>
  <c r="BQ201" i="1"/>
  <c r="BF201" i="1"/>
  <c r="BZ201" i="1" s="1"/>
  <c r="BK210" i="1"/>
  <c r="BF210" i="1"/>
  <c r="BQ210" i="1"/>
  <c r="BL210" i="1"/>
  <c r="BK207" i="1"/>
  <c r="BL207" i="1"/>
  <c r="BQ207" i="1"/>
  <c r="BF207" i="1"/>
  <c r="BZ207" i="1" s="1"/>
  <c r="BK208" i="1"/>
  <c r="BF208" i="1"/>
  <c r="BZ208" i="1" s="1"/>
  <c r="BQ208" i="1"/>
  <c r="BL208" i="1"/>
  <c r="BQ209" i="1"/>
  <c r="BK209" i="1"/>
  <c r="BL209" i="1"/>
  <c r="BF209" i="1"/>
  <c r="BZ209" i="1" s="1"/>
  <c r="BQ214" i="1"/>
  <c r="BF214" i="1"/>
  <c r="BZ214" i="1" s="1"/>
  <c r="BL214" i="1"/>
  <c r="BK214" i="1"/>
  <c r="BR225" i="1"/>
  <c r="BT225" i="1" s="1"/>
  <c r="BV225" i="1"/>
  <c r="BX225" i="1" s="1"/>
  <c r="BR226" i="1"/>
  <c r="BT226" i="1" s="1"/>
  <c r="BV226" i="1"/>
  <c r="BX226" i="1" s="1"/>
  <c r="BV222" i="1"/>
  <c r="BX222" i="1" s="1"/>
  <c r="BR222" i="1"/>
  <c r="BT222" i="1" s="1"/>
  <c r="BQ216" i="1"/>
  <c r="BL216" i="1"/>
  <c r="BK216" i="1"/>
  <c r="BF216" i="1"/>
  <c r="BZ216" i="1" s="1"/>
  <c r="BK219" i="1"/>
  <c r="BQ219" i="1"/>
  <c r="BF219" i="1"/>
  <c r="BZ219" i="1" s="1"/>
  <c r="BL219" i="1"/>
  <c r="BL221" i="1"/>
  <c r="BK221" i="1"/>
  <c r="BQ221" i="1"/>
  <c r="BF221" i="1"/>
  <c r="BZ221" i="1" s="1"/>
  <c r="BZ220" i="1"/>
  <c r="BR220" i="1"/>
  <c r="BT220" i="1" s="1"/>
  <c r="BV220" i="1"/>
  <c r="BX220" i="1" s="1"/>
  <c r="BL211" i="1"/>
  <c r="BK211" i="1"/>
  <c r="BF211" i="1"/>
  <c r="BZ211" i="1" s="1"/>
  <c r="BQ211" i="1"/>
  <c r="BK215" i="1"/>
  <c r="BQ215" i="1"/>
  <c r="BL215" i="1"/>
  <c r="BF215" i="1"/>
  <c r="BZ215" i="1" s="1"/>
  <c r="BQ223" i="1"/>
  <c r="BF223" i="1"/>
  <c r="BZ223" i="1" s="1"/>
  <c r="BL223" i="1"/>
  <c r="BK223" i="1"/>
  <c r="BQ224" i="1"/>
  <c r="BF224" i="1"/>
  <c r="BL224" i="1"/>
  <c r="BK224" i="1"/>
  <c r="BF186" i="1" l="1"/>
  <c r="BQ186" i="1"/>
  <c r="BL186" i="1"/>
  <c r="BK186" i="1"/>
  <c r="BK5" i="1"/>
  <c r="BK3" i="1" s="1"/>
  <c r="BL5" i="1"/>
  <c r="BL3" i="1" s="1"/>
  <c r="BQ5" i="1"/>
  <c r="BF5" i="1"/>
  <c r="BL27" i="1"/>
  <c r="BK27" i="1"/>
  <c r="BF27" i="1"/>
  <c r="BQ27" i="1"/>
  <c r="BF19" i="1"/>
  <c r="BQ19" i="1"/>
  <c r="BL19" i="1"/>
  <c r="BK19" i="1"/>
  <c r="BK28" i="1"/>
  <c r="BQ28" i="1"/>
  <c r="BL28" i="1"/>
  <c r="BF28" i="1"/>
  <c r="BF178" i="1"/>
  <c r="BK178" i="1"/>
  <c r="BL178" i="1"/>
  <c r="BQ178" i="1"/>
  <c r="BQ180" i="1"/>
  <c r="BF180" i="1"/>
  <c r="BK180" i="1"/>
  <c r="BL180" i="1"/>
  <c r="BK13" i="1"/>
  <c r="BQ13" i="1"/>
  <c r="BF13" i="1"/>
  <c r="BN13" i="1"/>
  <c r="BL13" i="1"/>
  <c r="BQ11" i="1"/>
  <c r="BF11" i="1"/>
  <c r="BN11" i="1"/>
  <c r="BZ11" i="1" s="1"/>
  <c r="BL11" i="1"/>
  <c r="BK11" i="1"/>
  <c r="BL98" i="1"/>
  <c r="BK98" i="1"/>
  <c r="BF98" i="1"/>
  <c r="BQ98" i="1"/>
  <c r="BQ21" i="1"/>
  <c r="BF21" i="1"/>
  <c r="BL21" i="1"/>
  <c r="BK21" i="1"/>
  <c r="BF59" i="1"/>
  <c r="BQ59" i="1"/>
  <c r="BL59" i="1"/>
  <c r="BK59" i="1"/>
  <c r="BQ63" i="1"/>
  <c r="BF63" i="1"/>
  <c r="BL63" i="1"/>
  <c r="BK63" i="1"/>
  <c r="BV122" i="1"/>
  <c r="BX122" i="1" s="1"/>
  <c r="BR122" i="1"/>
  <c r="BT122" i="1" s="1"/>
  <c r="BZ122" i="1"/>
  <c r="BK14" i="1"/>
  <c r="BL14" i="1"/>
  <c r="BQ14" i="1"/>
  <c r="BF14" i="1"/>
  <c r="BV50" i="1"/>
  <c r="BX50" i="1" s="1"/>
  <c r="BR50" i="1"/>
  <c r="BT50" i="1" s="1"/>
  <c r="BZ50" i="1"/>
  <c r="BL6" i="1"/>
  <c r="BQ6" i="1"/>
  <c r="BF6" i="1"/>
  <c r="BN6" i="1"/>
  <c r="BZ6" i="1" s="1"/>
  <c r="BK6" i="1"/>
  <c r="BI3" i="1"/>
  <c r="BR218" i="1"/>
  <c r="BT218" i="1" s="1"/>
  <c r="BZ73" i="1"/>
  <c r="BK148" i="1"/>
  <c r="BF148" i="1"/>
  <c r="BL148" i="1"/>
  <c r="BQ148" i="1"/>
  <c r="BL81" i="1"/>
  <c r="BK81" i="1"/>
  <c r="BQ81" i="1"/>
  <c r="BF81" i="1"/>
  <c r="BZ38" i="1"/>
  <c r="BR38" i="1"/>
  <c r="BT38" i="1" s="1"/>
  <c r="BV38" i="1"/>
  <c r="BX38" i="1" s="1"/>
  <c r="BF80" i="1"/>
  <c r="BL80" i="1"/>
  <c r="BQ80" i="1"/>
  <c r="BK80" i="1"/>
  <c r="BF22" i="1"/>
  <c r="BL22" i="1"/>
  <c r="BK22" i="1"/>
  <c r="BQ22" i="1"/>
  <c r="BF139" i="1"/>
  <c r="BQ139" i="1"/>
  <c r="BL139" i="1"/>
  <c r="BK139" i="1"/>
  <c r="BQ26" i="1"/>
  <c r="BK26" i="1"/>
  <c r="BL26" i="1"/>
  <c r="BF26" i="1"/>
  <c r="BN9" i="1"/>
  <c r="BZ9" i="1" s="1"/>
  <c r="BF9" i="1"/>
  <c r="BL9" i="1"/>
  <c r="BK9" i="1"/>
  <c r="BQ9" i="1"/>
  <c r="BR18" i="1"/>
  <c r="BT18" i="1" s="1"/>
  <c r="BV18" i="1"/>
  <c r="BX18" i="1" s="1"/>
  <c r="BZ18" i="1"/>
  <c r="BV128" i="1"/>
  <c r="BX128" i="1" s="1"/>
  <c r="BZ128" i="1"/>
  <c r="BR128" i="1"/>
  <c r="BT128" i="1" s="1"/>
  <c r="BK31" i="1"/>
  <c r="BQ31" i="1"/>
  <c r="BF31" i="1"/>
  <c r="BL31" i="1"/>
  <c r="BR7" i="1"/>
  <c r="BT7" i="1" s="1"/>
  <c r="BV7" i="1"/>
  <c r="BX7" i="1" s="1"/>
  <c r="BZ7" i="1"/>
  <c r="BV218" i="1"/>
  <c r="BX218" i="1" s="1"/>
  <c r="BL15" i="1"/>
  <c r="BK15" i="1"/>
  <c r="BF15" i="1"/>
  <c r="BQ15" i="1"/>
  <c r="BR16" i="1"/>
  <c r="BT16" i="1" s="1"/>
  <c r="BV16" i="1"/>
  <c r="BX16" i="1" s="1"/>
  <c r="BZ16" i="1"/>
  <c r="BQ12" i="1"/>
  <c r="BL12" i="1"/>
  <c r="BK12" i="1"/>
  <c r="BF12" i="1"/>
  <c r="BN12" i="1"/>
  <c r="BZ12" i="1" s="1"/>
  <c r="BV39" i="1"/>
  <c r="BX39" i="1" s="1"/>
  <c r="BR39" i="1"/>
  <c r="BT39" i="1" s="1"/>
  <c r="BZ39" i="1"/>
  <c r="BF35" i="1"/>
  <c r="BZ35" i="1" s="1"/>
  <c r="BL35" i="1"/>
  <c r="BK35" i="1"/>
  <c r="BQ35" i="1"/>
  <c r="BV30" i="1"/>
  <c r="BX30" i="1" s="1"/>
  <c r="BZ30" i="1"/>
  <c r="BZ114" i="1"/>
  <c r="BV114" i="1"/>
  <c r="BX114" i="1" s="1"/>
  <c r="BR114" i="1"/>
  <c r="BT114" i="1" s="1"/>
  <c r="BR109" i="1"/>
  <c r="BT109" i="1" s="1"/>
  <c r="BV109" i="1"/>
  <c r="BX109" i="1" s="1"/>
  <c r="BV104" i="1"/>
  <c r="BX104" i="1" s="1"/>
  <c r="BZ104" i="1"/>
  <c r="BR104" i="1"/>
  <c r="BT104" i="1" s="1"/>
  <c r="BR110" i="1"/>
  <c r="BT110" i="1" s="1"/>
  <c r="BV110" i="1"/>
  <c r="BX110" i="1" s="1"/>
  <c r="BV108" i="1"/>
  <c r="BX108" i="1" s="1"/>
  <c r="BZ108" i="1"/>
  <c r="BR108" i="1"/>
  <c r="BT108" i="1" s="1"/>
  <c r="BR102" i="1"/>
  <c r="BT102" i="1" s="1"/>
  <c r="BV102" i="1"/>
  <c r="BX102" i="1" s="1"/>
  <c r="BV107" i="1"/>
  <c r="BX107" i="1" s="1"/>
  <c r="BZ107" i="1"/>
  <c r="BR107" i="1"/>
  <c r="BT107" i="1" s="1"/>
  <c r="BR97" i="1"/>
  <c r="BT97" i="1" s="1"/>
  <c r="BV97" i="1"/>
  <c r="BX97" i="1" s="1"/>
  <c r="BR94" i="1"/>
  <c r="BT94" i="1" s="1"/>
  <c r="BV94" i="1"/>
  <c r="BX94" i="1" s="1"/>
  <c r="BR86" i="1"/>
  <c r="BT86" i="1" s="1"/>
  <c r="BV86" i="1"/>
  <c r="BX86" i="1" s="1"/>
  <c r="BV106" i="1"/>
  <c r="BX106" i="1" s="1"/>
  <c r="BR106" i="1"/>
  <c r="BT106" i="1" s="1"/>
  <c r="BZ106" i="1"/>
  <c r="BV95" i="1"/>
  <c r="BX95" i="1" s="1"/>
  <c r="BR95" i="1"/>
  <c r="BT95" i="1" s="1"/>
  <c r="BR85" i="1"/>
  <c r="BT85" i="1" s="1"/>
  <c r="BZ85" i="1"/>
  <c r="BV85" i="1"/>
  <c r="BX85" i="1" s="1"/>
  <c r="BR87" i="1"/>
  <c r="BT87" i="1" s="1"/>
  <c r="BV87" i="1"/>
  <c r="BX87" i="1" s="1"/>
  <c r="BV90" i="1"/>
  <c r="BX90" i="1" s="1"/>
  <c r="BR90" i="1"/>
  <c r="BT90" i="1" s="1"/>
  <c r="BV82" i="1"/>
  <c r="BX82" i="1" s="1"/>
  <c r="BR82" i="1"/>
  <c r="BT82" i="1" s="1"/>
  <c r="BZ82" i="1"/>
  <c r="BR79" i="1"/>
  <c r="BT79" i="1" s="1"/>
  <c r="BV79" i="1"/>
  <c r="BX79" i="1" s="1"/>
  <c r="BR77" i="1"/>
  <c r="BT77" i="1" s="1"/>
  <c r="BZ77" i="1"/>
  <c r="BV77" i="1"/>
  <c r="BX77" i="1" s="1"/>
  <c r="BV78" i="1"/>
  <c r="BX78" i="1" s="1"/>
  <c r="BR78" i="1"/>
  <c r="BT78" i="1" s="1"/>
  <c r="BV69" i="1"/>
  <c r="BX69" i="1" s="1"/>
  <c r="BZ69" i="1"/>
  <c r="BR69" i="1"/>
  <c r="BT69" i="1" s="1"/>
  <c r="BV72" i="1"/>
  <c r="BX72" i="1" s="1"/>
  <c r="BR72" i="1"/>
  <c r="BT72" i="1" s="1"/>
  <c r="BZ72" i="1"/>
  <c r="BV73" i="1"/>
  <c r="BX73" i="1" s="1"/>
  <c r="BR73" i="1"/>
  <c r="BT73" i="1" s="1"/>
  <c r="BV64" i="1"/>
  <c r="BX64" i="1" s="1"/>
  <c r="BR64" i="1"/>
  <c r="BT64" i="1" s="1"/>
  <c r="BV71" i="1"/>
  <c r="BX71" i="1" s="1"/>
  <c r="BZ71" i="1"/>
  <c r="BR71" i="1"/>
  <c r="BT71" i="1" s="1"/>
  <c r="BR61" i="1"/>
  <c r="BT61" i="1" s="1"/>
  <c r="BV61" i="1"/>
  <c r="BX61" i="1" s="1"/>
  <c r="BV54" i="1"/>
  <c r="BX54" i="1" s="1"/>
  <c r="BR54" i="1"/>
  <c r="BT54" i="1" s="1"/>
  <c r="BZ224" i="1"/>
  <c r="BR224" i="1"/>
  <c r="BT224" i="1" s="1"/>
  <c r="BV224" i="1"/>
  <c r="BX224" i="1" s="1"/>
  <c r="BV223" i="1"/>
  <c r="BX223" i="1" s="1"/>
  <c r="BR223" i="1"/>
  <c r="BT223" i="1" s="1"/>
  <c r="BR215" i="1"/>
  <c r="BT215" i="1" s="1"/>
  <c r="BV215" i="1"/>
  <c r="BX215" i="1" s="1"/>
  <c r="BR211" i="1"/>
  <c r="BT211" i="1" s="1"/>
  <c r="BV211" i="1"/>
  <c r="BX211" i="1" s="1"/>
  <c r="BV221" i="1"/>
  <c r="BX221" i="1" s="1"/>
  <c r="BR221" i="1"/>
  <c r="BT221" i="1" s="1"/>
  <c r="BR219" i="1"/>
  <c r="BT219" i="1" s="1"/>
  <c r="BV219" i="1"/>
  <c r="BX219" i="1" s="1"/>
  <c r="BV216" i="1"/>
  <c r="BX216" i="1" s="1"/>
  <c r="BR216" i="1"/>
  <c r="BT216" i="1" s="1"/>
  <c r="BR214" i="1"/>
  <c r="BT214" i="1" s="1"/>
  <c r="BV214" i="1"/>
  <c r="BX214" i="1" s="1"/>
  <c r="BV209" i="1"/>
  <c r="BX209" i="1" s="1"/>
  <c r="BR209" i="1"/>
  <c r="BT209" i="1" s="1"/>
  <c r="BV208" i="1"/>
  <c r="BX208" i="1" s="1"/>
  <c r="BR208" i="1"/>
  <c r="BT208" i="1" s="1"/>
  <c r="BR207" i="1"/>
  <c r="BT207" i="1" s="1"/>
  <c r="BV207" i="1"/>
  <c r="BX207" i="1" s="1"/>
  <c r="BV210" i="1"/>
  <c r="BX210" i="1" s="1"/>
  <c r="BR210" i="1"/>
  <c r="BT210" i="1" s="1"/>
  <c r="BZ210" i="1"/>
  <c r="BV201" i="1"/>
  <c r="BX201" i="1" s="1"/>
  <c r="BR201" i="1"/>
  <c r="BT201" i="1" s="1"/>
  <c r="BV200" i="1"/>
  <c r="BX200" i="1" s="1"/>
  <c r="BR200" i="1"/>
  <c r="BT200" i="1" s="1"/>
  <c r="BR206" i="1"/>
  <c r="BT206" i="1" s="1"/>
  <c r="BZ206" i="1"/>
  <c r="BV206" i="1"/>
  <c r="BX206" i="1" s="1"/>
  <c r="BR202" i="1"/>
  <c r="BT202" i="1" s="1"/>
  <c r="BV202" i="1"/>
  <c r="BX202" i="1" s="1"/>
  <c r="BV197" i="1"/>
  <c r="BX197" i="1" s="1"/>
  <c r="BR197" i="1"/>
  <c r="BT197" i="1" s="1"/>
  <c r="BR205" i="1"/>
  <c r="BT205" i="1" s="1"/>
  <c r="BV205" i="1"/>
  <c r="BX205" i="1" s="1"/>
  <c r="BV198" i="1"/>
  <c r="BX198" i="1" s="1"/>
  <c r="BR198" i="1"/>
  <c r="BT198" i="1" s="1"/>
  <c r="BR195" i="1"/>
  <c r="BT195" i="1" s="1"/>
  <c r="BV195" i="1"/>
  <c r="BX195" i="1" s="1"/>
  <c r="BR192" i="1"/>
  <c r="BT192" i="1" s="1"/>
  <c r="BV192" i="1"/>
  <c r="BX192" i="1" s="1"/>
  <c r="BR191" i="1"/>
  <c r="BT191" i="1" s="1"/>
  <c r="BV191" i="1"/>
  <c r="BX191" i="1" s="1"/>
  <c r="BV189" i="1"/>
  <c r="BX189" i="1" s="1"/>
  <c r="BR189" i="1"/>
  <c r="BT189" i="1" s="1"/>
  <c r="BR190" i="1"/>
  <c r="BT190" i="1" s="1"/>
  <c r="BV190" i="1"/>
  <c r="BX190" i="1" s="1"/>
  <c r="BZ185" i="1"/>
  <c r="BV185" i="1"/>
  <c r="BX185" i="1" s="1"/>
  <c r="BR185" i="1"/>
  <c r="BT185" i="1" s="1"/>
  <c r="BV181" i="1"/>
  <c r="BX181" i="1" s="1"/>
  <c r="BR181" i="1"/>
  <c r="BT181" i="1" s="1"/>
  <c r="BV179" i="1"/>
  <c r="BX179" i="1" s="1"/>
  <c r="BR179" i="1"/>
  <c r="BT179" i="1" s="1"/>
  <c r="BL177" i="1"/>
  <c r="BK177" i="1"/>
  <c r="BQ177" i="1"/>
  <c r="BF177" i="1"/>
  <c r="BZ177" i="1" s="1"/>
  <c r="BR182" i="1"/>
  <c r="BT182" i="1" s="1"/>
  <c r="BV182" i="1"/>
  <c r="BX182" i="1" s="1"/>
  <c r="BV173" i="1"/>
  <c r="BX173" i="1" s="1"/>
  <c r="BR173" i="1"/>
  <c r="BT173" i="1" s="1"/>
  <c r="BR174" i="1"/>
  <c r="BT174" i="1" s="1"/>
  <c r="BV174" i="1"/>
  <c r="BX174" i="1" s="1"/>
  <c r="BV169" i="1"/>
  <c r="BX169" i="1" s="1"/>
  <c r="BZ169" i="1"/>
  <c r="BR169" i="1"/>
  <c r="BT169" i="1" s="1"/>
  <c r="BV161" i="1"/>
  <c r="BX161" i="1" s="1"/>
  <c r="BR161" i="1"/>
  <c r="BT161" i="1" s="1"/>
  <c r="BZ161" i="1"/>
  <c r="BV172" i="1"/>
  <c r="BX172" i="1" s="1"/>
  <c r="BZ172" i="1"/>
  <c r="BR172" i="1"/>
  <c r="BT172" i="1" s="1"/>
  <c r="BV170" i="1"/>
  <c r="BX170" i="1" s="1"/>
  <c r="BZ170" i="1"/>
  <c r="BR170" i="1"/>
  <c r="BT170" i="1" s="1"/>
  <c r="BV150" i="1"/>
  <c r="BX150" i="1" s="1"/>
  <c r="BR150" i="1"/>
  <c r="BT150" i="1" s="1"/>
  <c r="BV160" i="1"/>
  <c r="BX160" i="1" s="1"/>
  <c r="BR160" i="1"/>
  <c r="BT160" i="1" s="1"/>
  <c r="BZ160" i="1"/>
  <c r="BV154" i="1"/>
  <c r="BX154" i="1" s="1"/>
  <c r="BR154" i="1"/>
  <c r="BT154" i="1" s="1"/>
  <c r="BZ154" i="1"/>
  <c r="BV141" i="1"/>
  <c r="BX141" i="1" s="1"/>
  <c r="BR141" i="1"/>
  <c r="BT141" i="1" s="1"/>
  <c r="BV156" i="1"/>
  <c r="BX156" i="1" s="1"/>
  <c r="BR156" i="1"/>
  <c r="BT156" i="1" s="1"/>
  <c r="BZ156" i="1"/>
  <c r="BV155" i="1"/>
  <c r="BX155" i="1" s="1"/>
  <c r="BR155" i="1"/>
  <c r="BT155" i="1" s="1"/>
  <c r="BZ155" i="1"/>
  <c r="BV147" i="1"/>
  <c r="BX147" i="1" s="1"/>
  <c r="BZ147" i="1"/>
  <c r="BR147" i="1"/>
  <c r="BT147" i="1" s="1"/>
  <c r="BV145" i="1"/>
  <c r="BX145" i="1" s="1"/>
  <c r="BR145" i="1"/>
  <c r="BT145" i="1" s="1"/>
  <c r="BV144" i="1"/>
  <c r="BX144" i="1" s="1"/>
  <c r="BR144" i="1"/>
  <c r="BT144" i="1" s="1"/>
  <c r="BR142" i="1"/>
  <c r="BT142" i="1" s="1"/>
  <c r="BV142" i="1"/>
  <c r="BX142" i="1" s="1"/>
  <c r="BR22" i="1" l="1"/>
  <c r="BT22" i="1" s="1"/>
  <c r="BZ22" i="1"/>
  <c r="BV22" i="1"/>
  <c r="BX22" i="1" s="1"/>
  <c r="BZ81" i="1"/>
  <c r="BV81" i="1"/>
  <c r="BX81" i="1" s="1"/>
  <c r="BR81" i="1"/>
  <c r="BT81" i="1" s="1"/>
  <c r="BZ13" i="1"/>
  <c r="BV5" i="1"/>
  <c r="BR5" i="1"/>
  <c r="BF3" i="1"/>
  <c r="BZ5" i="1"/>
  <c r="BZ3" i="1" s="1"/>
  <c r="BZ59" i="1"/>
  <c r="BV59" i="1"/>
  <c r="BX59" i="1" s="1"/>
  <c r="BR59" i="1"/>
  <c r="BT59" i="1" s="1"/>
  <c r="BR13" i="1"/>
  <c r="BT13" i="1" s="1"/>
  <c r="BV13" i="1"/>
  <c r="BX13" i="1" s="1"/>
  <c r="BV9" i="1"/>
  <c r="BX9" i="1" s="1"/>
  <c r="BR9" i="1"/>
  <c r="BT9" i="1" s="1"/>
  <c r="BV14" i="1"/>
  <c r="BX14" i="1" s="1"/>
  <c r="BR14" i="1"/>
  <c r="BT14" i="1" s="1"/>
  <c r="BZ14" i="1"/>
  <c r="BZ178" i="1"/>
  <c r="BV178" i="1"/>
  <c r="BX178" i="1" s="1"/>
  <c r="BR178" i="1"/>
  <c r="BT178" i="1" s="1"/>
  <c r="BV19" i="1"/>
  <c r="BX19" i="1" s="1"/>
  <c r="BR19" i="1"/>
  <c r="BT19" i="1" s="1"/>
  <c r="BZ19" i="1"/>
  <c r="BZ139" i="1"/>
  <c r="BR139" i="1"/>
  <c r="BT139" i="1" s="1"/>
  <c r="BV139" i="1"/>
  <c r="BX139" i="1" s="1"/>
  <c r="BZ80" i="1"/>
  <c r="BV80" i="1"/>
  <c r="BX80" i="1" s="1"/>
  <c r="BR80" i="1"/>
  <c r="BT80" i="1" s="1"/>
  <c r="BZ63" i="1"/>
  <c r="BR63" i="1"/>
  <c r="BT63" i="1" s="1"/>
  <c r="BV63" i="1"/>
  <c r="BX63" i="1" s="1"/>
  <c r="BV21" i="1"/>
  <c r="BX21" i="1" s="1"/>
  <c r="BZ21" i="1"/>
  <c r="BR21" i="1"/>
  <c r="BT21" i="1" s="1"/>
  <c r="BV28" i="1"/>
  <c r="BX28" i="1" s="1"/>
  <c r="BZ28" i="1"/>
  <c r="BR28" i="1"/>
  <c r="BT28" i="1" s="1"/>
  <c r="BV26" i="1"/>
  <c r="BX26" i="1" s="1"/>
  <c r="BR26" i="1"/>
  <c r="BT26" i="1" s="1"/>
  <c r="BZ26" i="1"/>
  <c r="BR6" i="1"/>
  <c r="BT6" i="1" s="1"/>
  <c r="BV6" i="1"/>
  <c r="BX6" i="1" s="1"/>
  <c r="BR11" i="1"/>
  <c r="BT11" i="1" s="1"/>
  <c r="BV11" i="1"/>
  <c r="BX11" i="1" s="1"/>
  <c r="BZ27" i="1"/>
  <c r="BV27" i="1"/>
  <c r="BX27" i="1" s="1"/>
  <c r="BR27" i="1"/>
  <c r="BT27" i="1" s="1"/>
  <c r="BZ148" i="1"/>
  <c r="BV148" i="1"/>
  <c r="BX148" i="1" s="1"/>
  <c r="BR148" i="1"/>
  <c r="BT148" i="1" s="1"/>
  <c r="BZ180" i="1"/>
  <c r="BV180" i="1"/>
  <c r="BX180" i="1" s="1"/>
  <c r="BR180" i="1"/>
  <c r="BT180" i="1" s="1"/>
  <c r="BR12" i="1"/>
  <c r="BT12" i="1" s="1"/>
  <c r="BV12" i="1"/>
  <c r="BX12" i="1" s="1"/>
  <c r="BV15" i="1"/>
  <c r="BX15" i="1" s="1"/>
  <c r="BR15" i="1"/>
  <c r="BT15" i="1" s="1"/>
  <c r="BZ15" i="1"/>
  <c r="BR31" i="1"/>
  <c r="BT31" i="1" s="1"/>
  <c r="BV31" i="1"/>
  <c r="BX31" i="1" s="1"/>
  <c r="BZ31" i="1"/>
  <c r="BZ98" i="1"/>
  <c r="BV98" i="1"/>
  <c r="BX98" i="1" s="1"/>
  <c r="BR98" i="1"/>
  <c r="BT98" i="1" s="1"/>
  <c r="BZ186" i="1"/>
  <c r="BR186" i="1"/>
  <c r="BT186" i="1" s="1"/>
  <c r="BV186" i="1"/>
  <c r="BX186" i="1" s="1"/>
  <c r="BV35" i="1"/>
  <c r="BX35" i="1" s="1"/>
  <c r="BR35" i="1"/>
  <c r="BT35" i="1" s="1"/>
  <c r="BR177" i="1"/>
  <c r="BT177" i="1" s="1"/>
  <c r="BV177" i="1"/>
  <c r="BX177" i="1" s="1"/>
  <c r="BX5" i="1" l="1"/>
  <c r="BX3" i="1" s="1"/>
  <c r="BV3" i="1"/>
  <c r="BT5" i="1"/>
  <c r="BT3" i="1" s="1"/>
  <c r="BR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Elza LONGCHAMPS</author>
    <author>Elza Longchamps</author>
    <author>Lilia AGREBI</author>
    <author>Eugénie CLAUS</author>
  </authors>
  <commentList>
    <comment ref="D4" authorId="0" shapeId="0" xr:uid="{15753BF1-E065-413C-8049-DDE15639E3D8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demander à TRO pour les nvx projets</t>
        </r>
      </text>
    </comment>
    <comment ref="T4" authorId="1" shapeId="0" xr:uid="{B887A9A5-6536-4639-9725-6AFA339960DD}">
      <text>
        <r>
          <rPr>
            <sz val="8"/>
            <color indexed="81"/>
            <rFont val="Tahoma"/>
            <family val="2"/>
          </rPr>
          <t xml:space="preserve"> formule prenant en compte provisions  </t>
        </r>
      </text>
    </comment>
    <comment ref="AJ4" authorId="1" shapeId="0" xr:uid="{84EACFE5-57ED-4337-B957-D22877AB7F4E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fnp à rajouter après vérif</t>
        </r>
      </text>
    </comment>
    <comment ref="P10" authorId="2" shapeId="0" xr:uid="{37093B7D-EB55-49AB-B871-22C4F6F402FD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facturation supérieur au budget</t>
        </r>
      </text>
    </comment>
    <comment ref="AI10" authorId="0" shapeId="0" xr:uid="{A39A040C-7540-44B7-B00F-8741C7368B4F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en attente annulation BC2780</t>
        </r>
      </text>
    </comment>
    <comment ref="P15" authorId="1" shapeId="0" xr:uid="{4290CB31-C37F-484A-893D-79E90537BFA1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avenant reçu MSU à transmettre aux ADV</t>
        </r>
      </text>
    </comment>
    <comment ref="W18" authorId="0" shapeId="0" xr:uid="{2707E64A-F384-4771-AE12-A601B170EAF7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10776 attendus</t>
        </r>
      </text>
    </comment>
    <comment ref="Z18" authorId="2" shapeId="0" xr:uid="{09FB244A-A5CE-4229-BA1F-5422FB0FC4E7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42h de RAF dont 15h pour l'event </t>
        </r>
      </text>
    </comment>
    <comment ref="AC18" authorId="0" shapeId="0" xr:uid="{A2BED3D7-1D90-4943-9B1C-733E21647896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1034504,61 attendus</t>
        </r>
      </text>
    </comment>
    <comment ref="AG18" authorId="0" shapeId="0" xr:uid="{B90EA176-A3EF-45DB-A044-AA06A8DDC6B7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502487€ attendus</t>
        </r>
      </text>
    </comment>
    <comment ref="BC18" authorId="0" shapeId="0" xr:uid="{7B95EB91-67B5-4EF5-B593-8D2FD13EBEEF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prob. Hrs MCO 145 + garantie</t>
        </r>
      </text>
    </comment>
    <comment ref="BC23" authorId="0" shapeId="0" xr:uid="{2ABEE473-3CE5-4BC3-910E-9CA63800361D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10.23 : réduction de 300k€ à 210k€</t>
        </r>
      </text>
    </comment>
    <comment ref="BO23" authorId="0" shapeId="0" xr:uid="{7BE6F79A-C1AE-429E-B9E3-4A66C79D7A2E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reduction PPR du 31/10/23</t>
        </r>
      </text>
    </comment>
    <comment ref="P27" authorId="2" shapeId="0" xr:uid="{973844AD-44C1-4A71-A3F6-F95586F0E7CA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ajout 16Ke en attente commande supplémentaire</t>
        </r>
      </text>
    </comment>
    <comment ref="AX27" authorId="3" shapeId="0" xr:uid="{384B0F83-3585-4343-AA2B-65D6301ECE3C}">
      <text>
        <r>
          <rPr>
            <b/>
            <sz val="9"/>
            <color indexed="81"/>
            <rFont val="Tahoma"/>
            <family val="2"/>
          </rPr>
          <t>Eugénie CLAUS:</t>
        </r>
        <r>
          <rPr>
            <sz val="9"/>
            <color indexed="81"/>
            <rFont val="Tahoma"/>
            <family val="2"/>
          </rPr>
          <t xml:space="preserve">
Confirmation : mauvaise ligne (-M)</t>
        </r>
      </text>
    </comment>
    <comment ref="AX31" authorId="0" shapeId="0" xr:uid="{851253B4-8F86-4FA3-8C28-95B49D556357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code famille mission à compléter dépense Navan Turkie</t>
        </r>
      </text>
    </comment>
    <comment ref="AM33" authorId="0" shapeId="0" xr:uid="{DBDFA848-5A65-44A0-83D4-C6417B01DA80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activité supp avenger</t>
        </r>
      </text>
    </comment>
    <comment ref="AI35" authorId="0" shapeId="0" xr:uid="{7CBE5685-B959-4EBF-BDAD-8A3D3020B202}">
      <text>
        <r>
          <rPr>
            <b/>
            <sz val="9"/>
            <color indexed="81"/>
            <rFont val="Tahoma"/>
            <charset val="1"/>
          </rPr>
          <t>Elza LONGCHAMPS:</t>
        </r>
        <r>
          <rPr>
            <sz val="9"/>
            <color indexed="81"/>
            <rFont val="Tahoma"/>
            <charset val="1"/>
          </rPr>
          <t xml:space="preserve">
commande MAP jusqu'à fin jul25 en attente régul jun</t>
        </r>
      </text>
    </comment>
    <comment ref="AI46" authorId="0" shapeId="0" xr:uid="{A593C003-4CEE-45B9-A76D-5F38D0F29131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facture sans BC Eurocontrol</t>
        </r>
      </text>
    </comment>
    <comment ref="AM46" authorId="0" shapeId="0" xr:uid="{6BD9EA53-BD7A-4C40-BC74-2F8603689867}">
      <text>
        <r>
          <rPr>
            <b/>
            <sz val="9"/>
            <color indexed="81"/>
            <rFont val="Tahoma"/>
            <charset val="1"/>
          </rPr>
          <t>Elza LONGCHAMPS:</t>
        </r>
        <r>
          <rPr>
            <sz val="9"/>
            <color indexed="81"/>
            <rFont val="Tahoma"/>
            <charset val="1"/>
          </rPr>
          <t xml:space="preserve">
dernier vol avant départ fin juin</t>
        </r>
      </text>
    </comment>
    <comment ref="AP46" authorId="0" shapeId="0" xr:uid="{AA085710-AA87-4BBE-BE94-314CB80442C4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pour couvrir activité 145 AEB
</t>
        </r>
      </text>
    </comment>
    <comment ref="AR48" authorId="0" shapeId="0" xr:uid="{A78C62AB-E809-464A-9C24-8A14B93BCCE2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18k€ passés 03/04 + 50k€ (support tablette/autres)
</t>
        </r>
      </text>
    </comment>
    <comment ref="BC48" authorId="0" shapeId="0" xr:uid="{3595C9D5-45D6-41C8-A643-6056318D54D1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pour éventuelles pénalités de retard 500€/j sur 30j</t>
        </r>
      </text>
    </comment>
    <comment ref="P56" authorId="2" shapeId="0" xr:uid="{BFEC1BF4-B5D4-4FF3-97C9-37C068B898FF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attente nouvelle commande 8100€</t>
        </r>
      </text>
    </comment>
    <comment ref="AG60" authorId="0" shapeId="0" xr:uid="{CF5E8C88-70F4-4CE6-ADFB-5D8676122E8C}">
      <text>
        <r>
          <rPr>
            <b/>
            <sz val="9"/>
            <color indexed="81"/>
            <rFont val="Tahoma"/>
            <charset val="1"/>
          </rPr>
          <t>Elza LONGCHAMPS:</t>
        </r>
        <r>
          <rPr>
            <sz val="9"/>
            <color indexed="81"/>
            <rFont val="Tahoma"/>
            <charset val="1"/>
          </rPr>
          <t xml:space="preserve">
PPR de 6024€ reprise</t>
        </r>
      </text>
    </comment>
    <comment ref="Z61" authorId="0" shapeId="0" xr:uid="{A60F7859-AE43-4945-889B-4A16648368CF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y compris 282hrs en DHOA = PPR</t>
        </r>
      </text>
    </comment>
    <comment ref="AI61" authorId="0" shapeId="0" xr:uid="{5F06BD0B-24AC-40B3-9F88-74590AA5F2E1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discount de 90k$ appliqué sous nv BC d'avril</t>
        </r>
      </text>
    </comment>
    <comment ref="AM61" authorId="0" shapeId="0" xr:uid="{B3031D1F-3E5F-444B-83A9-333AD8AC4FD8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missions octobre déduites - refacturées hors budget</t>
        </r>
      </text>
    </comment>
    <comment ref="AX61" authorId="0" shapeId="0" xr:uid="{4CE5B4EC-1812-4DC7-B0C4-358BDE85AD53}">
      <text>
        <r>
          <rPr>
            <b/>
            <sz val="9"/>
            <color indexed="81"/>
            <rFont val="Tahoma"/>
            <family val="2"/>
          </rPr>
          <t>voyage qualité : 
facture avion + facture hotels + estimation frais repas</t>
        </r>
      </text>
    </comment>
    <comment ref="BN63" authorId="0" shapeId="0" xr:uid="{234509BA-6FC3-49F1-A55F-C3E75A9625C7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Effectivement, comme vu ce jour, je pense que seuls les NRC et 2 kits maxi passeront en 2023 sur la H160GN. 
Soit NRC 185k€ (NRC) + 52k€ x 2 (RC)
mail PDA 20/03/23</t>
        </r>
      </text>
    </comment>
    <comment ref="P75" authorId="0" shapeId="0" xr:uid="{FAE0EA84-9149-4FA5-9911-77CB91902924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avec proba obtention 
</t>
        </r>
      </text>
    </comment>
    <comment ref="AP81" authorId="0" shapeId="0" xr:uid="{25928E16-52CC-4E80-A086-A686B5EFEDDD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BC2694 disparu dans Clipper</t>
        </r>
      </text>
    </comment>
    <comment ref="Q86" authorId="2" shapeId="0" xr:uid="{1C47B213-CD47-48AB-A985-E2DC9A010D87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devis passe de 18 à 16K$</t>
        </r>
      </text>
    </comment>
    <comment ref="AY88" authorId="2" shapeId="0" xr:uid="{83E2D738-B291-4B21-ACA5-691D1654DA8A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600 frais 3ème moins les 180 déjà passé en note de frais</t>
        </r>
      </text>
    </comment>
    <comment ref="BI88" authorId="0" shapeId="0" xr:uid="{10AA7F51-8227-499E-BC42-429AAB80DA19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aligné sur données Facturation</t>
        </r>
      </text>
    </comment>
    <comment ref="AI89" authorId="0" shapeId="0" xr:uid="{00838DF4-1757-4BCB-92BE-AA9A09010970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en attendant cmde BAZ vers AE pour 89hrs voyage</t>
        </r>
      </text>
    </comment>
    <comment ref="AM89" authorId="0" shapeId="0" xr:uid="{85C7CF04-F359-4DE3-BA1F-A7F316ACAA28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20600 RAF à fin avril
-4600 en attente commande OT int</t>
        </r>
      </text>
    </comment>
    <comment ref="AP89" authorId="2" shapeId="0" xr:uid="{943260FC-876B-46B9-B226-6CF2D2248150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4600 ajout manuel attete commande</t>
        </r>
      </text>
    </comment>
    <comment ref="AC92" authorId="0" shapeId="0" xr:uid="{B78351C1-317F-4D55-A123-82017E21F45E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+ Bon Pour Accord heures avril (477) et mai (256)
</t>
        </r>
      </text>
    </comment>
    <comment ref="AG92" authorId="0" shapeId="0" xr:uid="{77410CB4-F2F8-48D9-9691-D0DFDDC4D94D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+251k€ Portalliance margés à 20%
67 728€ facture mars ajouté au budget en attendant la MAJ de la commande
+40796 FNP avril
+50000 estimation FNP mai</t>
        </r>
      </text>
    </comment>
    <comment ref="AJ92" authorId="2" shapeId="0" xr:uid="{1D416731-05F4-4EC2-B499-8681DED3F00D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67 728€ facture mars expleo (ajout manuel pour matcher la compta - sera ok en juin)</t>
        </r>
      </text>
    </comment>
    <comment ref="Z96" authorId="0" shapeId="0" xr:uid="{3667406F-FAD5-45B3-9B81-5FCC1862FB56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le projet n'ira pas à terminaison</t>
        </r>
      </text>
    </comment>
    <comment ref="Q97" authorId="2" shapeId="0" xr:uid="{32C8593D-4698-4A72-AC59-FE7C7BEEFE72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commande 1500 au lieu 3K€ attendu</t>
        </r>
      </text>
    </comment>
    <comment ref="Q101" authorId="2" shapeId="0" xr:uid="{34B196CE-C481-4E02-9D98-C9BEB8A5E761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pas de nouvelle commande</t>
        </r>
      </text>
    </comment>
    <comment ref="AI118" authorId="0" shapeId="0" xr:uid="{8BC583E6-55E3-43E4-AC78-9A37FC4BD522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+complément BC avenger
1455 =&gt; écart entre BC et facturation sur le BC 3057
</t>
        </r>
      </text>
    </comment>
    <comment ref="AJ118" authorId="2" shapeId="0" xr:uid="{99AA98C8-36EA-40CB-A3EA-44258084AEC9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92 839 € facture mars expleo
104 649 € facture avril expleo
 (ajout manuel pour matcher la compta - sera ok en juin)</t>
        </r>
      </text>
    </comment>
    <comment ref="AY125" authorId="0" shapeId="0" xr:uid="{BA5BA482-6C4A-43A4-9012-DE3430EBB79F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conso HA fev25 défalquée</t>
        </r>
      </text>
    </comment>
    <comment ref="AR129" authorId="2" shapeId="0" xr:uid="{A19D336D-E696-44AD-BB37-58715F865E84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MO graulhet</t>
        </r>
      </text>
    </comment>
    <comment ref="BI153" authorId="0" shapeId="0" xr:uid="{ED840BED-E11F-4D4A-9CD7-5AB223D14F82}">
      <text>
        <r>
          <rPr>
            <b/>
            <sz val="9"/>
            <color indexed="81"/>
            <rFont val="Tahoma"/>
            <family val="2"/>
          </rPr>
          <t>Elza LONGCHAMPS:</t>
        </r>
        <r>
          <rPr>
            <sz val="9"/>
            <color indexed="81"/>
            <rFont val="Tahoma"/>
            <family val="2"/>
          </rPr>
          <t xml:space="preserve">
aligné sur données Facturation
</t>
        </r>
      </text>
    </comment>
    <comment ref="X188" authorId="0" shapeId="0" xr:uid="{C9A6D0DC-06F1-4387-B661-480AC1F05E43}">
      <text>
        <r>
          <rPr>
            <b/>
            <sz val="9"/>
            <color indexed="81"/>
            <rFont val="Tahoma"/>
            <charset val="1"/>
          </rPr>
          <t>Elza LONGCHAMPS:</t>
        </r>
        <r>
          <rPr>
            <sz val="9"/>
            <color indexed="81"/>
            <rFont val="Tahoma"/>
            <charset val="1"/>
          </rPr>
          <t xml:space="preserve">
hrs VGA à corriger</t>
        </r>
      </text>
    </comment>
    <comment ref="W199" authorId="2" shapeId="0" xr:uid="{183BB0E6-74C1-458D-A1C8-C8F5BD1DDD7F}">
      <text>
        <r>
          <rPr>
            <b/>
            <sz val="9"/>
            <color indexed="81"/>
            <rFont val="Tahoma"/>
            <family val="2"/>
          </rPr>
          <t>Lilia AGREBI:</t>
        </r>
        <r>
          <rPr>
            <sz val="9"/>
            <color indexed="81"/>
            <rFont val="Tahoma"/>
            <family val="2"/>
          </rPr>
          <t xml:space="preserve">
taux horaire négocié 43€/h</t>
        </r>
      </text>
    </comment>
    <comment ref="X214" authorId="0" shapeId="0" xr:uid="{DC72C4C1-630F-4FC6-8AF1-4D14644BBF13}">
      <text>
        <r>
          <rPr>
            <b/>
            <sz val="9"/>
            <color indexed="81"/>
            <rFont val="Tahoma"/>
            <charset val="1"/>
          </rPr>
          <t>Elza LONGCHAMPS:</t>
        </r>
        <r>
          <rPr>
            <sz val="9"/>
            <color indexed="81"/>
            <rFont val="Tahoma"/>
            <charset val="1"/>
          </rPr>
          <t xml:space="preserve">
pointages Zaven à changer</t>
        </r>
      </text>
    </comment>
  </commentList>
</comments>
</file>

<file path=xl/sharedStrings.xml><?xml version="1.0" encoding="utf-8"?>
<sst xmlns="http://schemas.openxmlformats.org/spreadsheetml/2006/main" count="1155" uniqueCount="475">
  <si>
    <t>s35 : à annuler - s22/s52 : spéléo zombie à poursuivre mod à faire</t>
  </si>
  <si>
    <t>ROTOR</t>
  </si>
  <si>
    <t>autres</t>
  </si>
  <si>
    <t>C181320</t>
  </si>
  <si>
    <t>Rotors</t>
  </si>
  <si>
    <t>s22 : annulé à indexer sur facturé (2024)- discussion en cours avec Client pour arrêter - FAE de 6000€ à mitig</t>
  </si>
  <si>
    <t>A/L &amp; STC</t>
  </si>
  <si>
    <t>Annulé</t>
  </si>
  <si>
    <t>C181556</t>
  </si>
  <si>
    <t>Cabines &amp; Systèmes</t>
  </si>
  <si>
    <t>s15 : ramené au facturé (0) - s09/s48 : investigation JFA à lancer - s09: fin d'activité mars22 s48 : estimation fin d'activité fin janv/mar 22</t>
  </si>
  <si>
    <t>MRO</t>
  </si>
  <si>
    <t>DGAC</t>
  </si>
  <si>
    <t>C181592</t>
  </si>
  <si>
    <t>?</t>
  </si>
  <si>
    <t>s22 : annulé à indexer sur facturé - discussion en cours avec Client pour arrêter - FAE de 20500€ à mitig</t>
  </si>
  <si>
    <t>C181688</t>
  </si>
  <si>
    <t>s48 : annulé - s40: standby chez client final. Relance comm client pour fermeture? s26/22/13/09 : pas de modif 23% réalisé
s48/39 : sujet en stand-by chez client final. Sera régularisé sur réel consomé
s35 : demande de statut client par GCO</t>
  </si>
  <si>
    <t>C191860</t>
  </si>
  <si>
    <t>s22 : facturation supérieure au budget -s05 : fin estim mar - s52 : estim fin en mars 25 - s48 : livraisons EASA faites, frais EASA anniv + facture RoterTeam 8k€ - s09 : conso missions sans budget - s26 : à fin juin 28,3k€ IAero  + 6k€ refacturable client - s13 : 9900€ RAF HA maintenus : frais EASA + pilotes + RAF mission VSE effectuée s12 - s48 : 173hrs estimées par PRO + 3k€ de missions s40 - fin estim. à jan23  : +9000€ frais EASA + pilotes - s35 : cf PDA et TBI dossier certif terminé, EASA à contacter pour essais sol - s09 : attente retour Universal -</t>
  </si>
  <si>
    <t>C192026</t>
  </si>
  <si>
    <t>Programmes</t>
  </si>
  <si>
    <t>s22 : négo client pour facturer le consommé ( à risque) et en // rembrs frais EASA année 2 - s05 : fin estimée à s07 max - avoir AESA attendu sur le sujet tbd</t>
  </si>
  <si>
    <t>C202607</t>
  </si>
  <si>
    <t>s48 : annulé s44/40/35/26/22/13/09/05/48 : stand-by Client - non facturé. Statut VGA attendu sur retour UUDS</t>
  </si>
  <si>
    <t>C202681</t>
  </si>
  <si>
    <t xml:space="preserve"> s22 : à annuler commandé à indexer sur facturé (2024)</t>
  </si>
  <si>
    <t>Terminé à annuler</t>
  </si>
  <si>
    <t>C212935</t>
  </si>
  <si>
    <t xml:space="preserve"> </t>
  </si>
  <si>
    <t>Y</t>
  </si>
  <si>
    <t>Babcock</t>
  </si>
  <si>
    <t>C202747</t>
  </si>
  <si>
    <t>s09 : C223330 tracé dessus en attendant cmde s52:libellé à modifier</t>
  </si>
  <si>
    <t>C212808</t>
  </si>
  <si>
    <t>s48 : annnce de paiement par Tournus fin litige crochet milLock - s31 : solde facturation lancé, RAF hrs PPR - s18 : fin de projet, à cloturer probablement fin mai - s13 : fin de projet, à cloturer probablement fin avril - s09 : STC reçu en mar, conso missions sans budget - s35 : recup RAF 21G 60k€ C212814 et déduction des achats du mois 25k€ s17 : hrs mission à sortir vers C212811-M s05 : PPR prélevée 42k€ soit 442hrs</t>
  </si>
  <si>
    <t>C212809</t>
  </si>
  <si>
    <t>s29 : litige client s17 : liquidation judiciaire en cours - s22/13: reste pige de 6hrs à faire pour factu finale (juil max)</t>
  </si>
  <si>
    <t>C213009</t>
  </si>
  <si>
    <t>s16 : 2112 de raf mission transformer en 106 raf mission + 42h RAF heures - s52 : hausses économiques à rajouter au budget, activité BE terminée, on conserve hrs pour si jams - s48 : nvlle commande sur pr2 18k€ + hausses écos à calculer sur déc - s42 : Budget complété du RPD 6 1ers mois (89,8k€)  40hrs à rajouter au RAF - s31 : solde hrs couvertes par PPR - s28 : PPR ramenée à 10k€, RAF ha et missions pourront être convertis en hrs si nec. - s48 : reajust Budget hrs prendre sur PPR - s42 : 400hrs à prélever du budget des achats - s30 : +100k€ du 145 pour couvrir hrs, incoh factu / découpage budgets revu (+1000 hrs en provenance du 145 : 350hrsjuillet + 630raf jusqu'a fin sept) + 130hrs en provenance des achats, Blois aero 50k€ HA imputés sur 21J mais activité 145AEG - +26,730k€ de commande sur provision suppl à rentrer, estim pénalités de retard de 30k€ à fin septembre (sur PPR) - s26 : 400hrs basculées du budgte hrs au budget HA - s22 : s40 : marge achat basse 10% du fait de l'achat stc - RAF 143k essais-50k€ soit 93k€/17k immat/50k garantie</t>
  </si>
  <si>
    <t>MISSION</t>
  </si>
  <si>
    <t>Terminé à facturer</t>
  </si>
  <si>
    <t>C202695</t>
  </si>
  <si>
    <t>MSU</t>
  </si>
  <si>
    <t>s18 : avoir Turbo ressources reçu -ligne à supprimer s05 : fact FNP - s42 : 2e hélico annulé budget à revoir à la baisse pour 112,9k€ (sur base réalisé) retour LJA attendu - s35 : en cours EC225 à réaliser en déc et jusqu’à jan23 - avenant à venir pour couvrir solde activité s26: raf hrs revu avec nvlle repartition - avenant à venir pour budget hrs et achats - s22/21 : répartition budget à valider avec CdP</t>
  </si>
  <si>
    <t>C213109</t>
  </si>
  <si>
    <t>s22: on arrête en l'état avoir à émettre vers UUDS puis refactu sur conso - s17: que devient le réalisé vs facturation effectuée ? s13 : confirmé annulé, hrs à bloquer, rbsmt easa en attente - s05: projet à annuler - easa ne suit pas</t>
  </si>
  <si>
    <t>C213190</t>
  </si>
  <si>
    <t>C223303</t>
  </si>
  <si>
    <t>s29 : litige client s26 : relance facturation sur repreneur - s17 : liquidation judiciaire en cours</t>
  </si>
  <si>
    <t>C223451</t>
  </si>
  <si>
    <t>s23 : dema,de faite à la mission pour corriger frais dep -s19 : fais de mission 04/25 18k€ basculés sous 3202 et défalqués du RAF HA - s14 : vidé, terminé, RAFF + PPR basculés sous C213202 - s11 : verif tous couts restants vs reco CA - s31 : PPR à vérifier - s22 : maintenance terminée, reste dépréservation + déplacements, qqs achats au titre de la garantie A/C1 - s14 : avancement forcé pour intégrer stockage (1 mois = 12k€) + préservation (7,5k€); réajust budget  - s09: cde client attendue 29,227k€ - s18 : RAF à revoir - s33 : pourquoi date de fin?</t>
  </si>
  <si>
    <t>Terminé</t>
  </si>
  <si>
    <t>Daher</t>
  </si>
  <si>
    <t>C223346</t>
  </si>
  <si>
    <t>Mail BAZ</t>
  </si>
  <si>
    <t>C223477</t>
  </si>
  <si>
    <t>s03 : demande de modif envoyée Admin - s26 : à passer à partir de septembre 1/4 / mois jusqu'en déc - s09 : voir avec PLA mention sur écart de conversion s01 : reflexion interne sur demande d'avenant s48: raf JFA 16 hrs tbc s44 : tous achats engagés</t>
  </si>
  <si>
    <t>Airbus</t>
  </si>
  <si>
    <t>C223521</t>
  </si>
  <si>
    <t>s52 : encore qqs reprises, 16hrs à imputer en 2024 - s39 : stc non obtenu, reste activtés de reprises à financer (action VGA) - s35/26 : 80hrs de support DOA prévue en aout pour 1200€/j à cmder sur ce Code pj - s09 : obj fin mars - s48 : mise en exploitation à faire</t>
  </si>
  <si>
    <t>C223453</t>
  </si>
  <si>
    <t>s23 : voir quelle part de la commande à venir anticiper ? s22 : PO 152K€ attendu pour juillet - s19 : raf OT in 74k€ annulé faute de cmde client supplémentaire - s18 : attente PO 153K€ pour couvrir dépassement heures +80 heures supplémentaires pour mi juillet-s13 : pointages du projet C243715 sur ce projet car la PO n'était pas passée - s05 : factu mensuelle, complément commande attendu en 2025 - s45 : en dépassement vs RAF M-1, avt de 8,5k€ passé sur hrs raf 17hrs - s36 : avenant de 24h reçu fin s35 - s22 : cmde sur NAF2327 revue à la baisse (-3850€ répercutés sur BC POA) - s18 : 8k€ prélevés sur PPR pour couvrir part. dépassement hrs, en attente précision PRO sur nomenclature et réajust budget Hrs/HA - s13  :DT à mettre à jour des nvlles commandes - s9 : devis envoyé en attente d'acceptation - s8 : dépense &gt;RAF, conso PPR ? s44 : nvelle cmde de 5k€ reçue pour STC (nov) + commande des 129hrs octobre à couvrir 12k€ + 100hrs GdP PRO - s29 :  Voir avec Isa pour reaffect mission sur -M pas de motif pour les 1800€ de RAF int - s27 : nouvelle commande à répartir s22 : raf STC FAA? Avenant de 4,7k€ à venir - s13/09 : missions à isoler sur -M, verifier affect budget 4 ou 5hrs GdP/kit - s05 : repartition budgets à revoir - mission vers Equilux refact au réel + 15% + attente new PO pour kits</t>
  </si>
  <si>
    <t>C223378</t>
  </si>
  <si>
    <t>LSA</t>
  </si>
  <si>
    <t>C223496</t>
  </si>
  <si>
    <t>C223542</t>
  </si>
  <si>
    <t>s23 : voir quelle part de la commande à venir anticiper ? s22 : 8700€ de PO pour 60 heures de RAF attendu pour juin-s19 : raf ext 69k€ annulé faute de cmde client supplémentaire - s18 : 7500€ PO attendu juillet -s05 : factu mensuelle, complément commande attendu en 2025 - s36 : devis pour couvrir kits envoyé au client + PPR annulée - s28 : PPR rameée à 7,5k€ - s27 : RAf HA STC Irridium, PPR à confirmer - s18 : devis en cours de validation Immfly pour couvrir 1,3k€ kit POA - s16 : DT à compléter avec les nvlles commandes - s08 : nvlle cmde, devis 2168 pour 21940 toujours en attente - s05 : missions à sortir - s04 : devis envoyé PRO - s52 : commande à venir pour couvrir réalisé - s42 : vérif 225*105 ok s29 : Verif PPR de 27,5 k€ dans clipper ressort pas dans fichier - s26 : pointages supplémentaires en juin</t>
  </si>
  <si>
    <t>C233632</t>
  </si>
  <si>
    <t>s22 : achat a faire passer en frais de mission -s13 : budget mission a diminuer à hauteur de 31688€ dans clipper action Lionel RAF à 0 constatation de la conso, mais si conso demandé si on est couvert pour refacturé au client  normalement farais réels+15%- s52/48 : montant devis LSA à fournir - s40 : 1165€ de mission à refacturer - s13 : commande reçue, partiellement? s09 : devis missions à envoyer (1,5jours + 2120*1,15) conso missions sans budget - s52 : avenant mission à lancer 1076€ consomés sur le mois</t>
  </si>
  <si>
    <t>En cours</t>
  </si>
  <si>
    <t>C223378-M</t>
  </si>
  <si>
    <t>s30 : BC expleo à revoir - S26/22 : DT à faire</t>
  </si>
  <si>
    <t>C233717</t>
  </si>
  <si>
    <t>s22/s18/s13 : commande attendue de 80K€ pour juillet - s05/52 : accord verbal reçu sur devis de 22,5k€ - s48 : EASA fees, refacturation en cours de validation - s36 : attention fees EASA au 25/10 : à refacturer? cf devis - s09 : HA 11080€ HA presta avenger défalqué des hrs - s05: marge sur HA faible, partiel activité non chiffré - s44 : repart budget à revoir, frais de mission seront refacturés - s36 : en attente cmde suppl (sur C233620) s35 : PO supp attendu cette semaine - s22 : DT à faire</t>
  </si>
  <si>
    <t>C233755</t>
  </si>
  <si>
    <t>s35 : reprise en 2024 problab</t>
  </si>
  <si>
    <t>C233786</t>
  </si>
  <si>
    <t>s13 : RAF à 0, les conso font le budget travail avec la DTI qui finance 50% des coûts, le reste des dépenses est couvert par le CIR (total 1,1M€), facturation tous les 6 mois - s05 : fin d'activités prévue jul25 - s48 : 12,6khrs à term et 464,634k€ HA à term - 31 : docs signés, renvoyés à la DAC pour fact - s04 : budget missions? s01 : 13700 hrs vendues à 595,73317 k€ (subvention 50% budget)</t>
  </si>
  <si>
    <t>C223547</t>
  </si>
  <si>
    <t>C233795</t>
  </si>
  <si>
    <t>C233770</t>
  </si>
  <si>
    <t>s36 : toutes factures reçues - s18 : cmde forcée en attente pièce officielle - s45 : relance facture fournisseur envoyée</t>
  </si>
  <si>
    <t>C233781</t>
  </si>
  <si>
    <t>s39 : VGA vers BAZ pour complement budget 1935 €</t>
  </si>
  <si>
    <t>oui PT</t>
  </si>
  <si>
    <t>B230167</t>
  </si>
  <si>
    <t>s13/s10/40 : estim reprise 2025 - le client a mis en stand by son étude avenant à prévoir pour MAJ tarif 2025 - s20 : objectif à fin d'année à revoir - S09/s48 : en attente données d'entrées</t>
  </si>
  <si>
    <t>C233687</t>
  </si>
  <si>
    <t>s13 : attente devis 37K€ achat matériel - s05 : avenant probable 140k€ pour couvrir nv couts + rattrap partiel hrs, AEG  à livré les 45k€ -  s52/48 : commande supp attendue pour 100hrs de plus - s36 :! réajust budget - s31 : cmde client reçue, 2k de PPR garantie 24mois - s27 : commande 90hrs validée pour combler retard + RAF - s08 : nvlle commande client, nvx ha, quel impact sur RAF ? - s52 : cmde supp pour compenser dépassement à venir - s48 PPR de 14,3k€ convertie en hrs (136hrs) : s44 : PPR de 14,3k€ à rajouter (prel sur Budget Hrs) RAF int estim, pas de devis reçu, frais mission seront refacturés - s39 : RAF ha pour commande OT int (attente devis)</t>
  </si>
  <si>
    <t>C233745</t>
  </si>
  <si>
    <t>s44 : attention charges POA à comparer au cmdé ++</t>
  </si>
  <si>
    <t>C233858</t>
  </si>
  <si>
    <t>B220077</t>
  </si>
  <si>
    <t>s13 : RAF à 0 constatation de la conso, mais si conso demandé si on est couvert pour refacturé au client  normalement frais réels+15%</t>
  </si>
  <si>
    <t>C233632-M</t>
  </si>
  <si>
    <t>s36 : 4hrs restantes - s27 : 4hrs pointées, statut TBI ? - s18 : repassé en encours - s17 : selon TBI, pas commencé ?</t>
  </si>
  <si>
    <t>C233921</t>
  </si>
  <si>
    <t>s23 : PO client attendue de 22k€ (engagement client pour 60%), RAF mission à 0, depla Rabat fait - s22/s13 : RAF achat 12K€ pour ampoule + maintenance avion - attente retour avenant 12K€ de commande complémentaire où le client s'engage a payer 60%- RAF mission 5K€ pour aller valider les avions au Maroc-s09 : 3,1ke de PO atendus, avenants en cours de discusssion (25k€ forcés contre 42k€ chiffrés), depart A/C estimé fin avr, Essais avec EASA fin mars- s05 : point à faire avec Yann pour hrs s04+vol+dossier certif (jeudi) + activité AEB - s48 : RAF hrs à revoir, RAF HA dépassé, attente avenant 10-15k€  - s45 : 20k€ + 45k€ attendus en PO pour les maintenances - s31 : parking Jul non annulé à corriger,2048 ùission jul à refacturer (50%) - s27 : RAF achats à réévaluer - s22 : diminution cmde parking à prévoir - s18 : parking (mars-jul) forcé + attente LUD complément commande Engine Runs + carburant, conso BE estimé à 940hrs vs  683 (à voir PPR) - s09 : RAF utile pour phase2, basculé en PPR (35k€ de plus) - s08 : dépense &gt;RAF, conso PPR ? - s48 : RAF à revoir - s45 : nv Leonardo, à travailler avec C223307, fin de projet estimée à mi-mars 2024</t>
  </si>
  <si>
    <t>Leonardo</t>
  </si>
  <si>
    <t>C233900</t>
  </si>
  <si>
    <t>s48 : à annuler, 10hrs à appliquer à un autre devis</t>
  </si>
  <si>
    <t>C233922</t>
  </si>
  <si>
    <t xml:space="preserve">s49 : PPr à 0, RAF 16h - s48 : solde activités avant fermeture, HA vers POA outillage mq fin prévue s49 - s40 !: fin estim oct - s36 : PPR -2500€ pour couvrir dépassement sur constaté + reduc de 10k€ - s23 : RAF HA int estimé à 15k€ max + PPR diminuée de 15k€ - s48 : DT techn à maj + réajust budget - s44 : répartition budget à modifier </t>
  </si>
  <si>
    <t>C233733</t>
  </si>
  <si>
    <t>s52 : retour sur RAF réel</t>
  </si>
  <si>
    <t>G230227</t>
  </si>
  <si>
    <t>s31 : post envoi terminé, RAF à passer à 0 - s26 : cmde vivisun en urgence, bascule RAF missions déduit des HA du mois en hrs (1625€) - s48 : RAF LJA à revoir</t>
  </si>
  <si>
    <t>C233908</t>
  </si>
  <si>
    <t>s48 : stop pointages, hrs sur A320, kits livrés à 100% - s22 : Raf hrs revu à la hausse (+38à passer sur -M depla mi-juin australie) - s13 : DT à compléter, manquent 60hrs GS aero A320+25hrs pour 737 - S05 : factu à la comde 50%</t>
  </si>
  <si>
    <t>C233715</t>
  </si>
  <si>
    <t>s13 : RAF à 0 constatation de la conso, mais si conso demandé si on est couvert pour refacturé au client  normalement farais réels+15% - s36 : réajust budget -s31 : cmde reçue - s27 : attente acceptation devis 2363</t>
  </si>
  <si>
    <t>C233715-M</t>
  </si>
  <si>
    <t>s10 : pas de retour, installation en cours - s05 : contact repris par client, estim fin fin mar- s48 : attente GTP, contact client cette semaine - 36/31 : attente retour GTP - s27 : act jul - s13 : cmde complémentaire reçue - s09 : livraison kit bloquée à AEG en attente paiement client s52 : risque nv client, factu non réglée + cmde partielle sans les kits (18645€)</t>
  </si>
  <si>
    <t>C233926</t>
  </si>
  <si>
    <t>s52 : parti en signature</t>
  </si>
  <si>
    <t>G230265</t>
  </si>
  <si>
    <t>s05 : vérif passage en douteux en 2024 - s36 : déclaration de créance envoyée, ramené au facturé - s31/26 : client à risque, activité à stopper, 2k€ en impayé - s22 : repoussé à fin d'année - s13 : 80hrs estimées (prise par commande phase 2)s09 : activité en jun24 - s52 : demande avenant en cours pour couvrir dépassement à venir</t>
  </si>
  <si>
    <t>C233911</t>
  </si>
  <si>
    <t>s22/s18 : client souhaite commande tout d'un coup les 8,1K€ pour couvrir le dépassement (le client pas d'accord pour 11K€) + une extension de scope pour 5K€ pour mai -s13 : attente commande supplémentaire 11,1K€ - s09 : cmde sup à recevoir courant mars, devis à compléter pour intégrer activités à venir - s05 : baisse de la prio, décalé à mars, livraison partielle s05 - s52/48 : accord oral pour commande supp - s36 : devis en cours de chiffrage pour compenser partiellement le dépassement - s27 : Réajust budget</t>
  </si>
  <si>
    <t>C233964</t>
  </si>
  <si>
    <t>B230231</t>
  </si>
  <si>
    <t>s22 : heures LSA pour upnext</t>
  </si>
  <si>
    <t>B230091</t>
  </si>
  <si>
    <t>s40 : avenant à traiter - s22 code projet dédié pour fourniture spares, fil rouge</t>
  </si>
  <si>
    <t>C233971</t>
  </si>
  <si>
    <t>s23 : PPR diminuée de 6k€ pour passer à 30k€ reportée sur s19 : RAF aligné sur raf mars - conso - s18 : heure à terminaison BE hors qualité 4627h -s13 : le budget heures inclus les heures de la qualité, heures techniques budget 4346h - s52 : 40k€ d'hrs écretees - s36 : s31 : hrs qté vendues non pointées 150hrs défalquées du RAF - s20 : objectif à fin d'année à revoir - s52 : DT Clipper à renseigner</t>
  </si>
  <si>
    <t>C233723</t>
  </si>
  <si>
    <t>s13 : 3,4M€ de PO supplémentaire attendue en avril pour 5900 heures, commande fournisseur GOGO réduite de 90K$ sur avril - s06 : PPR de 35289€ enterinée - s05 : selon JFA 2025-01-28 - s01 : détail à revoir JFA - s36 : en attente de réception mais consomé 90k€ hrs + 13k$ POA + 90k€ analyse CFD, complété manuelmt + rajout RAF hrs - s31 : devis TS envoyé 100k$ hrs + 100k$ S/T études - s18 : 75k€ d'ha au-dessus marge attendue - s13 : risque éco non couvert sur ranche 2 - s52 : PPR eco à prévoir + marge stratégique faible pour vente kits ultérieure</t>
  </si>
  <si>
    <t>C233916</t>
  </si>
  <si>
    <t>s09 : pppr pasée à 0,  achats raf4k -  s05 : évolution scope à faire prendre en compte, voir avec TBI quel volume d'heures restantes yc s04, RAF HA à basculer en heures - s52 : analyse à faire sur avenant potentiel hors scope init à intégrer dans prochaine cmde post TRR (stand-by de 3 mois), PPR écrétée pour couvrir hrs (-3700€) - s48 : dernière revue s49, reste kits à commander - s45 : TRR prévue s46 - s31 : devis en cours chez Airbus hélico - s22 : hrs mission à refacturer - s18 : vu avec TBI : clos - réalust budget à faire - s14: mail TRO pour 13k€ de cmde client supplémentaire pour couvrir activité mars- s13 : cout à constater au fil de l'avancée CA déclaré trop  tot - s09 : pas fini - s49 : réajust budget - devis accepté, en attente saisie Clipper</t>
  </si>
  <si>
    <t>C233967</t>
  </si>
  <si>
    <t>s23: PPR revue à 10k au lieu de 15k-s13 : projet plancher balistique pour la gendarmerie fr, si manque d'heure a prélever sur la PPR - s31 : RAF hrs revu baisse, plus d'HA - s28 : ok pour RAF HA 5k€ - s8 : dépense &gt;RAF, conso PPR ? s17: attente devis supp, 9*2500€ intégrés dans le devis à venir, reprise estimée en mai - s48 : 2,5mois de pénalités retard client à 2,5k€/m s26 : discussions en cours avec Tencate pour affiner RAF achats, RAF mission à établir</t>
  </si>
  <si>
    <t>C213086</t>
  </si>
  <si>
    <t>s22 : VGA relance le commerce pour envoi devis client + a facturer -s18 : attente devis client pour couvrir dépassement heure + achats attendu pour mai -s13 : RAF de 27hrs passé à 0 en attendant avenant, actions en cours PLA pour avenant pour rattrapage des heures + avion2 attente infomation devis /s09 : actions en cours PLA pour avenant pour rattrapage des heures + avion2 - s05 : cmde init rentrée en jan25, RAF à communiquer - s52 : avenant toujours attendu - 36 : avenant airbus attendu courant octobre pur compléter avion2 - s31 : 24hrs de RAF estimées VGA, point avenant à faire avec PLA - s22 : avenant cmde à transmettre, avion2 en 2025 - s18 : PLA, avion1/2 terminé, NRC consomés (8hrs) +  RC 31k€ d'ha)- s13 : avenant confirmé - s09 : avenant à venir - s05 : RAF PLA à MAJ</t>
  </si>
  <si>
    <t>C233777</t>
  </si>
  <si>
    <t xml:space="preserve">s52 : appel client du 06/01 activité 2025 selon client - </t>
  </si>
  <si>
    <t>C233816</t>
  </si>
  <si>
    <t>s10 : pas de retour, installation en cours - s05 : contact repris par client, estim fin fin mar- s48 : attente GTP - s27 : complément devis à recevoir pour couvrir kit + hrs dépassement</t>
  </si>
  <si>
    <t>C233985</t>
  </si>
  <si>
    <t>B230219</t>
  </si>
  <si>
    <t>s31 : avenant à venir pour déplacement courant aout s33 -s18 : avenant 14,4k€ pour couvrir le CAM</t>
  </si>
  <si>
    <t>C244021</t>
  </si>
  <si>
    <t>s52 : appel client du 06/01 pour facturer asap - s48 : CdP à modifier - s40 : à passer à LJA - s31 : retour client estimé deb sept. - s27 : en relecture chez client, RAF en fin d'année</t>
  </si>
  <si>
    <t>C244027</t>
  </si>
  <si>
    <t>s22/s18/s10 : pas de news, le client attend pour lancer l'installation - s05/40: reprise prévue en jan25 si paiement reçu - s26 : vu en détail avec LJA, RAF revus, stand-by jusqu'à 2025 - s22/s18 : devis supp de 6493 + réajust budget - s13 : devis supplémentaire de 2850€ envoyé au client  + conso HA envisager - s09 : reajust budget - cmde int sup au RAF et au budget vendu - s05 : réajut budget à passer, marge potentielle en supplément</t>
  </si>
  <si>
    <t>C233991</t>
  </si>
  <si>
    <t>s52 : appel client du 06/01 pour facturer asap - s40/36/31/27/18 : attente retour client début sept</t>
  </si>
  <si>
    <t>C233978</t>
  </si>
  <si>
    <t>s05 : hrs à passer en improd au dela des 4 restantes - s52 : avenant refusé - s48/40: avenant à venir</t>
  </si>
  <si>
    <t>C233662</t>
  </si>
  <si>
    <t xml:space="preserve">s13/s10/48 : stand-by reprise en 2025 (non urgent) - s36 : réajust budget, 20hrs raf estimées s36 - /27 : réajust budget </t>
  </si>
  <si>
    <t>C244099</t>
  </si>
  <si>
    <t>s13 : GTP (test au sol reçus) - s10/48/40 : attente retour GTP - s18 : CdP à modifier</t>
  </si>
  <si>
    <t>C233837</t>
  </si>
  <si>
    <t>s22/s18 : toujours en attente retour expert easa pour présenter avenant au client -s13 : proba de 75% d'avoir une commande supplémentaire de 9K€ en cours d'obtention du STC pour finaliser la commande client-s05 : encore en cours avec modif design avenant client à demander (3k€) Raf estmé à 30hrs - s48 : DT à modifier pour intégrer avenant - s31 : capa avenant à demander à LJA</t>
  </si>
  <si>
    <t>C244079</t>
  </si>
  <si>
    <t>s22 : frais EASA refacturés à la fin du STC en décembre 2025 -s18 : 8057€ EASA a refacturer au client -s09 : besoin client en avril, regul attendue pour cloture mars - 05/48/40 : attente avenant pour passer RAF+98hrs , projet en stand-by jusqu'en 2025 - s36/31 : chgmt d'aeronef donc avenant 80hrs +1600 d'ha - s27 : réajust budget - s18 : prix de vente hrs à 89,5/h au lieu de 105</t>
  </si>
  <si>
    <t>C244120</t>
  </si>
  <si>
    <t>s10/05 : repoussé à date ultérieure - s52/48 : attente dispo avion, jan25 - s18 : DT à faire, reajust budget</t>
  </si>
  <si>
    <t>C244013</t>
  </si>
  <si>
    <t>Mail VSE</t>
  </si>
  <si>
    <t>s22 : statut terminé?</t>
  </si>
  <si>
    <t>C244122</t>
  </si>
  <si>
    <t>s13 : projet terminé reste 1h traitement non qualité - s05 : devis supp en attente d'acceptation - s48 : incertitude sur prix kit POA (1600 RAF HA) - s40 : cmde à venir pour DOA on sites31 : missions à basculer sur -M - s18 : kits vendus à prix coutant, discussions en cours pour baisser</t>
  </si>
  <si>
    <t>terminé</t>
  </si>
  <si>
    <t>C244043</t>
  </si>
  <si>
    <t>airbus</t>
  </si>
  <si>
    <t>C244104</t>
  </si>
  <si>
    <t>s13 : projet terminé, 503€ passer manualement en achat car la ommande a disparu de clipper lors du crash des serveurs en 10/24 - s52 : terminé, PPR supprimée -  fait s48 : frais réel à refacturer - 3120€ point sur commmandes Blois effectuée sur AEG AD activité terminée, à voir côté charge AEG où pointe Blois - s36 : réajust budget - fin estimée fin oct - s31 : RAF heures à passer à 0 + 48hrs max pointées s31 (MJA, VGA, MSU) + Blois via AEG + Frais réels à refacturer au client (+10%), PPR passée à 2k</t>
  </si>
  <si>
    <t>C244030</t>
  </si>
  <si>
    <t>s18 : déplacement annulé -s13 : RAF mission = déplacement Laurent Wolf - s31 : mq cmde sur les hrs - s27 : PO en attente de réception</t>
  </si>
  <si>
    <t>C244182</t>
  </si>
  <si>
    <t>s22/s18/s13 : service bulletin envoyés mais le client n'a pas fait les test - stand by pour la certification -s05 : client à relancer - s48 : dossier à maj</t>
  </si>
  <si>
    <t>C244150</t>
  </si>
  <si>
    <t>C244183</t>
  </si>
  <si>
    <t>s52 : attente enregistrement billet Brésil Navan -s40 : cmde à venir 300€ - s36 : Réajust budget à faire</t>
  </si>
  <si>
    <t>C244043-M</t>
  </si>
  <si>
    <t>s22 : commande supplémentaire devis envoyé le 20/05 attente retour client 16K$-s18 : rdv acheteuse airbus 29/04 pour 18K$ -s13/s09 : en attente devis heures 18k$ + devis achats - s05 : attente devis hrs 18k$ - s48 : RAF HA VGA- montage man S31 : en attente confirmation RC</t>
  </si>
  <si>
    <t>C244143</t>
  </si>
  <si>
    <t>s40 : consos au-delà du RAF + avenant - s31 :  réajust budget</t>
  </si>
  <si>
    <t>C244204</t>
  </si>
  <si>
    <t>s21 : CA aligné sur factus- s13 : 232€ d'achat de sous traitance qui devrait etre sur le projet C244143 s10 : CA aligné sur factu, missions à refacturer - s52 : s48 : VGA donne hrs par catégorie - Reco CA aligné sur Expléo - s31 : 6k€ de mission shared avec Expleo, discussions en cours sur SCR à appliquer</t>
  </si>
  <si>
    <t>Interne</t>
  </si>
  <si>
    <t>C244224</t>
  </si>
  <si>
    <t>s23 : demande faite à la mission pour corriger frais dep, PPR passée de20k à 0 (cf BAZ) - s19 : fais de mission 04/25 18k€ importés du 3346 et défalqués du RAF HA -S14 : import RAF Achats + PPR du C223346 - s48 : kits terminé et livrés</t>
  </si>
  <si>
    <t>C213202</t>
  </si>
  <si>
    <t>s22 : travail sur le STC terminé, attente marché avec la DTI pour 2026 -s14 : RAF HA 5k€ + PPR 7,5k€ envoyés vers C244388 (même sujet) -  s13 : travail évaluation de passage d'un banc d'essai 143h sur affaire 3929 - client souhaite passer un appel d'offres - heures affaire 21097 715h -s09 : raf comprend heures de prépa STC nvx avions- s05 : RAF baisse prob en mar lié au C244388- S52 / Attente données d'entrées de Collins - s48 : CdP à modifer + 100k€ à venir de la DTI - s45 : kick of mi-nov, activité principale sur nov-dec - s37 : info TRO 20-30% de marge sur presta Corporate - s31 : reu de W ce jour, 6 mois estimés</t>
  </si>
  <si>
    <t>C244218</t>
  </si>
  <si>
    <t>PRO</t>
  </si>
  <si>
    <t>B240136</t>
  </si>
  <si>
    <t>s18 : attente facture expleo pour les FNP + bon pour accord - s14 : équipe expleo sur le projet jusqu'à mars 2025, 1er phase activité - 428K€ d'activité explo à fin février 2025, chaque mois décallage d'un mois dans la facture Jeff portalliance jusqu'à fin mars, après jeff pointera ses heures- s05: DT à mettre à jour, PDR (preliminary design review) prévue fin mar debut mar (fin 1ere phase) les activités vont se poursuivre en attendant post PDR - s52 : pointages à modifier / compléter - s48 : Raf HA prélevé de la mission, DT à modifier pour mission et ht=rs Jeff, Reajust budget à faire</t>
  </si>
  <si>
    <t>FIREFIGHTER</t>
  </si>
  <si>
    <t>C244206</t>
  </si>
  <si>
    <t>Firefigther</t>
  </si>
  <si>
    <t>s09 : PPR de 400€ défalquée du RAF achats - s48: activités terminéées jusqu'à nouvelle commande - s40 : prototype achevé, cmde à venir sur serie - s31 : DT à faire</t>
  </si>
  <si>
    <t>C244227</t>
  </si>
  <si>
    <t>s22 : raf achat 18120€ pourrait diminiuer 50% -s18 : Lionel check cohérence budget (nomenclature achat &gt; commande client) -s13  pas de conso d'heure en février + mars - attente retour évaluations techniques -s09 : RAF achat indexé sur saut d'image option 1 à 18k€ (option 2 : 9k€)s05 : achats ACC passés sous C233967 tbc - s48 : cmde POA à 50-75%, cdtions de factu à vérifier - s36 : vendu avec remise</t>
  </si>
  <si>
    <t>C244087</t>
  </si>
  <si>
    <t>s48 : attente GTP</t>
  </si>
  <si>
    <t>C244239</t>
  </si>
  <si>
    <t>s23 : soldé à facturer (cf PLA) s09 : contexte projet compliqué avec le client - risque de ne pas tout facturer s52 : raf revu à la baisse - s45 : reprise activité début oct hrs + mission Recaro - s40 : DT à faire</t>
  </si>
  <si>
    <t>C223524</t>
  </si>
  <si>
    <t>s22 : VGA doit mettre a jour le budget clipper - pas de commande supplémentaire de 3,5K€ mais commande de 1538€ -s13/s09 : attente nouvelles commandes 3,5K$ par mois selon demande client - s05 : affaire fil rouge, RAF à 0 mais attente nvlles cmdes - s52/48 : RC à venir à compter de jan25</t>
  </si>
  <si>
    <t>C233951</t>
  </si>
  <si>
    <t xml:space="preserve"> S52/48 : statut TBI à réclamer</t>
  </si>
  <si>
    <t>C244235</t>
  </si>
  <si>
    <t>Mail MSU</t>
  </si>
  <si>
    <t>s48 : activité cette semaine - s40 : DT à revoir</t>
  </si>
  <si>
    <t>C244274</t>
  </si>
  <si>
    <t>C244280</t>
  </si>
  <si>
    <t>s22/s18 : pas de commande pour les frais de missions -décision lancer les frais de missions en facturation directe -S09 : commande supp en attente pour couvrir frais de missions pour 887 - s05 : refactu frais +15% (670,15) - s52 : attente frais NAVAN 2 dépla FHI pour refactu +15% - s45 : avenant à venir pour mission s46</t>
  </si>
  <si>
    <t>C233912</t>
  </si>
  <si>
    <t>s22 : a cloturé en juin -s13 : fin estimé mi avril -s52 : fin estim début avr25</t>
  </si>
  <si>
    <t>terminé à facturer</t>
  </si>
  <si>
    <t>C244305</t>
  </si>
  <si>
    <t>s22 : attente GTP -s18/s13 :  attente retour de l'installation lcient - s10 : avenant à demander au client,  ereur chiffrage + complexité technique</t>
  </si>
  <si>
    <t>C244311</t>
  </si>
  <si>
    <t>C244391</t>
  </si>
  <si>
    <t>Safran</t>
  </si>
  <si>
    <t>C244119</t>
  </si>
  <si>
    <t>C244324</t>
  </si>
  <si>
    <t>C244328</t>
  </si>
  <si>
    <t>s48 : quel statut ? s45 : reajust budget</t>
  </si>
  <si>
    <t>C244210</t>
  </si>
  <si>
    <t>s45 : fin estimée mi-fin nov</t>
  </si>
  <si>
    <t>C244295</t>
  </si>
  <si>
    <t>C244337</t>
  </si>
  <si>
    <t>C244333</t>
  </si>
  <si>
    <t>C244315</t>
  </si>
  <si>
    <t>C244109</t>
  </si>
  <si>
    <t>C244349</t>
  </si>
  <si>
    <t>C244354</t>
  </si>
  <si>
    <t xml:space="preserve"> s13:  revue budget achat caler sur le réel commandé -s05 : complément commande attendu en 2025 - S48 DT à faire</t>
  </si>
  <si>
    <t>C244331</t>
  </si>
  <si>
    <t>s22/s18 : LJA doit mettre a jour clipper avec nouvelle commande client -s14 : avenant de 25k€ confirmé auprès du client  - s10 : DT clipper à faire sur supplément de 5k€, ok livré côté POA  - s05 : prévision dépassement hrs, seront couvertes par client</t>
  </si>
  <si>
    <t>C244330</t>
  </si>
  <si>
    <t>s19 : taux de change à la date de la cmmande client à appliquer - s14 : équipe expleo sur le projet, total commande 15,3M€ hors frais mission - s45 : reajust budget</t>
  </si>
  <si>
    <t>C244335</t>
  </si>
  <si>
    <t>s05 : pièces POA livrées</t>
  </si>
  <si>
    <t>C244355</t>
  </si>
  <si>
    <t>s13 : pas d'avenant possible - s05 : avenant à demander au client - s48 : CdP à modifer enlever JFA</t>
  </si>
  <si>
    <t>C244050</t>
  </si>
  <si>
    <t>C244365</t>
  </si>
  <si>
    <t>C244369</t>
  </si>
  <si>
    <t>C244370</t>
  </si>
  <si>
    <t>s22/s18/s10 : attente retour GTP - s05 : pas de nvlles du client sur statut instal</t>
  </si>
  <si>
    <t>C244352</t>
  </si>
  <si>
    <t>s23 : PPR passée à 3k€ - s22 : mission fin juin -s14 : RAF HA 5k€ + PPR 7,5k€ récupérés du C244218 -  s09 : mission prévue en mai25 - s06 : à revoir RAF hrs - s05 : à revoir sur base devis POA - lié au C244218 - s52 : réajust budget</t>
  </si>
  <si>
    <t>C244388</t>
  </si>
  <si>
    <t>B240139</t>
  </si>
  <si>
    <t>s22/s18/s13/s10 : POA ok, attente GTP client - s05 : en cours d'instal</t>
  </si>
  <si>
    <t>C244360</t>
  </si>
  <si>
    <t>s22/s18/s10 : attente GTP, DT à faire dans Clipper - s05 : raf achat 3k€ pour ppr hrs</t>
  </si>
  <si>
    <t>C244377</t>
  </si>
  <si>
    <t>s23 : optimisation TAT - s22 : facturation à faire au client avec un échéancier de paiement -s13: suppression des 12K€ a defacquer, pas de ristourne - s10 : 12k€ de moins estimés sur cmde client, à défalquer - s05 : cmde à venir pour pièces POA sur autre projet. Clipper à mettre à jour</t>
  </si>
  <si>
    <t>C233840</t>
  </si>
  <si>
    <t>C244036</t>
  </si>
  <si>
    <t>C244384</t>
  </si>
  <si>
    <t>C244387</t>
  </si>
  <si>
    <t>B240111</t>
  </si>
  <si>
    <t>s05 : DT à mettre à jour + réajust budget</t>
  </si>
  <si>
    <t>C244379</t>
  </si>
  <si>
    <t>C244347</t>
  </si>
  <si>
    <t>C244394</t>
  </si>
  <si>
    <t>C244396</t>
  </si>
  <si>
    <t>C244397</t>
  </si>
  <si>
    <t>s10 : terminé avec 3hrs s09</t>
  </si>
  <si>
    <t>C244266</t>
  </si>
  <si>
    <t>C244385</t>
  </si>
  <si>
    <t>s18 : terminé 80h à terminaison, risque passer le bon commande à 37K€ aulieu de 41K€ pour facturer -s13 : risque de ne pas tout facturer, facturation 50% YTD03 2025 ( le délais de livraison des pièces était trop élevée donc le client a acheté les pièces ailleurs) -s09 : pointages FHI à clarifier - s05 : discount sur les hrs 36hrs vendues 2k€ (soit 56€/h)</t>
  </si>
  <si>
    <t>C244273</t>
  </si>
  <si>
    <t>s10 : terminé ce jour, heure S09 en raf</t>
  </si>
  <si>
    <t>C244401</t>
  </si>
  <si>
    <t>s10 : commande kit Garmin via AEG145 - s01 : montage manuel en attendant saisie commande gestion</t>
  </si>
  <si>
    <t>C244393</t>
  </si>
  <si>
    <t>Mail FHI</t>
  </si>
  <si>
    <t>C254414</t>
  </si>
  <si>
    <t>C244329</t>
  </si>
  <si>
    <t>C244399</t>
  </si>
  <si>
    <t>s09 : reste install Blagnac - s05 : pointages s04 à vérifier puis terminer</t>
  </si>
  <si>
    <t>C244357</t>
  </si>
  <si>
    <t>C254411</t>
  </si>
  <si>
    <t>C254418</t>
  </si>
  <si>
    <t>s10 : RAF HA CVE Externe Axel Balembois</t>
  </si>
  <si>
    <t>C254426</t>
  </si>
  <si>
    <t>C254408</t>
  </si>
  <si>
    <t>C254421</t>
  </si>
  <si>
    <t>s21 : CA aligné sur factus - s18 : VGA doit mettre du budget mission dans clipper</t>
  </si>
  <si>
    <t>C244310</t>
  </si>
  <si>
    <t>s13: ok pointages - s10 : pointages à revoir après correction</t>
  </si>
  <si>
    <t>C254448</t>
  </si>
  <si>
    <t>s22/s13 : attente retour GTP client</t>
  </si>
  <si>
    <t>C254445</t>
  </si>
  <si>
    <t>s10 : terminé s10, pointages s09 à intégrer</t>
  </si>
  <si>
    <t>C254429</t>
  </si>
  <si>
    <t>C254443</t>
  </si>
  <si>
    <t>C254444</t>
  </si>
  <si>
    <t>C254422</t>
  </si>
  <si>
    <t>C254440</t>
  </si>
  <si>
    <t>C254450</t>
  </si>
  <si>
    <t>C254413</t>
  </si>
  <si>
    <t>C254455</t>
  </si>
  <si>
    <t>C244400</t>
  </si>
  <si>
    <t>C254415</t>
  </si>
  <si>
    <t>s10 : 1,5 raf hrs à fin s09</t>
  </si>
  <si>
    <t>C244390</t>
  </si>
  <si>
    <t>C254456</t>
  </si>
  <si>
    <t>s13 : fin pointage</t>
  </si>
  <si>
    <t>C254458</t>
  </si>
  <si>
    <t>C254447</t>
  </si>
  <si>
    <t>s22 : atente signature CVE -s10 : 5 raf hrs à fin s09</t>
  </si>
  <si>
    <t>C244130</t>
  </si>
  <si>
    <t>C254449</t>
  </si>
  <si>
    <t>C254420</t>
  </si>
  <si>
    <t>C254464</t>
  </si>
  <si>
    <t>s13 : reste 100€ de transport</t>
  </si>
  <si>
    <t>C244254</t>
  </si>
  <si>
    <t>s18 : terminé a facturer</t>
  </si>
  <si>
    <t>C254466</t>
  </si>
  <si>
    <t>C254462</t>
  </si>
  <si>
    <t>s13 : projet terminé a vérifie</t>
  </si>
  <si>
    <t>C202594</t>
  </si>
  <si>
    <t>s23 : budget de 1,2k€ missions prélevé sur budget hrs - s18/s13 : projet choc à l'oiseau sur antenne boeing 777, projet en attente manque l'antene fixée sur toit du 777</t>
  </si>
  <si>
    <t>C233989</t>
  </si>
  <si>
    <t>C254452</t>
  </si>
  <si>
    <t>s13 : fin pointages après les 22h</t>
  </si>
  <si>
    <t>C254468</t>
  </si>
  <si>
    <t>C254470</t>
  </si>
  <si>
    <t>s22 : fin projet octobre -s13: reste ajouter budget mission 2 personnes billets avions paris/hotel/repas - cofa mission cridit mission Jul23 (-600€)?</t>
  </si>
  <si>
    <t>C254467</t>
  </si>
  <si>
    <t>s18 : budget mission a ajouter en enlevant du budget heure environ 2000€</t>
  </si>
  <si>
    <t>C254430</t>
  </si>
  <si>
    <t>s13 : reste RAF transport</t>
  </si>
  <si>
    <t>C254487</t>
  </si>
  <si>
    <t>s13 : fin pointage après les 9h</t>
  </si>
  <si>
    <t>C254460</t>
  </si>
  <si>
    <t>C244220</t>
  </si>
  <si>
    <t>Mail CMA</t>
  </si>
  <si>
    <t>s18 : reste RAF 200€ transport</t>
  </si>
  <si>
    <t>C254491</t>
  </si>
  <si>
    <t>C254454</t>
  </si>
  <si>
    <t>C254486</t>
  </si>
  <si>
    <t>s18 : ajout 20h de RAF car  sous traitant aprix plus de temps que prévu</t>
  </si>
  <si>
    <t>C254481</t>
  </si>
  <si>
    <t>s18 : VGA refacturation frais mission 1250€ -nvlle ligne rajoutée le27/03 pour FNP</t>
  </si>
  <si>
    <t>C254495</t>
  </si>
  <si>
    <t>C254438</t>
  </si>
  <si>
    <t>C254488</t>
  </si>
  <si>
    <t>C254412</t>
  </si>
  <si>
    <t>C254504</t>
  </si>
  <si>
    <t>C254489</t>
  </si>
  <si>
    <t>s22/s18 : LJA ajouter un budget frais easa en defalquant les heures</t>
  </si>
  <si>
    <t>C254476</t>
  </si>
  <si>
    <t>C254511</t>
  </si>
  <si>
    <t>B240127</t>
  </si>
  <si>
    <t>C254465</t>
  </si>
  <si>
    <t>C254512</t>
  </si>
  <si>
    <t>C254503</t>
  </si>
  <si>
    <t>C254516</t>
  </si>
  <si>
    <t>C254517</t>
  </si>
  <si>
    <t>C254519</t>
  </si>
  <si>
    <t xml:space="preserve">MRO  </t>
  </si>
  <si>
    <t>B250090</t>
  </si>
  <si>
    <t>LUD</t>
  </si>
  <si>
    <t>C254480</t>
  </si>
  <si>
    <t>Mail YAD</t>
  </si>
  <si>
    <t>s18 : VGA refaire ventilation heures/achats</t>
  </si>
  <si>
    <t>C254513</t>
  </si>
  <si>
    <t>B250091</t>
  </si>
  <si>
    <t>B250092</t>
  </si>
  <si>
    <t>B250093</t>
  </si>
  <si>
    <t>B250094</t>
  </si>
  <si>
    <t>C244335-M</t>
  </si>
  <si>
    <t>s22 : déplcement fait en mai, les pointages et frais de déplacement devrait remonter</t>
  </si>
  <si>
    <t>C254526</t>
  </si>
  <si>
    <t>C254528</t>
  </si>
  <si>
    <t>C254539</t>
  </si>
  <si>
    <t>s22 : mettre le budget dans clipper</t>
  </si>
  <si>
    <t>C254540</t>
  </si>
  <si>
    <t>C254538</t>
  </si>
  <si>
    <t>C254542</t>
  </si>
  <si>
    <t>C254545</t>
  </si>
  <si>
    <t>C254546</t>
  </si>
  <si>
    <t>C254502</t>
  </si>
  <si>
    <t>C254522</t>
  </si>
  <si>
    <t>C254549</t>
  </si>
  <si>
    <t>C254537</t>
  </si>
  <si>
    <t>C254514</t>
  </si>
  <si>
    <t>copie valeur heures fin s21</t>
  </si>
  <si>
    <t>mettre à jour formule pour la cloture</t>
  </si>
  <si>
    <t>a supprimer</t>
  </si>
  <si>
    <t>intérêt de la colonne si on prend le statut de la première affaire ? =&gt; pas statut du projet</t>
  </si>
  <si>
    <t>Comments</t>
  </si>
  <si>
    <t>REVUE RAF</t>
  </si>
  <si>
    <t>Statut Clipper</t>
  </si>
  <si>
    <t>GTM</t>
  </si>
  <si>
    <t>Pôle</t>
  </si>
  <si>
    <t>Statut suivi de projets</t>
  </si>
  <si>
    <t>Top custo</t>
  </si>
  <si>
    <t>Num Projets</t>
  </si>
  <si>
    <t>Projets</t>
  </si>
  <si>
    <t>Ref Interne</t>
  </si>
  <si>
    <t>Réunion RAF</t>
  </si>
  <si>
    <t>Client</t>
  </si>
  <si>
    <t>CdP</t>
  </si>
  <si>
    <t>Date début</t>
  </si>
  <si>
    <t>Date fin</t>
  </si>
  <si>
    <t>Total Budget
€</t>
  </si>
  <si>
    <t>Ecart Budget M-1
€</t>
  </si>
  <si>
    <t>Total Dépensé Engagé
€</t>
  </si>
  <si>
    <t>Total Dépensé Enregistré
€</t>
  </si>
  <si>
    <t>Total Marge Projeté
%</t>
  </si>
  <si>
    <t>Ecart Marge Projeté M-1
%</t>
  </si>
  <si>
    <t>Objectif de marge %</t>
  </si>
  <si>
    <t>Budget Heures
Hrs</t>
  </si>
  <si>
    <t>Réel Heures Internes
Hrs</t>
  </si>
  <si>
    <t>Réel Heures ST
Hrs</t>
  </si>
  <si>
    <t>RAF Heures
Hrs</t>
  </si>
  <si>
    <t>RAF Heures M-1
Hrs</t>
  </si>
  <si>
    <t>Ecart Heures vs M-1
Hrs</t>
  </si>
  <si>
    <t>Budget Heures Valorisées
€</t>
  </si>
  <si>
    <t>Réel Heures Valorisées
€</t>
  </si>
  <si>
    <t>RAF Heures Valorisées
€</t>
  </si>
  <si>
    <t>Marge prévisionnelle Heures
%</t>
  </si>
  <si>
    <t>Budget Achat HT
€</t>
  </si>
  <si>
    <t>Prévi HA coûts = nomenaf</t>
  </si>
  <si>
    <t>Achats commandés HT
€</t>
  </si>
  <si>
    <t>Achats enregistrés HT
€</t>
  </si>
  <si>
    <t>Commandé-Enregistré yc FNP</t>
  </si>
  <si>
    <t>dont FNP à date (€ HT)</t>
  </si>
  <si>
    <t>RAF Achats
€</t>
  </si>
  <si>
    <t>RAF Achats M-1
€</t>
  </si>
  <si>
    <t>Ecart Achats vs M-1
€</t>
  </si>
  <si>
    <t>Int Commandé OT
€</t>
  </si>
  <si>
    <t>Int Réalisé OT
€</t>
  </si>
  <si>
    <t>RAF Int OT
€</t>
  </si>
  <si>
    <t>RAF OT M-1
€</t>
  </si>
  <si>
    <t>Ecart Int OT vs M-1
€</t>
  </si>
  <si>
    <t>Marge prévisionnelle Achats
%</t>
  </si>
  <si>
    <t>Budget Mission
 €</t>
  </si>
  <si>
    <t>Prévisionnel Missions
€</t>
  </si>
  <si>
    <t>Réel Mission
€</t>
  </si>
  <si>
    <t>RAF Mission
€</t>
  </si>
  <si>
    <t>RAF Mission M-1
€</t>
  </si>
  <si>
    <t>Ecart Mission vs M-1
€</t>
  </si>
  <si>
    <t>Marge prévisionnelle Mission
%</t>
  </si>
  <si>
    <t>Provisions pour risques</t>
  </si>
  <si>
    <t xml:space="preserve">Facturation globale projet à date (€ HT) </t>
  </si>
  <si>
    <t>CA fin N-1</t>
  </si>
  <si>
    <t xml:space="preserve">CA N à date (€ HT) </t>
  </si>
  <si>
    <t>Consommé global Enregistré à date (€ HT)</t>
  </si>
  <si>
    <t>RaF Global à terminaison à date (€ HT)</t>
  </si>
  <si>
    <t>Avancement Global Financier basé sur Enregistré à date (%)</t>
  </si>
  <si>
    <t>Avancement Global Facturation à date (%)</t>
  </si>
  <si>
    <t>PCA basé sur Enregistré à date (€)</t>
  </si>
  <si>
    <t>FAE basé sur Enregistré à date (€)</t>
  </si>
  <si>
    <t>Valeur vente Ingenieur (€ HT)</t>
  </si>
  <si>
    <t>Objectif fin d'année</t>
  </si>
  <si>
    <t>Cohérence Budget</t>
  </si>
  <si>
    <t>ecart couts à terminaison vs M-1</t>
  </si>
  <si>
    <t>écart avancement</t>
  </si>
  <si>
    <t>CA Y</t>
  </si>
  <si>
    <t>Charges Y</t>
  </si>
  <si>
    <t>Marge Y</t>
  </si>
  <si>
    <t>Facturation Y</t>
  </si>
  <si>
    <t>CA mois</t>
  </si>
  <si>
    <t>Charges mois</t>
  </si>
  <si>
    <t>Marge mois</t>
  </si>
  <si>
    <t>Facturation mois</t>
  </si>
  <si>
    <t>Remaining Forecast</t>
  </si>
  <si>
    <t>test m-1</t>
  </si>
  <si>
    <t>hrs à fin s21</t>
  </si>
  <si>
    <t>RaF (h) MO à fin s21</t>
  </si>
  <si>
    <t>RaF (h) MO à fin 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</si>
</sst>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_ ;\-#,##0\ "/>
    <numFmt numFmtId="165" formatCode="_-* #,##0.00\ [$€-40C]_-;\-* #,##0.00\ [$€-40C]_-;_-* &quot;-&quot;??\ [$€-40C]_-;_-@_-"/>
    <numFmt numFmtId="166" formatCode="_-* #,##0\ &quot;€&quot;_-;\-* #,##0\ &quot;€&quot;_-;_-* &quot;-&quot;??\ &quot;€&quot;_-;_-@_-"/>
    <numFmt numFmtId="167" formatCode="#,##0.00\ _€;[Red]\-#,##0.00\ _€"/>
    <numFmt numFmtId="168" formatCode="0.0"/>
    <numFmt numFmtId="169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4"/>
      <name val="Calibri Light"/>
      <family val="2"/>
      <scheme val="major"/>
    </font>
    <font>
      <sz val="9"/>
      <name val="Calibri Light"/>
      <family val="2"/>
      <scheme val="major"/>
    </font>
    <font>
      <sz val="11"/>
      <color rgb="FF000000"/>
      <name val="Calibri"/>
      <family val="2"/>
    </font>
    <font>
      <i/>
      <sz val="9"/>
      <color rgb="FF000000"/>
      <name val="Calibri Light"/>
      <family val="2"/>
      <scheme val="major"/>
    </font>
    <font>
      <i/>
      <sz val="9"/>
      <color rgb="FF0070C0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i/>
      <sz val="9"/>
      <color rgb="FFFF0000"/>
      <name val="Calibri Light"/>
      <family val="2"/>
      <scheme val="major"/>
    </font>
    <font>
      <sz val="9"/>
      <color rgb="FF0070C0"/>
      <name val="Calibri Light"/>
      <family val="2"/>
      <scheme val="major"/>
    </font>
    <font>
      <i/>
      <sz val="9"/>
      <name val="Calibri Light"/>
      <family val="2"/>
      <scheme val="major"/>
    </font>
    <font>
      <sz val="9"/>
      <color theme="5" tint="-0.499984740745262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theme="1"/>
      <name val="Calibri"/>
      <family val="2"/>
      <scheme val="minor"/>
    </font>
    <font>
      <sz val="9"/>
      <color theme="4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b/>
      <sz val="9"/>
      <name val="Calibri Light"/>
      <family val="2"/>
      <scheme val="major"/>
    </font>
    <font>
      <b/>
      <sz val="9"/>
      <color theme="4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b/>
      <i/>
      <sz val="9"/>
      <color theme="0"/>
      <name val="Calibri Light"/>
      <family val="2"/>
      <scheme val="major"/>
    </font>
    <font>
      <b/>
      <i/>
      <sz val="9"/>
      <color theme="8" tint="-0.499984740745262"/>
      <name val="Calibri Light"/>
      <family val="2"/>
      <scheme val="major"/>
    </font>
    <font>
      <b/>
      <i/>
      <sz val="9"/>
      <color rgb="FF0070C0"/>
      <name val="Calibri Light"/>
      <family val="2"/>
      <scheme val="major"/>
    </font>
    <font>
      <sz val="8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4" fontId="7" fillId="0" borderId="0" applyFont="0" applyFill="0" applyBorder="0" applyAlignment="0" applyProtection="0"/>
  </cellStyleXfs>
  <cellXfs count="33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3" fontId="6" fillId="0" borderId="1" xfId="2" applyNumberFormat="1" applyFont="1" applyFill="1" applyBorder="1" applyAlignment="1">
      <alignment horizontal="center" vertical="center"/>
    </xf>
    <xf numFmtId="3" fontId="4" fillId="0" borderId="1" xfId="4" applyNumberFormat="1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7" borderId="1" xfId="2" applyNumberFormat="1" applyFont="1" applyFill="1" applyBorder="1" applyAlignment="1">
      <alignment horizontal="center" vertical="center"/>
    </xf>
    <xf numFmtId="9" fontId="2" fillId="0" borderId="1" xfId="3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44" fontId="2" fillId="0" borderId="1" xfId="2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165" fontId="4" fillId="0" borderId="1" xfId="4" applyNumberFormat="1" applyFont="1" applyBorder="1" applyAlignment="1">
      <alignment horizontal="center" vertical="center"/>
    </xf>
    <xf numFmtId="44" fontId="4" fillId="9" borderId="1" xfId="5" applyFont="1" applyFill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8" fillId="0" borderId="1" xfId="5" applyFont="1" applyBorder="1" applyAlignment="1">
      <alignment horizontal="center" vertical="center"/>
    </xf>
    <xf numFmtId="9" fontId="8" fillId="0" borderId="1" xfId="6" applyFont="1" applyBorder="1" applyAlignment="1">
      <alignment horizontal="center" vertical="center"/>
    </xf>
    <xf numFmtId="167" fontId="8" fillId="0" borderId="1" xfId="5" applyNumberFormat="1" applyFont="1" applyBorder="1" applyAlignment="1">
      <alignment horizontal="center" vertical="center"/>
    </xf>
    <xf numFmtId="167" fontId="4" fillId="0" borderId="1" xfId="4" applyNumberFormat="1" applyFont="1" applyBorder="1" applyAlignment="1">
      <alignment horizontal="center" vertical="center"/>
    </xf>
    <xf numFmtId="167" fontId="8" fillId="0" borderId="1" xfId="7" applyNumberFormat="1" applyFont="1" applyBorder="1" applyAlignment="1">
      <alignment horizontal="center" vertical="center"/>
    </xf>
    <xf numFmtId="167" fontId="4" fillId="0" borderId="1" xfId="5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44" fontId="4" fillId="0" borderId="1" xfId="4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3" fontId="2" fillId="10" borderId="1" xfId="2" applyNumberFormat="1" applyFont="1" applyFill="1" applyBorder="1" applyAlignment="1">
      <alignment horizontal="center" vertical="center"/>
    </xf>
    <xf numFmtId="3" fontId="5" fillId="10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3" fontId="2" fillId="12" borderId="1" xfId="2" applyNumberFormat="1" applyFont="1" applyFill="1" applyBorder="1" applyAlignment="1">
      <alignment horizontal="center" vertical="center"/>
    </xf>
    <xf numFmtId="3" fontId="2" fillId="0" borderId="1" xfId="4" applyNumberFormat="1" applyFont="1" applyBorder="1" applyAlignment="1">
      <alignment horizontal="center" vertical="center"/>
    </xf>
    <xf numFmtId="165" fontId="2" fillId="0" borderId="1" xfId="4" applyNumberFormat="1" applyFont="1" applyBorder="1" applyAlignment="1">
      <alignment horizontal="center" vertical="center"/>
    </xf>
    <xf numFmtId="44" fontId="2" fillId="9" borderId="1" xfId="5" applyFont="1" applyFill="1" applyBorder="1" applyAlignment="1">
      <alignment horizontal="center" vertical="center"/>
    </xf>
    <xf numFmtId="44" fontId="3" fillId="9" borderId="1" xfId="5" applyFont="1" applyFill="1" applyBorder="1" applyAlignment="1">
      <alignment horizontal="center" vertical="center"/>
    </xf>
    <xf numFmtId="165" fontId="3" fillId="0" borderId="1" xfId="4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44" fontId="10" fillId="0" borderId="1" xfId="5" applyFont="1" applyBorder="1" applyAlignment="1">
      <alignment horizontal="center" vertical="center"/>
    </xf>
    <xf numFmtId="9" fontId="11" fillId="0" borderId="1" xfId="6" applyFont="1" applyBorder="1" applyAlignment="1">
      <alignment horizontal="center" vertical="center"/>
    </xf>
    <xf numFmtId="167" fontId="10" fillId="0" borderId="1" xfId="5" applyNumberFormat="1" applyFont="1" applyBorder="1" applyAlignment="1">
      <alignment horizontal="center" vertical="center"/>
    </xf>
    <xf numFmtId="167" fontId="2" fillId="0" borderId="1" xfId="4" applyNumberFormat="1" applyFont="1" applyBorder="1" applyAlignment="1">
      <alignment horizontal="center" vertical="center"/>
    </xf>
    <xf numFmtId="167" fontId="10" fillId="0" borderId="1" xfId="7" applyNumberFormat="1" applyFont="1" applyBorder="1" applyAlignment="1">
      <alignment horizontal="center" vertical="center"/>
    </xf>
    <xf numFmtId="167" fontId="2" fillId="0" borderId="1" xfId="5" applyNumberFormat="1" applyFont="1" applyBorder="1" applyAlignment="1">
      <alignment horizontal="center" vertical="center"/>
    </xf>
    <xf numFmtId="44" fontId="2" fillId="0" borderId="1" xfId="4" applyNumberFormat="1" applyFont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169" fontId="4" fillId="0" borderId="1" xfId="3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44" fontId="6" fillId="0" borderId="1" xfId="2" applyFont="1" applyFill="1" applyBorder="1" applyAlignment="1">
      <alignment horizontal="center" vertical="center"/>
    </xf>
    <xf numFmtId="165" fontId="6" fillId="0" borderId="1" xfId="4" applyNumberFormat="1" applyFont="1" applyBorder="1" applyAlignment="1">
      <alignment horizontal="center" vertical="center"/>
    </xf>
    <xf numFmtId="44" fontId="6" fillId="0" borderId="1" xfId="5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4" fontId="8" fillId="0" borderId="1" xfId="5" applyFont="1" applyFill="1" applyBorder="1" applyAlignment="1">
      <alignment horizontal="center" vertical="center"/>
    </xf>
    <xf numFmtId="9" fontId="8" fillId="0" borderId="1" xfId="6" applyFont="1" applyFill="1" applyBorder="1" applyAlignment="1">
      <alignment horizontal="center" vertical="center"/>
    </xf>
    <xf numFmtId="167" fontId="13" fillId="0" borderId="1" xfId="5" applyNumberFormat="1" applyFont="1" applyFill="1" applyBorder="1" applyAlignment="1">
      <alignment horizontal="center" vertical="center"/>
    </xf>
    <xf numFmtId="167" fontId="6" fillId="0" borderId="1" xfId="4" applyNumberFormat="1" applyFont="1" applyBorder="1" applyAlignment="1">
      <alignment horizontal="center" vertical="center"/>
    </xf>
    <xf numFmtId="167" fontId="13" fillId="0" borderId="1" xfId="7" applyNumberFormat="1" applyFont="1" applyBorder="1" applyAlignment="1">
      <alignment horizontal="center" vertical="center"/>
    </xf>
    <xf numFmtId="167" fontId="6" fillId="0" borderId="1" xfId="5" applyNumberFormat="1" applyFont="1" applyFill="1" applyBorder="1" applyAlignment="1">
      <alignment horizontal="center" vertical="center"/>
    </xf>
    <xf numFmtId="167" fontId="8" fillId="0" borderId="1" xfId="5" applyNumberFormat="1" applyFont="1" applyFill="1" applyBorder="1" applyAlignment="1">
      <alignment horizontal="center" vertical="center"/>
    </xf>
    <xf numFmtId="167" fontId="4" fillId="0" borderId="1" xfId="5" applyNumberFormat="1" applyFont="1" applyFill="1" applyBorder="1" applyAlignment="1">
      <alignment horizontal="center" vertical="center"/>
    </xf>
    <xf numFmtId="44" fontId="6" fillId="0" borderId="1" xfId="4" applyNumberFormat="1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0" fontId="2" fillId="0" borderId="1" xfId="3" applyNumberFormat="1" applyFont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3" fontId="6" fillId="10" borderId="1" xfId="2" applyNumberFormat="1" applyFont="1" applyFill="1" applyBorder="1" applyAlignment="1">
      <alignment horizontal="center" vertical="center"/>
    </xf>
    <xf numFmtId="9" fontId="2" fillId="7" borderId="1" xfId="3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3" fontId="3" fillId="10" borderId="1" xfId="2" applyNumberFormat="1" applyFont="1" applyFill="1" applyBorder="1" applyAlignment="1">
      <alignment horizontal="center" vertical="center"/>
    </xf>
    <xf numFmtId="3" fontId="6" fillId="12" borderId="1" xfId="2" applyNumberFormat="1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9" fontId="2" fillId="0" borderId="1" xfId="8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3" fontId="6" fillId="1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6" fillId="0" borderId="1" xfId="8" applyNumberFormat="1" applyFont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9" fontId="3" fillId="0" borderId="1" xfId="8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3" fontId="6" fillId="0" borderId="1" xfId="4" applyNumberFormat="1" applyFont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3" fontId="6" fillId="7" borderId="1" xfId="2" applyNumberFormat="1" applyFont="1" applyFill="1" applyBorder="1" applyAlignment="1">
      <alignment horizontal="center" vertical="center"/>
    </xf>
    <xf numFmtId="3" fontId="3" fillId="0" borderId="1" xfId="2" applyNumberFormat="1" applyFont="1" applyFill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44" fontId="6" fillId="0" borderId="1" xfId="2" applyFont="1" applyBorder="1" applyAlignment="1">
      <alignment horizontal="center" vertical="center"/>
    </xf>
    <xf numFmtId="44" fontId="6" fillId="9" borderId="1" xfId="5" applyFont="1" applyFill="1" applyBorder="1" applyAlignment="1">
      <alignment horizontal="center" vertical="center"/>
    </xf>
    <xf numFmtId="9" fontId="6" fillId="7" borderId="1" xfId="3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44" fontId="13" fillId="0" borderId="1" xfId="5" applyFont="1" applyBorder="1" applyAlignment="1">
      <alignment horizontal="center" vertical="center"/>
    </xf>
    <xf numFmtId="167" fontId="13" fillId="0" borderId="1" xfId="2" applyNumberFormat="1" applyFont="1" applyBorder="1" applyAlignment="1">
      <alignment horizontal="center" vertical="center"/>
    </xf>
    <xf numFmtId="167" fontId="6" fillId="0" borderId="1" xfId="5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13" fillId="0" borderId="1" xfId="5" applyNumberFormat="1" applyFont="1" applyBorder="1" applyAlignment="1">
      <alignment horizontal="center" vertical="center"/>
    </xf>
    <xf numFmtId="169" fontId="2" fillId="0" borderId="1" xfId="3" applyNumberFormat="1" applyFont="1" applyBorder="1" applyAlignment="1">
      <alignment horizontal="center" vertical="center"/>
    </xf>
    <xf numFmtId="44" fontId="2" fillId="16" borderId="1" xfId="2" applyFont="1" applyFill="1" applyBorder="1" applyAlignment="1">
      <alignment horizontal="center" vertical="center"/>
    </xf>
    <xf numFmtId="9" fontId="2" fillId="11" borderId="1" xfId="0" applyNumberFormat="1" applyFont="1" applyFill="1" applyBorder="1" applyAlignment="1">
      <alignment horizontal="center" vertical="center"/>
    </xf>
    <xf numFmtId="169" fontId="6" fillId="0" borderId="1" xfId="8" applyNumberFormat="1" applyFont="1" applyBorder="1" applyAlignment="1">
      <alignment horizontal="center" vertical="center"/>
    </xf>
    <xf numFmtId="3" fontId="5" fillId="0" borderId="1" xfId="2" applyNumberFormat="1" applyFont="1" applyFill="1" applyBorder="1" applyAlignment="1">
      <alignment horizontal="center" vertical="center"/>
    </xf>
    <xf numFmtId="9" fontId="4" fillId="8" borderId="1" xfId="3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/>
    </xf>
    <xf numFmtId="9" fontId="2" fillId="17" borderId="1" xfId="3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3" fontId="2" fillId="10" borderId="1" xfId="1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67" fontId="3" fillId="0" borderId="1" xfId="5" applyNumberFormat="1" applyFont="1" applyBorder="1" applyAlignment="1">
      <alignment horizontal="center" vertical="center"/>
    </xf>
    <xf numFmtId="44" fontId="3" fillId="0" borderId="1" xfId="4" applyNumberFormat="1" applyFont="1" applyBorder="1" applyAlignment="1">
      <alignment horizontal="center" vertical="center"/>
    </xf>
    <xf numFmtId="4" fontId="6" fillId="0" borderId="1" xfId="2" applyNumberFormat="1" applyFont="1" applyFill="1" applyBorder="1" applyAlignment="1">
      <alignment horizontal="center" vertical="center"/>
    </xf>
    <xf numFmtId="4" fontId="6" fillId="0" borderId="1" xfId="2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9" fontId="13" fillId="0" borderId="1" xfId="6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3" fontId="2" fillId="19" borderId="1" xfId="0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44" fontId="6" fillId="16" borderId="1" xfId="2" applyFont="1" applyFill="1" applyBorder="1" applyAlignment="1">
      <alignment horizontal="center" vertical="center"/>
    </xf>
    <xf numFmtId="167" fontId="11" fillId="0" borderId="1" xfId="5" applyNumberFormat="1" applyFont="1" applyBorder="1" applyAlignment="1">
      <alignment horizontal="center" vertical="center"/>
    </xf>
    <xf numFmtId="167" fontId="11" fillId="0" borderId="1" xfId="7" applyNumberFormat="1" applyFont="1" applyBorder="1" applyAlignment="1">
      <alignment horizontal="center" vertical="center"/>
    </xf>
    <xf numFmtId="9" fontId="2" fillId="20" borderId="1" xfId="8" applyNumberFormat="1" applyFont="1" applyFill="1" applyBorder="1" applyAlignment="1">
      <alignment horizontal="center" vertical="center"/>
    </xf>
    <xf numFmtId="3" fontId="14" fillId="10" borderId="1" xfId="2" applyNumberFormat="1" applyFont="1" applyFill="1" applyBorder="1" applyAlignment="1">
      <alignment horizontal="center" vertical="center"/>
    </xf>
    <xf numFmtId="44" fontId="2" fillId="20" borderId="1" xfId="2" applyFont="1" applyFill="1" applyBorder="1" applyAlignment="1">
      <alignment horizontal="center" vertical="center"/>
    </xf>
    <xf numFmtId="165" fontId="2" fillId="20" borderId="1" xfId="4" applyNumberFormat="1" applyFont="1" applyFill="1" applyBorder="1" applyAlignment="1">
      <alignment horizontal="center" vertical="center"/>
    </xf>
    <xf numFmtId="44" fontId="4" fillId="20" borderId="1" xfId="5" applyFont="1" applyFill="1" applyBorder="1" applyAlignment="1">
      <alignment horizontal="center" vertical="center"/>
    </xf>
    <xf numFmtId="9" fontId="2" fillId="20" borderId="1" xfId="3" applyFont="1" applyFill="1" applyBorder="1" applyAlignment="1">
      <alignment horizontal="center" vertical="center"/>
    </xf>
    <xf numFmtId="166" fontId="2" fillId="20" borderId="1" xfId="1" applyNumberFormat="1" applyFont="1" applyFill="1" applyBorder="1" applyAlignment="1">
      <alignment horizontal="center" vertical="center"/>
    </xf>
    <xf numFmtId="167" fontId="8" fillId="20" borderId="1" xfId="2" applyNumberFormat="1" applyFont="1" applyFill="1" applyBorder="1" applyAlignment="1">
      <alignment horizontal="center" vertical="center"/>
    </xf>
    <xf numFmtId="167" fontId="4" fillId="20" borderId="1" xfId="4" applyNumberFormat="1" applyFont="1" applyFill="1" applyBorder="1" applyAlignment="1">
      <alignment horizontal="center" vertical="center"/>
    </xf>
    <xf numFmtId="167" fontId="8" fillId="20" borderId="1" xfId="7" applyNumberFormat="1" applyFont="1" applyFill="1" applyBorder="1" applyAlignment="1">
      <alignment horizontal="center" vertical="center"/>
    </xf>
    <xf numFmtId="167" fontId="4" fillId="20" borderId="1" xfId="5" applyNumberFormat="1" applyFont="1" applyFill="1" applyBorder="1" applyAlignment="1">
      <alignment horizontal="center" vertical="center"/>
    </xf>
    <xf numFmtId="44" fontId="4" fillId="20" borderId="1" xfId="4" applyNumberFormat="1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3" fontId="2" fillId="0" borderId="2" xfId="2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0" borderId="2" xfId="3" applyFont="1" applyFill="1" applyBorder="1" applyAlignment="1">
      <alignment horizontal="center" vertical="center"/>
    </xf>
    <xf numFmtId="3" fontId="5" fillId="0" borderId="2" xfId="2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9" fontId="2" fillId="0" borderId="2" xfId="3" applyFont="1" applyFill="1" applyBorder="1" applyAlignment="1">
      <alignment horizontal="center" vertical="center"/>
    </xf>
    <xf numFmtId="3" fontId="6" fillId="0" borderId="2" xfId="2" applyNumberFormat="1" applyFont="1" applyFill="1" applyBorder="1" applyAlignment="1">
      <alignment horizontal="center" vertical="center"/>
    </xf>
    <xf numFmtId="3" fontId="2" fillId="0" borderId="2" xfId="2" applyNumberFormat="1" applyFont="1" applyFill="1" applyBorder="1" applyAlignment="1">
      <alignment horizontal="center" vertical="center"/>
    </xf>
    <xf numFmtId="3" fontId="2" fillId="7" borderId="2" xfId="2" applyNumberFormat="1" applyFont="1" applyFill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/>
    </xf>
    <xf numFmtId="9" fontId="2" fillId="0" borderId="2" xfId="3" applyFont="1" applyBorder="1" applyAlignment="1">
      <alignment horizontal="center" vertical="center"/>
    </xf>
    <xf numFmtId="44" fontId="2" fillId="0" borderId="2" xfId="2" applyFont="1" applyBorder="1" applyAlignment="1">
      <alignment horizontal="center" vertical="center"/>
    </xf>
    <xf numFmtId="165" fontId="2" fillId="0" borderId="2" xfId="4" applyNumberFormat="1" applyFont="1" applyBorder="1" applyAlignment="1">
      <alignment horizontal="center" vertical="center"/>
    </xf>
    <xf numFmtId="44" fontId="4" fillId="9" borderId="2" xfId="5" applyFont="1" applyFill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67" fontId="8" fillId="0" borderId="2" xfId="2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167" fontId="8" fillId="0" borderId="2" xfId="7" applyNumberFormat="1" applyFont="1" applyBorder="1" applyAlignment="1">
      <alignment horizontal="center" vertical="center"/>
    </xf>
    <xf numFmtId="167" fontId="4" fillId="0" borderId="2" xfId="5" applyNumberFormat="1" applyFont="1" applyBorder="1" applyAlignment="1">
      <alignment horizontal="center" vertical="center"/>
    </xf>
    <xf numFmtId="44" fontId="4" fillId="0" borderId="2" xfId="4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9" fontId="4" fillId="0" borderId="4" xfId="3" applyFont="1" applyFill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center" vertical="center"/>
    </xf>
    <xf numFmtId="3" fontId="2" fillId="0" borderId="6" xfId="2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9" fontId="4" fillId="0" borderId="7" xfId="3" applyFont="1" applyFill="1" applyBorder="1" applyAlignment="1">
      <alignment horizontal="center" vertical="center"/>
    </xf>
    <xf numFmtId="3" fontId="5" fillId="10" borderId="6" xfId="2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7" xfId="2" applyNumberFormat="1" applyFont="1" applyBorder="1" applyAlignment="1">
      <alignment horizontal="center" vertical="center"/>
    </xf>
    <xf numFmtId="9" fontId="2" fillId="0" borderId="7" xfId="3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/>
    </xf>
    <xf numFmtId="3" fontId="2" fillId="8" borderId="6" xfId="0" applyNumberFormat="1" applyFont="1" applyFill="1" applyBorder="1" applyAlignment="1">
      <alignment horizontal="center" vertical="center"/>
    </xf>
    <xf numFmtId="3" fontId="2" fillId="0" borderId="7" xfId="2" applyNumberFormat="1" applyFont="1" applyFill="1" applyBorder="1" applyAlignment="1">
      <alignment horizontal="center" vertical="center"/>
    </xf>
    <xf numFmtId="3" fontId="2" fillId="7" borderId="6" xfId="2" applyNumberFormat="1" applyFont="1" applyFill="1" applyBorder="1" applyAlignment="1">
      <alignment horizontal="center" vertical="center"/>
    </xf>
    <xf numFmtId="3" fontId="2" fillId="0" borderId="7" xfId="1" applyNumberFormat="1" applyFont="1" applyBorder="1" applyAlignment="1">
      <alignment horizontal="center" vertical="center"/>
    </xf>
    <xf numFmtId="9" fontId="2" fillId="0" borderId="7" xfId="3" applyFont="1" applyBorder="1" applyAlignment="1">
      <alignment horizontal="center" vertical="center"/>
    </xf>
    <xf numFmtId="44" fontId="2" fillId="0" borderId="7" xfId="2" applyFont="1" applyBorder="1" applyAlignment="1">
      <alignment horizontal="center" vertical="center"/>
    </xf>
    <xf numFmtId="165" fontId="2" fillId="0" borderId="7" xfId="4" applyNumberFormat="1" applyFont="1" applyBorder="1" applyAlignment="1">
      <alignment horizontal="center" vertical="center"/>
    </xf>
    <xf numFmtId="44" fontId="4" fillId="9" borderId="7" xfId="5" applyFont="1" applyFill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167" fontId="8" fillId="0" borderId="7" xfId="2" applyNumberFormat="1" applyFont="1" applyBorder="1" applyAlignment="1">
      <alignment horizontal="center" vertical="center"/>
    </xf>
    <xf numFmtId="167" fontId="4" fillId="0" borderId="7" xfId="4" applyNumberFormat="1" applyFont="1" applyBorder="1" applyAlignment="1">
      <alignment horizontal="center" vertical="center"/>
    </xf>
    <xf numFmtId="167" fontId="8" fillId="0" borderId="7" xfId="7" applyNumberFormat="1" applyFont="1" applyBorder="1" applyAlignment="1">
      <alignment horizontal="center" vertical="center"/>
    </xf>
    <xf numFmtId="167" fontId="4" fillId="0" borderId="7" xfId="5" applyNumberFormat="1" applyFont="1" applyBorder="1" applyAlignment="1">
      <alignment horizontal="center" vertical="center"/>
    </xf>
    <xf numFmtId="44" fontId="4" fillId="0" borderId="7" xfId="4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3" fontId="3" fillId="0" borderId="5" xfId="2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4" fontId="3" fillId="2" borderId="0" xfId="2" applyFont="1" applyFill="1" applyAlignment="1">
      <alignment horizontal="center" vertical="center"/>
    </xf>
    <xf numFmtId="0" fontId="2" fillId="3" borderId="0" xfId="3" applyNumberFormat="1" applyFont="1" applyFill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left" vertical="center"/>
    </xf>
    <xf numFmtId="44" fontId="3" fillId="2" borderId="0" xfId="2" applyFont="1" applyFill="1" applyAlignment="1">
      <alignment horizontal="right" vertical="center"/>
    </xf>
    <xf numFmtId="44" fontId="2" fillId="3" borderId="0" xfId="2" applyFont="1" applyFill="1" applyAlignment="1">
      <alignment horizontal="center" vertical="center"/>
    </xf>
    <xf numFmtId="43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12" fillId="0" borderId="0" xfId="2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3" fontId="19" fillId="0" borderId="0" xfId="2" applyNumberFormat="1" applyFont="1" applyAlignment="1">
      <alignment horizontal="center" vertical="center"/>
    </xf>
    <xf numFmtId="9" fontId="4" fillId="0" borderId="0" xfId="3" applyFont="1" applyFill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3" fontId="3" fillId="10" borderId="0" xfId="0" applyNumberFormat="1" applyFont="1" applyFill="1" applyAlignment="1">
      <alignment vertical="center"/>
    </xf>
    <xf numFmtId="3" fontId="3" fillId="10" borderId="0" xfId="0" applyNumberFormat="1" applyFont="1" applyFill="1" applyAlignment="1">
      <alignment horizontal="center" vertical="center"/>
    </xf>
    <xf numFmtId="3" fontId="3" fillId="10" borderId="0" xfId="2" applyNumberFormat="1" applyFont="1" applyFill="1" applyAlignment="1">
      <alignment horizontal="center" vertical="center"/>
    </xf>
    <xf numFmtId="9" fontId="2" fillId="0" borderId="0" xfId="3" applyFont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44" fontId="2" fillId="0" borderId="0" xfId="2" applyFont="1" applyAlignment="1">
      <alignment horizontal="center" vertical="center"/>
    </xf>
    <xf numFmtId="9" fontId="4" fillId="0" borderId="9" xfId="3" applyFont="1" applyBorder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2" fontId="3" fillId="2" borderId="0" xfId="0" applyNumberFormat="1" applyFont="1" applyFill="1" applyAlignment="1">
      <alignment horizontal="left" vertical="center"/>
    </xf>
    <xf numFmtId="44" fontId="2" fillId="3" borderId="0" xfId="2" applyFont="1" applyFill="1" applyAlignment="1">
      <alignment horizontal="center" vertical="center" wrapText="1"/>
    </xf>
    <xf numFmtId="3" fontId="20" fillId="0" borderId="0" xfId="2" applyNumberFormat="1" applyFont="1" applyAlignment="1">
      <alignment horizontal="center" vertical="center"/>
    </xf>
    <xf numFmtId="3" fontId="21" fillId="0" borderId="0" xfId="2" applyNumberFormat="1" applyFont="1" applyAlignment="1">
      <alignment horizontal="center" vertical="center"/>
    </xf>
    <xf numFmtId="44" fontId="19" fillId="0" borderId="0" xfId="2" applyFont="1" applyAlignment="1">
      <alignment horizontal="center" vertical="center"/>
    </xf>
    <xf numFmtId="9" fontId="4" fillId="0" borderId="10" xfId="3" applyFont="1" applyBorder="1" applyAlignment="1">
      <alignment horizontal="center" vertical="center"/>
    </xf>
    <xf numFmtId="3" fontId="9" fillId="21" borderId="0" xfId="3" applyNumberFormat="1" applyFont="1" applyFill="1" applyAlignment="1">
      <alignment horizontal="center" vertical="center"/>
    </xf>
    <xf numFmtId="0" fontId="22" fillId="22" borderId="11" xfId="4" applyFont="1" applyFill="1" applyBorder="1" applyAlignment="1">
      <alignment horizontal="center" vertical="center"/>
    </xf>
    <xf numFmtId="0" fontId="22" fillId="23" borderId="6" xfId="4" applyFont="1" applyFill="1" applyBorder="1" applyAlignment="1">
      <alignment horizontal="center" vertical="center" wrapText="1"/>
    </xf>
    <xf numFmtId="0" fontId="22" fillId="24" borderId="6" xfId="4" applyFont="1" applyFill="1" applyBorder="1" applyAlignment="1">
      <alignment horizontal="center" vertical="center" wrapText="1"/>
    </xf>
    <xf numFmtId="0" fontId="22" fillId="22" borderId="6" xfId="4" applyFont="1" applyFill="1" applyBorder="1" applyAlignment="1">
      <alignment horizontal="center" vertical="center" wrapText="1"/>
    </xf>
    <xf numFmtId="0" fontId="22" fillId="22" borderId="6" xfId="4" applyFont="1" applyFill="1" applyBorder="1" applyAlignment="1">
      <alignment horizontal="left" vertical="center" wrapText="1"/>
    </xf>
    <xf numFmtId="14" fontId="22" fillId="22" borderId="6" xfId="5" applyNumberFormat="1" applyFont="1" applyFill="1" applyBorder="1" applyAlignment="1">
      <alignment horizontal="center" vertical="center" wrapText="1"/>
    </xf>
    <xf numFmtId="14" fontId="22" fillId="22" borderId="6" xfId="4" applyNumberFormat="1" applyFont="1" applyFill="1" applyBorder="1" applyAlignment="1">
      <alignment horizontal="center" vertical="center" wrapText="1"/>
    </xf>
    <xf numFmtId="3" fontId="23" fillId="25" borderId="6" xfId="5" applyNumberFormat="1" applyFont="1" applyFill="1" applyBorder="1" applyAlignment="1">
      <alignment horizontal="center" vertical="center" wrapText="1"/>
    </xf>
    <xf numFmtId="164" fontId="23" fillId="25" borderId="6" xfId="5" applyNumberFormat="1" applyFont="1" applyFill="1" applyBorder="1" applyAlignment="1">
      <alignment horizontal="center" vertical="center" wrapText="1"/>
    </xf>
    <xf numFmtId="9" fontId="23" fillId="15" borderId="6" xfId="3" applyFont="1" applyFill="1" applyBorder="1" applyAlignment="1">
      <alignment horizontal="center" vertical="center" wrapText="1"/>
    </xf>
    <xf numFmtId="3" fontId="24" fillId="26" borderId="6" xfId="4" applyNumberFormat="1" applyFont="1" applyFill="1" applyBorder="1" applyAlignment="1">
      <alignment horizontal="center" vertical="center" wrapText="1"/>
    </xf>
    <xf numFmtId="3" fontId="24" fillId="26" borderId="6" xfId="9" applyNumberFormat="1" applyFont="1" applyFill="1" applyBorder="1" applyAlignment="1">
      <alignment horizontal="center" vertical="center" wrapText="1"/>
    </xf>
    <xf numFmtId="3" fontId="22" fillId="26" borderId="6" xfId="5" applyNumberFormat="1" applyFont="1" applyFill="1" applyBorder="1" applyAlignment="1">
      <alignment horizontal="center" vertical="center" wrapText="1"/>
    </xf>
    <xf numFmtId="3" fontId="22" fillId="26" borderId="6" xfId="2" applyNumberFormat="1" applyFont="1" applyFill="1" applyBorder="1" applyAlignment="1">
      <alignment horizontal="center" vertical="center" wrapText="1"/>
    </xf>
    <xf numFmtId="9" fontId="22" fillId="26" borderId="6" xfId="3" applyFont="1" applyFill="1" applyBorder="1" applyAlignment="1">
      <alignment horizontal="center" vertical="center" wrapText="1"/>
    </xf>
    <xf numFmtId="3" fontId="22" fillId="27" borderId="6" xfId="2" applyNumberFormat="1" applyFont="1" applyFill="1" applyBorder="1" applyAlignment="1">
      <alignment horizontal="center" vertical="center" wrapText="1"/>
    </xf>
    <xf numFmtId="3" fontId="25" fillId="6" borderId="6" xfId="0" applyNumberFormat="1" applyFont="1" applyFill="1" applyBorder="1" applyAlignment="1">
      <alignment horizontal="center" vertical="center" wrapText="1"/>
    </xf>
    <xf numFmtId="3" fontId="23" fillId="27" borderId="6" xfId="5" applyNumberFormat="1" applyFont="1" applyFill="1" applyBorder="1" applyAlignment="1">
      <alignment horizontal="center" vertical="center" wrapText="1"/>
    </xf>
    <xf numFmtId="3" fontId="22" fillId="27" borderId="6" xfId="5" applyNumberFormat="1" applyFont="1" applyFill="1" applyBorder="1" applyAlignment="1">
      <alignment horizontal="center" vertical="center" wrapText="1"/>
    </xf>
    <xf numFmtId="3" fontId="26" fillId="27" borderId="6" xfId="5" applyNumberFormat="1" applyFont="1" applyFill="1" applyBorder="1" applyAlignment="1">
      <alignment horizontal="center" vertical="center" wrapText="1"/>
    </xf>
    <xf numFmtId="3" fontId="22" fillId="28" borderId="6" xfId="5" applyNumberFormat="1" applyFont="1" applyFill="1" applyBorder="1" applyAlignment="1">
      <alignment horizontal="center" vertical="center" wrapText="1"/>
    </xf>
    <xf numFmtId="3" fontId="23" fillId="28" borderId="6" xfId="5" applyNumberFormat="1" applyFont="1" applyFill="1" applyBorder="1" applyAlignment="1">
      <alignment horizontal="center" vertical="center" wrapText="1"/>
    </xf>
    <xf numFmtId="9" fontId="22" fillId="27" borderId="6" xfId="3" applyFont="1" applyFill="1" applyBorder="1" applyAlignment="1">
      <alignment horizontal="center" vertical="center" wrapText="1"/>
    </xf>
    <xf numFmtId="3" fontId="22" fillId="29" borderId="6" xfId="2" applyNumberFormat="1" applyFont="1" applyFill="1" applyBorder="1" applyAlignment="1">
      <alignment horizontal="center" vertical="center" wrapText="1"/>
    </xf>
    <xf numFmtId="3" fontId="22" fillId="29" borderId="6" xfId="5" applyNumberFormat="1" applyFont="1" applyFill="1" applyBorder="1" applyAlignment="1">
      <alignment horizontal="center" vertical="center" wrapText="1"/>
    </xf>
    <xf numFmtId="0" fontId="22" fillId="29" borderId="6" xfId="4" applyFont="1" applyFill="1" applyBorder="1" applyAlignment="1">
      <alignment horizontal="center" vertical="center" wrapText="1"/>
    </xf>
    <xf numFmtId="0" fontId="22" fillId="30" borderId="6" xfId="4" applyFont="1" applyFill="1" applyBorder="1" applyAlignment="1">
      <alignment horizontal="center" vertical="center" wrapText="1"/>
    </xf>
    <xf numFmtId="44" fontId="22" fillId="31" borderId="6" xfId="2" applyFont="1" applyFill="1" applyBorder="1" applyAlignment="1">
      <alignment horizontal="center" vertical="center" wrapText="1"/>
    </xf>
    <xf numFmtId="44" fontId="22" fillId="31" borderId="6" xfId="5" applyFont="1" applyFill="1" applyBorder="1" applyAlignment="1">
      <alignment horizontal="center" vertical="center" wrapText="1"/>
    </xf>
    <xf numFmtId="9" fontId="22" fillId="31" borderId="6" xfId="3" applyFont="1" applyFill="1" applyBorder="1" applyAlignment="1">
      <alignment horizontal="center" vertical="center" wrapText="1"/>
    </xf>
    <xf numFmtId="1" fontId="22" fillId="31" borderId="6" xfId="5" applyNumberFormat="1" applyFont="1" applyFill="1" applyBorder="1" applyAlignment="1">
      <alignment horizontal="center" vertical="center" wrapText="1"/>
    </xf>
    <xf numFmtId="9" fontId="22" fillId="31" borderId="6" xfId="6" applyFont="1" applyFill="1" applyBorder="1" applyAlignment="1">
      <alignment horizontal="center" vertical="center" wrapText="1"/>
    </xf>
    <xf numFmtId="44" fontId="27" fillId="31" borderId="6" xfId="5" applyFont="1" applyFill="1" applyBorder="1" applyAlignment="1">
      <alignment horizontal="center" vertical="center" wrapText="1"/>
    </xf>
    <xf numFmtId="0" fontId="27" fillId="32" borderId="6" xfId="7" applyFont="1" applyFill="1" applyBorder="1" applyAlignment="1">
      <alignment horizontal="center" vertical="center" wrapText="1"/>
    </xf>
    <xf numFmtId="44" fontId="28" fillId="31" borderId="6" xfId="5" applyFont="1" applyFill="1" applyBorder="1" applyAlignment="1">
      <alignment horizontal="center" vertical="center" wrapText="1"/>
    </xf>
    <xf numFmtId="44" fontId="28" fillId="32" borderId="6" xfId="5" applyFont="1" applyFill="1" applyBorder="1" applyAlignment="1">
      <alignment horizontal="center" vertical="center" wrapText="1"/>
    </xf>
    <xf numFmtId="0" fontId="28" fillId="32" borderId="6" xfId="7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/>
    </xf>
    <xf numFmtId="168" fontId="29" fillId="28" borderId="6" xfId="9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11" borderId="12" xfId="0" applyFont="1" applyFill="1" applyBorder="1" applyAlignment="1">
      <alignment horizontal="left" vertical="center"/>
    </xf>
    <xf numFmtId="0" fontId="2" fillId="13" borderId="12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15" borderId="12" xfId="0" applyFont="1" applyFill="1" applyBorder="1" applyAlignment="1">
      <alignment horizontal="left" vertical="center"/>
    </xf>
    <xf numFmtId="0" fontId="6" fillId="13" borderId="12" xfId="0" applyFont="1" applyFill="1" applyBorder="1" applyAlignment="1">
      <alignment horizontal="left" vertical="center"/>
    </xf>
    <xf numFmtId="9" fontId="6" fillId="0" borderId="0" xfId="3" applyFont="1" applyAlignment="1">
      <alignment horizontal="center" vertical="center"/>
    </xf>
    <xf numFmtId="0" fontId="2" fillId="13" borderId="3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3" fontId="2" fillId="0" borderId="0" xfId="3" applyNumberFormat="1" applyFont="1" applyAlignment="1">
      <alignment horizontal="center" vertical="center"/>
    </xf>
    <xf numFmtId="0" fontId="19" fillId="0" borderId="0" xfId="0" applyFont="1"/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0">
    <cellStyle name="Milliers" xfId="1" builtinId="3"/>
    <cellStyle name="Monétaire" xfId="2" builtinId="4"/>
    <cellStyle name="Monétaire 2" xfId="5" xr:uid="{85E83928-1C24-4BF2-872F-C71E20707984}"/>
    <cellStyle name="Monétaire 3 2 2" xfId="9" xr:uid="{88C424B0-93F1-4623-9DD9-3804506D4789}"/>
    <cellStyle name="Normal" xfId="0" builtinId="0"/>
    <cellStyle name="Normal 10 2" xfId="4" xr:uid="{60625694-5F50-4468-AD0A-63D20CA0436E}"/>
    <cellStyle name="Normal 2" xfId="7" xr:uid="{7FACF8A7-C851-45DF-90BC-C12E38317267}"/>
    <cellStyle name="Normal 3" xfId="8" xr:uid="{7D95EADC-63C6-46DA-B826-52CE5229F742}"/>
    <cellStyle name="Pourcentage" xfId="3" builtinId="5"/>
    <cellStyle name="Pourcentage 10 2" xfId="6" xr:uid="{FA05F266-EEC3-4FCC-8E54-88E5F89F482B}"/>
  </cellStyles>
  <dxfs count="193"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 Light"/>
        <family val="2"/>
        <scheme val="major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 Light"/>
        <family val="2"/>
        <scheme val="major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 Light"/>
        <family val="2"/>
        <scheme val="major"/>
      </font>
      <numFmt numFmtId="168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 Light"/>
        <family val="2"/>
        <scheme val="major"/>
      </font>
      <numFmt numFmtId="168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 Light"/>
        <family val="2"/>
        <scheme val="major"/>
      </font>
      <numFmt numFmtId="168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#,##0.00\ _€;[Red]\-#,##0.00\ _€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#,##0.00\ _€;[Red]\-#,##0.00\ _€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67" formatCode="#,##0.00\ _€;[Red]\-#,##0.00\ _€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-* #,##0\ &quot;€&quot;_-;\-* #,##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_-* #,##0\ &quot;€&quot;_-;\-* #,##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rgb="FF92D05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fill>
        <patternFill patternType="solid">
          <fgColor indexed="64"/>
          <bgColor theme="9" tint="0.59999389629810485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4" formatCode="#,##0_ ;\-#,##0\ 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4" formatCode="#,##0_ ;\-#,##0\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solid"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fill>
        <patternFill patternType="none">
          <fgColor indexed="64"/>
          <bgColor theme="2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maj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lobasoft\aerotech\fic\Suivi%20Projets%20AEC%20-%20source.xlsb" TargetMode="External"/><Relationship Id="rId1" Type="http://schemas.openxmlformats.org/officeDocument/2006/relationships/externalLinkPath" Target="Suivi%20Projets%20AEC%20-%20source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BE\Finance\07%20-%20Suivi%20Projets\2025\2025.05\FNP%20AEC%20projets%202025.05.xlsx" TargetMode="External"/><Relationship Id="rId1" Type="http://schemas.openxmlformats.org/officeDocument/2006/relationships/externalLinkPath" Target="file:///S:\BE\Finance\07%20-%20Suivi%20Projets\2025\2025.05\FNP%20AEC%20projets%202025.0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BE\Finance\07%20-%20Suivi%20Projets\2024\2024.03\FNP%20AEC%20projets%202024.03.xlsx" TargetMode="External"/><Relationship Id="rId1" Type="http://schemas.openxmlformats.org/officeDocument/2006/relationships/externalLinkPath" Target="file:///S:\BE\Finance\07%20-%20Suivi%20Projets\2024\2024.03\FNP%20AEC%20projets%202024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mai"/>
      <sheetName val="2024nov"/>
      <sheetName val="2024oct"/>
      <sheetName val="2024sep"/>
      <sheetName val="2024aou"/>
      <sheetName val="2024jul"/>
      <sheetName val="2024jun"/>
      <sheetName val="2024mai"/>
      <sheetName val="2024avr"/>
      <sheetName val="2024mar"/>
      <sheetName val="2024fev"/>
      <sheetName val="2024jan"/>
      <sheetName val="2023dec"/>
      <sheetName val="2023oct"/>
      <sheetName val="2023sep"/>
      <sheetName val="2023aou"/>
      <sheetName val="2023jul"/>
      <sheetName val="2023jun"/>
      <sheetName val="2023mai"/>
      <sheetName val="2023avr"/>
      <sheetName val="2023mar"/>
      <sheetName val="2023fev"/>
      <sheetName val="2023jan"/>
      <sheetName val="2022dec"/>
      <sheetName val="2022jan"/>
      <sheetName val="2021dec"/>
      <sheetName val="2023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1</v>
          </cell>
          <cell r="I1">
            <v>2</v>
          </cell>
          <cell r="J1">
            <v>3</v>
          </cell>
          <cell r="K1">
            <v>4</v>
          </cell>
          <cell r="L1">
            <v>5</v>
          </cell>
          <cell r="M1">
            <v>6</v>
          </cell>
          <cell r="N1">
            <v>7</v>
          </cell>
          <cell r="O1">
            <v>8</v>
          </cell>
          <cell r="P1">
            <v>9</v>
          </cell>
          <cell r="Q1">
            <v>10</v>
          </cell>
          <cell r="R1">
            <v>11</v>
          </cell>
          <cell r="S1">
            <v>12</v>
          </cell>
          <cell r="T1">
            <v>13</v>
          </cell>
          <cell r="U1">
            <v>14</v>
          </cell>
          <cell r="V1">
            <v>15</v>
          </cell>
          <cell r="W1">
            <v>16</v>
          </cell>
          <cell r="X1">
            <v>17</v>
          </cell>
          <cell r="Y1">
            <v>18</v>
          </cell>
          <cell r="Z1">
            <v>19</v>
          </cell>
          <cell r="AA1">
            <v>20</v>
          </cell>
          <cell r="AB1">
            <v>21</v>
          </cell>
          <cell r="AC1">
            <v>22</v>
          </cell>
          <cell r="AD1">
            <v>23</v>
          </cell>
          <cell r="AE1">
            <v>24</v>
          </cell>
          <cell r="AF1">
            <v>25</v>
          </cell>
          <cell r="AG1">
            <v>26</v>
          </cell>
          <cell r="AH1">
            <v>27</v>
          </cell>
          <cell r="AI1">
            <v>28</v>
          </cell>
          <cell r="AJ1">
            <v>29</v>
          </cell>
          <cell r="AK1">
            <v>30</v>
          </cell>
          <cell r="AL1">
            <v>31</v>
          </cell>
          <cell r="AM1">
            <v>32</v>
          </cell>
          <cell r="AN1">
            <v>33</v>
          </cell>
          <cell r="AO1">
            <v>34</v>
          </cell>
          <cell r="AP1">
            <v>35</v>
          </cell>
          <cell r="AQ1">
            <v>36</v>
          </cell>
          <cell r="AR1">
            <v>37</v>
          </cell>
          <cell r="AS1">
            <v>38</v>
          </cell>
          <cell r="AT1">
            <v>39</v>
          </cell>
          <cell r="AU1">
            <v>40</v>
          </cell>
          <cell r="AV1">
            <v>41</v>
          </cell>
          <cell r="AW1">
            <v>42</v>
          </cell>
          <cell r="AX1">
            <v>43</v>
          </cell>
          <cell r="AY1">
            <v>44</v>
          </cell>
          <cell r="AZ1">
            <v>45</v>
          </cell>
          <cell r="BA1">
            <v>46</v>
          </cell>
          <cell r="BB1">
            <v>47</v>
          </cell>
          <cell r="BC1">
            <v>48</v>
          </cell>
          <cell r="BD1">
            <v>49</v>
          </cell>
          <cell r="BE1">
            <v>50</v>
          </cell>
          <cell r="BF1">
            <v>51</v>
          </cell>
          <cell r="BG1">
            <v>52</v>
          </cell>
          <cell r="BH1">
            <v>53</v>
          </cell>
          <cell r="BI1">
            <v>54</v>
          </cell>
          <cell r="BJ1">
            <v>55</v>
          </cell>
          <cell r="BK1">
            <v>56</v>
          </cell>
          <cell r="BL1">
            <v>57</v>
          </cell>
          <cell r="BM1">
            <v>58</v>
          </cell>
          <cell r="BN1">
            <v>59</v>
          </cell>
          <cell r="BO1">
            <v>60</v>
          </cell>
          <cell r="BP1">
            <v>61</v>
          </cell>
          <cell r="BQ1">
            <v>62</v>
          </cell>
          <cell r="BR1">
            <v>63</v>
          </cell>
          <cell r="BS1">
            <v>64</v>
          </cell>
          <cell r="BT1">
            <v>65</v>
          </cell>
          <cell r="BU1">
            <v>66</v>
          </cell>
          <cell r="BV1">
            <v>67</v>
          </cell>
          <cell r="BW1">
            <v>68</v>
          </cell>
          <cell r="BX1">
            <v>69</v>
          </cell>
          <cell r="BY1">
            <v>70</v>
          </cell>
          <cell r="BZ1">
            <v>71</v>
          </cell>
          <cell r="CA1">
            <v>72</v>
          </cell>
        </row>
        <row r="2">
          <cell r="K2" t="str">
            <v>estim ETP mois</v>
          </cell>
          <cell r="L2">
            <v>21.723666666666695</v>
          </cell>
          <cell r="O2">
            <v>37920646.652670316</v>
          </cell>
          <cell r="P2">
            <v>642714.85405833332</v>
          </cell>
          <cell r="Q2">
            <v>24044131.727891203</v>
          </cell>
          <cell r="R2">
            <v>23203775.675606336</v>
          </cell>
          <cell r="S2">
            <v>0.31132306852046654</v>
          </cell>
          <cell r="T2">
            <v>0.3087152960232043</v>
          </cell>
          <cell r="U2">
            <v>106135.79683584439</v>
          </cell>
          <cell r="V2">
            <v>84167.77</v>
          </cell>
          <cell r="W2">
            <v>11960.85</v>
          </cell>
          <cell r="X2">
            <v>13840.132083333338</v>
          </cell>
          <cell r="Y2">
            <v>12891.581249999999</v>
          </cell>
          <cell r="Z2">
            <v>3258.5500000000043</v>
          </cell>
          <cell r="AA2">
            <v>10570652.118554832</v>
          </cell>
          <cell r="AB2">
            <v>4166112.0699999994</v>
          </cell>
          <cell r="AC2">
            <v>657406.27395833354</v>
          </cell>
          <cell r="AD2">
            <v>0.54368772239779461</v>
          </cell>
          <cell r="AE2">
            <v>25838588.101782326</v>
          </cell>
          <cell r="AF2">
            <v>18221095.067891203</v>
          </cell>
          <cell r="AG2">
            <v>17932481.508906338</v>
          </cell>
          <cell r="AH2">
            <v>288613.55898486514</v>
          </cell>
          <cell r="AI2">
            <v>287237.37890633335</v>
          </cell>
          <cell r="AJ2">
            <v>466739.50068849954</v>
          </cell>
          <cell r="AK2">
            <v>274275.52725149988</v>
          </cell>
          <cell r="AL2">
            <v>-39339.777336999832</v>
          </cell>
          <cell r="AM2">
            <v>1489792.9400000002</v>
          </cell>
          <cell r="AN2">
            <v>938050.44670000009</v>
          </cell>
          <cell r="AO2">
            <v>352599.5</v>
          </cell>
          <cell r="AP2">
            <v>235777</v>
          </cell>
          <cell r="AQ2">
            <v>99276.420000000086</v>
          </cell>
          <cell r="AR2">
            <v>0.27674706934584281</v>
          </cell>
          <cell r="AS2">
            <v>320421.88597499998</v>
          </cell>
          <cell r="AT2">
            <v>165669.65000000002</v>
          </cell>
          <cell r="AU2">
            <v>72554.377500000002</v>
          </cell>
          <cell r="AV2">
            <v>53501.417500000003</v>
          </cell>
          <cell r="AW2">
            <v>2170.5399999999986</v>
          </cell>
          <cell r="AX2">
            <v>0.25653010007379218</v>
          </cell>
          <cell r="AY2">
            <v>32413694.613998</v>
          </cell>
          <cell r="AZ2">
            <v>25806586.688489262</v>
          </cell>
          <cell r="BA2">
            <v>7319069.7955553122</v>
          </cell>
          <cell r="BB2">
            <v>23203775.675606336</v>
          </cell>
          <cell r="BC2">
            <v>2913235.9008742976</v>
          </cell>
          <cell r="BD2">
            <v>0.88845446990199373</v>
          </cell>
          <cell r="BE2">
            <v>0.85477694805385063</v>
          </cell>
          <cell r="BF2">
            <v>-1079944.2455299376</v>
          </cell>
          <cell r="BG2">
            <v>1791906.1155765008</v>
          </cell>
          <cell r="BH2">
            <v>523105.19644259999</v>
          </cell>
          <cell r="BL2">
            <v>337922.74068333412</v>
          </cell>
          <cell r="BN2">
            <v>7316292.6951552359</v>
          </cell>
          <cell r="BO2">
            <v>4095756.173744983</v>
          </cell>
          <cell r="BP2">
            <v>3220536.521410252</v>
          </cell>
          <cell r="BQ2">
            <v>6428461.2839999981</v>
          </cell>
          <cell r="BR2">
            <v>669913.81952380086</v>
          </cell>
          <cell r="BS2">
            <v>325569.35584250017</v>
          </cell>
          <cell r="BT2">
            <v>344344.46368130087</v>
          </cell>
          <cell r="BU2">
            <v>1577568.7399999993</v>
          </cell>
          <cell r="BV2">
            <v>454671.25267285208</v>
          </cell>
          <cell r="BW2">
            <v>0</v>
          </cell>
          <cell r="BX2">
            <v>4332596.0163529888</v>
          </cell>
          <cell r="BY2">
            <v>30630.22</v>
          </cell>
          <cell r="BZ2">
            <v>3603.15</v>
          </cell>
          <cell r="CA2">
            <v>5506952.0386723271</v>
          </cell>
        </row>
        <row r="3">
          <cell r="I3">
            <v>-260825.51561923156</v>
          </cell>
          <cell r="K3" t="str">
            <v>estim ETP mois</v>
          </cell>
          <cell r="L3">
            <v>0</v>
          </cell>
          <cell r="O3">
            <v>332896.86</v>
          </cell>
          <cell r="P3">
            <v>0</v>
          </cell>
          <cell r="Q3">
            <v>188329.34999999998</v>
          </cell>
          <cell r="R3">
            <v>188329.34999999998</v>
          </cell>
          <cell r="S3">
            <v>0.39572319786975463</v>
          </cell>
          <cell r="T3">
            <v>0.42197554840837492</v>
          </cell>
          <cell r="U3">
            <v>1973.55</v>
          </cell>
          <cell r="V3">
            <v>1603.5</v>
          </cell>
          <cell r="W3">
            <v>248.5</v>
          </cell>
          <cell r="X3">
            <v>87</v>
          </cell>
          <cell r="Y3">
            <v>87</v>
          </cell>
          <cell r="Z3">
            <v>0</v>
          </cell>
          <cell r="AA3">
            <v>189474.26426134873</v>
          </cell>
          <cell r="AB3">
            <v>74464.5</v>
          </cell>
          <cell r="AC3">
            <v>4132.5</v>
          </cell>
          <cell r="AD3">
            <v>0.58518376990983689</v>
          </cell>
          <cell r="AE3">
            <v>115869.1</v>
          </cell>
          <cell r="AF3">
            <v>99042.04</v>
          </cell>
          <cell r="AG3">
            <v>99042.04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0.14522474067719526</v>
          </cell>
          <cell r="AS3">
            <v>25524</v>
          </cell>
          <cell r="AT3">
            <v>14822.809999999998</v>
          </cell>
          <cell r="AU3">
            <v>8700</v>
          </cell>
          <cell r="AV3">
            <v>8700</v>
          </cell>
          <cell r="AW3">
            <v>0</v>
          </cell>
          <cell r="AX3">
            <v>7.8404246983231562E-2</v>
          </cell>
          <cell r="AY3">
            <v>323065.86</v>
          </cell>
          <cell r="AZ3">
            <v>294971.87561923137</v>
          </cell>
          <cell r="BA3">
            <v>16688.855582241493</v>
          </cell>
          <cell r="BB3">
            <v>188329.34999999998</v>
          </cell>
          <cell r="BC3">
            <v>12832.5</v>
          </cell>
          <cell r="BD3">
            <v>0.93620808319271276</v>
          </cell>
          <cell r="BE3">
            <v>0.97046833064150861</v>
          </cell>
          <cell r="BF3">
            <v>-11405.12879852715</v>
          </cell>
          <cell r="BG3">
            <v>0</v>
          </cell>
          <cell r="BH3">
            <v>0</v>
          </cell>
          <cell r="BL3">
            <v>0</v>
          </cell>
          <cell r="BN3">
            <v>16688.855582241493</v>
          </cell>
          <cell r="BO3">
            <v>4823.359999999986</v>
          </cell>
          <cell r="BP3">
            <v>11865.495582241507</v>
          </cell>
          <cell r="BQ3">
            <v>110272.85999999999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21236.128798527119</v>
          </cell>
          <cell r="BY3">
            <v>1852</v>
          </cell>
          <cell r="BZ3">
            <v>0</v>
          </cell>
          <cell r="CA3">
            <v>9831</v>
          </cell>
        </row>
        <row r="4">
          <cell r="H4" t="str">
            <v>Num Projets</v>
          </cell>
          <cell r="I4" t="str">
            <v>Projets</v>
          </cell>
          <cell r="J4" t="str">
            <v>Ref Interne</v>
          </cell>
          <cell r="K4" t="str">
            <v>Client</v>
          </cell>
          <cell r="L4" t="str">
            <v>CdP</v>
          </cell>
          <cell r="M4" t="str">
            <v>Date début</v>
          </cell>
          <cell r="N4" t="str">
            <v>Date fin</v>
          </cell>
          <cell r="O4" t="str">
            <v>Total Budgeté (€)</v>
          </cell>
          <cell r="P4" t="str">
            <v>Ecart Budget 
M-1</v>
          </cell>
          <cell r="Q4" t="str">
            <v>Total Dépensé Commandé (€)</v>
          </cell>
          <cell r="R4" t="str">
            <v>Total Dépensé Enregistré (€)</v>
          </cell>
          <cell r="S4" t="str">
            <v>Total Marge Projeté (%)</v>
          </cell>
          <cell r="T4" t="str">
            <v>Objectif de marge %</v>
          </cell>
          <cell r="U4" t="str">
            <v>BUDGET (h) MO</v>
          </cell>
          <cell r="V4" t="str">
            <v>DÉPENSE (h)AEC MO</v>
          </cell>
          <cell r="W4" t="str">
            <v>DÉPENSE (h)ST MO</v>
          </cell>
          <cell r="X4" t="str">
            <v>RaF (h) MO</v>
          </cell>
          <cell r="Y4" t="str">
            <v>RaF (h) MO fin mois M-1</v>
          </cell>
          <cell r="Z4" t="str">
            <v>Ecart Hrs
M-1</v>
          </cell>
          <cell r="AA4" t="str">
            <v>BUDGET (€ HT) MO</v>
          </cell>
          <cell r="AB4" t="str">
            <v xml:space="preserve">DÉPENSE COUT REEL (€ HT) MO </v>
          </cell>
          <cell r="AC4" t="str">
            <v>RaF (€) MO</v>
          </cell>
          <cell r="AD4" t="str">
            <v>Marge finale prévi (%) MO</v>
          </cell>
          <cell r="AE4" t="str">
            <v>BUDGET Achat (€ HT)</v>
          </cell>
          <cell r="AF4" t="str">
            <v>COMMANDÉ Achats (€ HT)</v>
          </cell>
          <cell r="AG4" t="str">
            <v>Charges Enregistrées (€ HT)</v>
          </cell>
          <cell r="AH4" t="str">
            <v>Commandé-Enregistré yc FNP</v>
          </cell>
          <cell r="AI4" t="str">
            <v>dont FNP à date (€ HT)</v>
          </cell>
          <cell r="AJ4" t="str">
            <v>RaCommander (€) Achats</v>
          </cell>
          <cell r="AK4" t="str">
            <v>RaCommander (€) Achats M-1</v>
          </cell>
          <cell r="AL4" t="str">
            <v>Ecart Achats
M-1</v>
          </cell>
          <cell r="AM4" t="str">
            <v>Int Commandé OT</v>
          </cell>
          <cell r="AN4" t="str">
            <v>Int Réalisé OT</v>
          </cell>
          <cell r="AO4" t="str">
            <v>int Reste à commander OT</v>
          </cell>
          <cell r="AP4" t="str">
            <v>RAF OT M-1</v>
          </cell>
          <cell r="AQ4" t="str">
            <v>Ecart Int OT M-1</v>
          </cell>
          <cell r="AR4" t="str">
            <v>Marge finale prévi (%) Achats</v>
          </cell>
          <cell r="AS4" t="str">
            <v>BUDGET Mission (€ HT)</v>
          </cell>
          <cell r="AT4" t="str">
            <v>Dépense Mission (€ HT)</v>
          </cell>
          <cell r="AU4" t="str">
            <v>RaF (€) Mission</v>
          </cell>
          <cell r="AV4" t="str">
            <v>RaF (€) Mission fin mois M-1</v>
          </cell>
          <cell r="AW4" t="str">
            <v>Ecart Missions
M-1</v>
          </cell>
          <cell r="AX4" t="str">
            <v>Marge finale prévi (%) Mission</v>
          </cell>
          <cell r="AY4" t="str">
            <v xml:space="preserve">Facturation globale projet à date (€ HT) </v>
          </cell>
          <cell r="AZ4" t="str">
            <v>CA fin N-1</v>
          </cell>
          <cell r="BA4" t="str">
            <v xml:space="preserve">CA N à date (€ HT) </v>
          </cell>
          <cell r="BB4" t="str">
            <v>Consommé global Enregistré à date (€ HT)</v>
          </cell>
          <cell r="BC4" t="str">
            <v>RaF Global à terminaison à date (€ HT)</v>
          </cell>
          <cell r="BD4" t="str">
            <v>Avancement Global Financier basé sur Enregistré à date (%)</v>
          </cell>
          <cell r="BE4" t="str">
            <v>Avancement Global Facturation à date (%)</v>
          </cell>
          <cell r="BF4" t="str">
            <v>PCA basé sur Enregistré à date (€)</v>
          </cell>
          <cell r="BG4" t="str">
            <v>FAE basé sur Enregistré à date (€)</v>
          </cell>
          <cell r="BH4" t="str">
            <v>Provisions pour risques</v>
          </cell>
          <cell r="BI4" t="str">
            <v>Valeur vente Ingenieur (€ HT)</v>
          </cell>
          <cell r="BJ4" t="str">
            <v>Objectif fin d'année</v>
          </cell>
          <cell r="BK4" t="str">
            <v>Cohérence Budget</v>
          </cell>
          <cell r="BL4" t="str">
            <v>ecart couts à terminaison vs M-1</v>
          </cell>
          <cell r="BM4" t="str">
            <v>écart avancement</v>
          </cell>
          <cell r="BN4" t="str">
            <v>CA Y</v>
          </cell>
          <cell r="BO4" t="str">
            <v>Charges Y</v>
          </cell>
          <cell r="BP4" t="str">
            <v>Marge Y</v>
          </cell>
          <cell r="BQ4" t="str">
            <v>Facturation Y</v>
          </cell>
          <cell r="BR4" t="str">
            <v>CA mois</v>
          </cell>
          <cell r="BS4" t="str">
            <v>Charges mois</v>
          </cell>
          <cell r="BT4" t="str">
            <v>Marge mois</v>
          </cell>
          <cell r="BU4" t="str">
            <v>Facturation mois</v>
          </cell>
          <cell r="BV4" t="str">
            <v>Remaining Forecast</v>
          </cell>
          <cell r="BW4" t="str">
            <v>Factu achats du mois (pour CCA)</v>
          </cell>
          <cell r="BX4" t="str">
            <v>CA 2024+</v>
          </cell>
          <cell r="BY4" t="str">
            <v>Heures Internes 2023</v>
          </cell>
          <cell r="BZ4" t="str">
            <v>Heures S/T 2023</v>
          </cell>
          <cell r="CA4" t="str">
            <v>Achats+missions 2023</v>
          </cell>
        </row>
        <row r="5">
          <cell r="H5" t="str">
            <v>B220318</v>
          </cell>
          <cell r="I5" t="str">
            <v xml:space="preserve">UPNEXT TOOLING                </v>
          </cell>
          <cell r="J5" t="str">
            <v xml:space="preserve">                              </v>
          </cell>
          <cell r="K5" t="str">
            <v xml:space="preserve">AEROTEC BLAGNAC </v>
          </cell>
          <cell r="L5" t="str">
            <v>JFA</v>
          </cell>
          <cell r="M5">
            <v>44893</v>
          </cell>
          <cell r="N5">
            <v>45016</v>
          </cell>
          <cell r="O5">
            <v>9216</v>
          </cell>
          <cell r="P5">
            <v>0</v>
          </cell>
          <cell r="Q5">
            <v>3157</v>
          </cell>
          <cell r="R5">
            <v>3157</v>
          </cell>
          <cell r="S5">
            <v>0.65744357638888884</v>
          </cell>
          <cell r="T5">
            <v>0.59</v>
          </cell>
          <cell r="U5">
            <v>96</v>
          </cell>
          <cell r="V5">
            <v>77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9216</v>
          </cell>
          <cell r="AB5">
            <v>3157</v>
          </cell>
          <cell r="AC5">
            <v>0</v>
          </cell>
          <cell r="AD5">
            <v>0.65744357638888884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9216</v>
          </cell>
          <cell r="AZ5">
            <v>4649.6111246709897</v>
          </cell>
          <cell r="BA5">
            <v>4566.3888753290103</v>
          </cell>
          <cell r="BB5">
            <v>3157</v>
          </cell>
          <cell r="BC5">
            <v>0</v>
          </cell>
          <cell r="BD5">
            <v>1</v>
          </cell>
          <cell r="BE5">
            <v>1</v>
          </cell>
          <cell r="BF5">
            <v>0</v>
          </cell>
          <cell r="BG5">
            <v>0</v>
          </cell>
          <cell r="BH5">
            <v>0</v>
          </cell>
          <cell r="BI5">
            <v>96</v>
          </cell>
          <cell r="BJ5">
            <v>1</v>
          </cell>
          <cell r="BK5">
            <v>0</v>
          </cell>
          <cell r="BL5">
            <v>0</v>
          </cell>
          <cell r="BM5">
            <v>0</v>
          </cell>
          <cell r="BN5">
            <v>4566.3888753290103</v>
          </cell>
          <cell r="BO5">
            <v>779</v>
          </cell>
          <cell r="BP5">
            <v>3787.3888753290103</v>
          </cell>
          <cell r="BQ5">
            <v>1856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X5">
            <v>0</v>
          </cell>
          <cell r="BY5">
            <v>77</v>
          </cell>
          <cell r="BZ5">
            <v>0</v>
          </cell>
          <cell r="CA5">
            <v>0</v>
          </cell>
        </row>
        <row r="6">
          <cell r="H6" t="str">
            <v>B230025</v>
          </cell>
          <cell r="I6" t="str">
            <v xml:space="preserve">APPLICABILITÉ S/N BY-155      </v>
          </cell>
          <cell r="J6" t="str">
            <v xml:space="preserve">22094                         </v>
          </cell>
          <cell r="K6" t="str">
            <v xml:space="preserve">AEROTEC BLAGNAC </v>
          </cell>
          <cell r="L6" t="str">
            <v>LJA</v>
          </cell>
          <cell r="M6">
            <v>44974</v>
          </cell>
          <cell r="N6">
            <v>45014</v>
          </cell>
          <cell r="O6">
            <v>600</v>
          </cell>
          <cell r="P6">
            <v>0</v>
          </cell>
          <cell r="Q6">
            <v>258</v>
          </cell>
          <cell r="R6">
            <v>258</v>
          </cell>
          <cell r="S6">
            <v>0.57000000000000006</v>
          </cell>
          <cell r="T6">
            <v>0.59</v>
          </cell>
          <cell r="U6">
            <v>6</v>
          </cell>
          <cell r="V6">
            <v>6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600</v>
          </cell>
          <cell r="AB6">
            <v>258</v>
          </cell>
          <cell r="AC6">
            <v>0</v>
          </cell>
          <cell r="AD6">
            <v>0.57000000000000006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600</v>
          </cell>
          <cell r="AZ6">
            <v>0</v>
          </cell>
          <cell r="BA6">
            <v>600</v>
          </cell>
          <cell r="BB6">
            <v>258</v>
          </cell>
          <cell r="BC6">
            <v>0</v>
          </cell>
          <cell r="BD6">
            <v>1</v>
          </cell>
          <cell r="BE6">
            <v>1</v>
          </cell>
          <cell r="BF6">
            <v>0</v>
          </cell>
          <cell r="BG6">
            <v>0</v>
          </cell>
          <cell r="BH6">
            <v>0</v>
          </cell>
          <cell r="BI6">
            <v>100</v>
          </cell>
          <cell r="BJ6">
            <v>1</v>
          </cell>
          <cell r="BK6">
            <v>0</v>
          </cell>
          <cell r="BL6">
            <v>0</v>
          </cell>
          <cell r="BM6">
            <v>0</v>
          </cell>
          <cell r="BN6">
            <v>600</v>
          </cell>
          <cell r="BO6">
            <v>258</v>
          </cell>
          <cell r="BP6">
            <v>342</v>
          </cell>
          <cell r="BQ6">
            <v>600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X6">
            <v>0</v>
          </cell>
          <cell r="BY6">
            <v>6</v>
          </cell>
          <cell r="BZ6">
            <v>0</v>
          </cell>
          <cell r="CA6">
            <v>0</v>
          </cell>
        </row>
        <row r="7">
          <cell r="H7" t="str">
            <v>B230167</v>
          </cell>
          <cell r="I7" t="str">
            <v xml:space="preserve">B350 SB U-LEATHER REPLACEMENT </v>
          </cell>
          <cell r="J7" t="str">
            <v xml:space="preserve">                              </v>
          </cell>
          <cell r="K7" t="str">
            <v xml:space="preserve">AEROTEC BLAGNAC </v>
          </cell>
          <cell r="L7" t="str">
            <v>VGA</v>
          </cell>
          <cell r="M7">
            <v>45125</v>
          </cell>
          <cell r="N7">
            <v>45237</v>
          </cell>
          <cell r="O7">
            <v>3139</v>
          </cell>
          <cell r="P7">
            <v>0</v>
          </cell>
          <cell r="Q7">
            <v>3225</v>
          </cell>
          <cell r="R7">
            <v>3225</v>
          </cell>
          <cell r="S7">
            <v>-2.7397260273972712E-2</v>
          </cell>
          <cell r="T7">
            <v>0.59</v>
          </cell>
          <cell r="U7">
            <v>73</v>
          </cell>
          <cell r="V7">
            <v>75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3139</v>
          </cell>
          <cell r="AB7">
            <v>3225</v>
          </cell>
          <cell r="AC7">
            <v>0</v>
          </cell>
          <cell r="AD7">
            <v>-2.7397260273972712E-2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3139</v>
          </cell>
          <cell r="BB7">
            <v>3225</v>
          </cell>
          <cell r="BC7">
            <v>0</v>
          </cell>
          <cell r="BD7">
            <v>1</v>
          </cell>
          <cell r="BE7">
            <v>0</v>
          </cell>
          <cell r="BF7">
            <v>0</v>
          </cell>
          <cell r="BG7">
            <v>3139</v>
          </cell>
          <cell r="BH7">
            <v>0</v>
          </cell>
          <cell r="BI7">
            <v>43</v>
          </cell>
          <cell r="BJ7">
            <v>1</v>
          </cell>
          <cell r="BK7">
            <v>0</v>
          </cell>
          <cell r="BL7">
            <v>0</v>
          </cell>
          <cell r="BM7">
            <v>0</v>
          </cell>
          <cell r="BN7">
            <v>3139</v>
          </cell>
          <cell r="BO7">
            <v>3225</v>
          </cell>
          <cell r="BP7">
            <v>-86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X7">
            <v>0</v>
          </cell>
          <cell r="BY7">
            <v>75</v>
          </cell>
          <cell r="BZ7">
            <v>0</v>
          </cell>
          <cell r="CA7">
            <v>0</v>
          </cell>
        </row>
        <row r="8">
          <cell r="H8" t="str">
            <v>C150666</v>
          </cell>
          <cell r="I8" t="str">
            <v xml:space="preserve">Support technique             </v>
          </cell>
          <cell r="J8" t="str">
            <v xml:space="preserve">15063-16205                   </v>
          </cell>
          <cell r="K8" t="str">
            <v xml:space="preserve">NOVESPACE </v>
          </cell>
          <cell r="L8" t="str">
            <v>TBI</v>
          </cell>
          <cell r="M8">
            <v>42005</v>
          </cell>
          <cell r="N8">
            <v>45016</v>
          </cell>
          <cell r="O8">
            <v>73014.850000000006</v>
          </cell>
          <cell r="P8">
            <v>0</v>
          </cell>
          <cell r="Q8">
            <v>48986.17</v>
          </cell>
          <cell r="R8">
            <v>48986.17</v>
          </cell>
          <cell r="S8">
            <v>0.32909305435812042</v>
          </cell>
          <cell r="T8">
            <v>0.44026057696492915</v>
          </cell>
          <cell r="U8">
            <v>482.73333300000002</v>
          </cell>
          <cell r="V8">
            <v>491.4</v>
          </cell>
          <cell r="W8">
            <v>2</v>
          </cell>
          <cell r="X8">
            <v>5.6843418860808015E-14</v>
          </cell>
          <cell r="Y8">
            <v>5.6843418860808015E-14</v>
          </cell>
          <cell r="Z8">
            <v>0</v>
          </cell>
          <cell r="AA8">
            <v>44980.999969250668</v>
          </cell>
          <cell r="AB8">
            <v>32031</v>
          </cell>
          <cell r="AC8">
            <v>2.7000623958883807E-12</v>
          </cell>
          <cell r="AD8">
            <v>0.28789933478809671</v>
          </cell>
          <cell r="AE8">
            <v>9769.85</v>
          </cell>
          <cell r="AF8">
            <v>8537.9500000000007</v>
          </cell>
          <cell r="AG8">
            <v>8537.9499999999989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0.12609200755385186</v>
          </cell>
          <cell r="AS8">
            <v>18264</v>
          </cell>
          <cell r="AT8">
            <v>8417.2199999999993</v>
          </cell>
          <cell r="AU8">
            <v>0</v>
          </cell>
          <cell r="AV8">
            <v>0</v>
          </cell>
          <cell r="AW8">
            <v>0</v>
          </cell>
          <cell r="AX8">
            <v>0.53913600525624183</v>
          </cell>
          <cell r="AY8">
            <v>73014.850000000006</v>
          </cell>
          <cell r="AZ8">
            <v>73014.850000000006</v>
          </cell>
          <cell r="BA8">
            <v>0</v>
          </cell>
          <cell r="BB8">
            <v>48986.17</v>
          </cell>
          <cell r="BC8">
            <v>4.5190517994342372E-12</v>
          </cell>
          <cell r="BD8">
            <v>0.99999999999999989</v>
          </cell>
          <cell r="BE8">
            <v>1</v>
          </cell>
          <cell r="BF8">
            <v>-8.1062767609552117E-12</v>
          </cell>
          <cell r="BG8">
            <v>0</v>
          </cell>
          <cell r="BH8">
            <v>0</v>
          </cell>
          <cell r="BI8">
            <v>93.179809419232015</v>
          </cell>
          <cell r="BJ8">
            <v>0.99999999999999989</v>
          </cell>
          <cell r="BK8">
            <v>3.0749339202884585E-5</v>
          </cell>
          <cell r="BL8">
            <v>2.7569058147491887E-12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-1.4551915228366852E-11</v>
          </cell>
          <cell r="BX8">
            <v>1.4551915228366852E-11</v>
          </cell>
          <cell r="BY8">
            <v>493.4</v>
          </cell>
          <cell r="BZ8">
            <v>0</v>
          </cell>
          <cell r="CA8">
            <v>0</v>
          </cell>
        </row>
        <row r="9">
          <cell r="H9" t="str">
            <v>C160852</v>
          </cell>
          <cell r="I9" t="str">
            <v xml:space="preserve">Modification civière TMC pour </v>
          </cell>
          <cell r="J9" t="str">
            <v xml:space="preserve">16077-16078-16109-16231       </v>
          </cell>
          <cell r="K9" t="str">
            <v xml:space="preserve">UUDS AERO </v>
          </cell>
          <cell r="L9" t="str">
            <v>TPA</v>
          </cell>
          <cell r="M9">
            <v>42005</v>
          </cell>
          <cell r="N9">
            <v>44719</v>
          </cell>
          <cell r="O9">
            <v>70009.56</v>
          </cell>
          <cell r="P9">
            <v>0</v>
          </cell>
          <cell r="Q9">
            <v>135204.63999999998</v>
          </cell>
          <cell r="R9">
            <v>135204.63999999998</v>
          </cell>
          <cell r="S9">
            <v>-0.93123110615178817</v>
          </cell>
          <cell r="T9">
            <v>0.47333038499357399</v>
          </cell>
          <cell r="U9">
            <v>527.58333300000004</v>
          </cell>
          <cell r="V9">
            <v>552</v>
          </cell>
          <cell r="W9">
            <v>52.5</v>
          </cell>
          <cell r="X9">
            <v>0</v>
          </cell>
          <cell r="Y9">
            <v>0</v>
          </cell>
          <cell r="Z9">
            <v>0</v>
          </cell>
          <cell r="AA9">
            <v>49065.999969309538</v>
          </cell>
          <cell r="AB9">
            <v>38242.5</v>
          </cell>
          <cell r="AC9">
            <v>0</v>
          </cell>
          <cell r="AD9">
            <v>0.22059063253738975</v>
          </cell>
          <cell r="AE9">
            <v>20234</v>
          </cell>
          <cell r="AF9">
            <v>95873.84</v>
          </cell>
          <cell r="AG9">
            <v>95873.84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-3.7382544232479979</v>
          </cell>
          <cell r="AS9">
            <v>709.56</v>
          </cell>
          <cell r="AT9">
            <v>1088.3</v>
          </cell>
          <cell r="AU9">
            <v>0</v>
          </cell>
          <cell r="AV9">
            <v>0</v>
          </cell>
          <cell r="AW9">
            <v>0</v>
          </cell>
          <cell r="AX9">
            <v>-0.53376740515248899</v>
          </cell>
          <cell r="AY9">
            <v>70009.56</v>
          </cell>
          <cell r="AZ9">
            <v>70009.56</v>
          </cell>
          <cell r="BA9">
            <v>0</v>
          </cell>
          <cell r="BB9">
            <v>135204.63999999998</v>
          </cell>
          <cell r="BC9">
            <v>0</v>
          </cell>
          <cell r="BD9">
            <v>1</v>
          </cell>
          <cell r="BE9">
            <v>1</v>
          </cell>
          <cell r="BF9">
            <v>0</v>
          </cell>
          <cell r="BG9">
            <v>0</v>
          </cell>
          <cell r="BH9">
            <v>0</v>
          </cell>
          <cell r="BI9">
            <v>93.001421576957839</v>
          </cell>
          <cell r="BJ9">
            <v>1</v>
          </cell>
          <cell r="BK9">
            <v>3.0690459880133858E-5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X9">
            <v>0</v>
          </cell>
          <cell r="BY9">
            <v>604.5</v>
          </cell>
          <cell r="BZ9">
            <v>0</v>
          </cell>
          <cell r="CA9">
            <v>0</v>
          </cell>
        </row>
        <row r="10">
          <cell r="H10" t="str">
            <v>C181320</v>
          </cell>
          <cell r="I10" t="str">
            <v xml:space="preserve"> EC120B dépose KX165 et KY196A</v>
          </cell>
          <cell r="J10" t="str">
            <v xml:space="preserve">                              </v>
          </cell>
          <cell r="K10" t="str">
            <v xml:space="preserve">AEROTEC </v>
          </cell>
          <cell r="L10" t="str">
            <v>TBI</v>
          </cell>
          <cell r="M10">
            <v>42005</v>
          </cell>
          <cell r="N10">
            <v>44812</v>
          </cell>
          <cell r="O10">
            <v>0</v>
          </cell>
          <cell r="P10">
            <v>0</v>
          </cell>
          <cell r="Q10">
            <v>155</v>
          </cell>
          <cell r="R10">
            <v>155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155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234.84848484848484</v>
          </cell>
          <cell r="BA10">
            <v>-234.84848484848484</v>
          </cell>
          <cell r="BB10">
            <v>155</v>
          </cell>
          <cell r="BC10">
            <v>0</v>
          </cell>
          <cell r="BD10">
            <v>1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93.052109204231286</v>
          </cell>
          <cell r="BJ10">
            <v>1</v>
          </cell>
          <cell r="BK10">
            <v>0</v>
          </cell>
          <cell r="BL10">
            <v>0</v>
          </cell>
          <cell r="BM10">
            <v>0</v>
          </cell>
          <cell r="BN10">
            <v>-234.84848484848484</v>
          </cell>
          <cell r="BO10">
            <v>0</v>
          </cell>
          <cell r="BP10">
            <v>-234.84848484848484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X10">
            <v>0</v>
          </cell>
          <cell r="BY10">
            <v>3</v>
          </cell>
          <cell r="BZ10">
            <v>0</v>
          </cell>
          <cell r="CA10">
            <v>0</v>
          </cell>
        </row>
        <row r="11">
          <cell r="H11" t="str">
            <v>C181556</v>
          </cell>
          <cell r="I11" t="str">
            <v>B777 AM Seat Backrest Shroud I</v>
          </cell>
          <cell r="J11" t="str">
            <v xml:space="preserve">18020                         </v>
          </cell>
          <cell r="K11" t="str">
            <v xml:space="preserve">UUDS AERO </v>
          </cell>
          <cell r="L11" t="str">
            <v>TPA</v>
          </cell>
          <cell r="M11">
            <v>42005</v>
          </cell>
          <cell r="N11" t="str">
            <v/>
          </cell>
          <cell r="O11">
            <v>20230</v>
          </cell>
          <cell r="P11">
            <v>0</v>
          </cell>
          <cell r="Q11">
            <v>16260.41</v>
          </cell>
          <cell r="R11">
            <v>16260.41</v>
          </cell>
          <cell r="S11">
            <v>0.12343499752842313</v>
          </cell>
          <cell r="T11">
            <v>0.34227384949515183</v>
          </cell>
          <cell r="U11">
            <v>76.866665999999995</v>
          </cell>
          <cell r="V11">
            <v>13.5</v>
          </cell>
          <cell r="W11">
            <v>16</v>
          </cell>
          <cell r="X11">
            <v>31</v>
          </cell>
          <cell r="Y11">
            <v>31</v>
          </cell>
          <cell r="Z11">
            <v>0</v>
          </cell>
          <cell r="AA11">
            <v>7379.9999366331294</v>
          </cell>
          <cell r="AB11">
            <v>1597.5</v>
          </cell>
          <cell r="AC11">
            <v>1472.5</v>
          </cell>
          <cell r="AD11">
            <v>0.58401083653659458</v>
          </cell>
          <cell r="AE11">
            <v>12850</v>
          </cell>
          <cell r="AF11">
            <v>14662.91</v>
          </cell>
          <cell r="AG11">
            <v>14662.91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-0.14108249027237352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10115</v>
          </cell>
          <cell r="AZ11">
            <v>17999.491901960064</v>
          </cell>
          <cell r="BA11">
            <v>550.65549629549423</v>
          </cell>
          <cell r="BB11">
            <v>16260.41</v>
          </cell>
          <cell r="BC11">
            <v>1472.5</v>
          </cell>
          <cell r="BD11">
            <v>0.91696230342340879</v>
          </cell>
          <cell r="BE11">
            <v>0.5</v>
          </cell>
          <cell r="BF11">
            <v>0</v>
          </cell>
          <cell r="BG11">
            <v>8435.1473982555599</v>
          </cell>
          <cell r="BH11">
            <v>0</v>
          </cell>
          <cell r="BI11">
            <v>96.010407640590657</v>
          </cell>
          <cell r="BJ11">
            <v>0.91696230342340879</v>
          </cell>
          <cell r="BK11">
            <v>6.3366871472680941E-5</v>
          </cell>
          <cell r="BL11">
            <v>0</v>
          </cell>
          <cell r="BM11">
            <v>0</v>
          </cell>
          <cell r="BN11">
            <v>550.65549629549423</v>
          </cell>
          <cell r="BO11">
            <v>0</v>
          </cell>
          <cell r="BP11">
            <v>550.65549629549423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X11">
            <v>1679.8526017444419</v>
          </cell>
          <cell r="BY11">
            <v>29.5</v>
          </cell>
          <cell r="BZ11">
            <v>0</v>
          </cell>
          <cell r="CA11">
            <v>0</v>
          </cell>
        </row>
        <row r="12">
          <cell r="H12" t="str">
            <v>C181575</v>
          </cell>
          <cell r="I12" t="str">
            <v>PIPER PA28 update système GPAS</v>
          </cell>
          <cell r="J12" t="str">
            <v xml:space="preserve">18092                         </v>
          </cell>
          <cell r="K12" t="str">
            <v xml:space="preserve">AEROTEC </v>
          </cell>
          <cell r="L12" t="str">
            <v>DVE</v>
          </cell>
          <cell r="M12">
            <v>42005</v>
          </cell>
          <cell r="N12">
            <v>45022</v>
          </cell>
          <cell r="O12">
            <v>1500</v>
          </cell>
          <cell r="P12">
            <v>0</v>
          </cell>
          <cell r="Q12">
            <v>780</v>
          </cell>
          <cell r="R12">
            <v>780</v>
          </cell>
          <cell r="S12">
            <v>0.48</v>
          </cell>
          <cell r="T12">
            <v>0.58999998402895548</v>
          </cell>
          <cell r="U12">
            <v>16.116665999999999</v>
          </cell>
          <cell r="V12">
            <v>12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1499.9999385729059</v>
          </cell>
          <cell r="AB12">
            <v>780</v>
          </cell>
          <cell r="AC12">
            <v>0</v>
          </cell>
          <cell r="AD12">
            <v>0.47999997870527311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1500</v>
          </cell>
          <cell r="AZ12">
            <v>1384.6153846153848</v>
          </cell>
          <cell r="BA12">
            <v>115.38461538461524</v>
          </cell>
          <cell r="BB12">
            <v>780</v>
          </cell>
          <cell r="BC12">
            <v>0</v>
          </cell>
          <cell r="BD12">
            <v>1</v>
          </cell>
          <cell r="BE12">
            <v>1</v>
          </cell>
          <cell r="BF12">
            <v>0</v>
          </cell>
          <cell r="BG12">
            <v>0</v>
          </cell>
          <cell r="BH12">
            <v>0</v>
          </cell>
          <cell r="BI12">
            <v>93.071354743773057</v>
          </cell>
          <cell r="BJ12">
            <v>1</v>
          </cell>
          <cell r="BK12">
            <v>6.1427094124155701E-5</v>
          </cell>
          <cell r="BL12">
            <v>0</v>
          </cell>
          <cell r="BM12">
            <v>0</v>
          </cell>
          <cell r="BN12">
            <v>115.38461538461524</v>
          </cell>
          <cell r="BO12">
            <v>0</v>
          </cell>
          <cell r="BP12">
            <v>115.38461538461524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X12">
            <v>0</v>
          </cell>
          <cell r="BY12">
            <v>12</v>
          </cell>
          <cell r="BZ12">
            <v>0</v>
          </cell>
          <cell r="CA12">
            <v>0</v>
          </cell>
        </row>
        <row r="13">
          <cell r="H13" t="str">
            <v>C181592</v>
          </cell>
          <cell r="I13" t="str">
            <v xml:space="preserve">Fournitures liaison ARINC FMS </v>
          </cell>
          <cell r="J13" t="str">
            <v xml:space="preserve">18099                         </v>
          </cell>
          <cell r="K13" t="str">
            <v xml:space="preserve">D.T.I </v>
          </cell>
          <cell r="L13" t="str">
            <v>DVE</v>
          </cell>
          <cell r="M13">
            <v>42005</v>
          </cell>
          <cell r="N13" t="str">
            <v/>
          </cell>
          <cell r="O13">
            <v>3600</v>
          </cell>
          <cell r="P13">
            <v>0</v>
          </cell>
          <cell r="Q13">
            <v>325</v>
          </cell>
          <cell r="R13">
            <v>325</v>
          </cell>
          <cell r="S13">
            <v>0.51388888888888884</v>
          </cell>
          <cell r="T13">
            <v>0.59</v>
          </cell>
          <cell r="U13">
            <v>38.700000000000003</v>
          </cell>
          <cell r="V13">
            <v>5</v>
          </cell>
          <cell r="W13">
            <v>0</v>
          </cell>
          <cell r="X13">
            <v>30</v>
          </cell>
          <cell r="Y13">
            <v>30</v>
          </cell>
          <cell r="Z13">
            <v>0</v>
          </cell>
          <cell r="AA13">
            <v>3600</v>
          </cell>
          <cell r="AB13">
            <v>325</v>
          </cell>
          <cell r="AC13">
            <v>1425</v>
          </cell>
          <cell r="AD13">
            <v>0.51388888888888884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514.28571428571422</v>
          </cell>
          <cell r="BA13">
            <v>154.28571428571433</v>
          </cell>
          <cell r="BB13">
            <v>325</v>
          </cell>
          <cell r="BC13">
            <v>1425</v>
          </cell>
          <cell r="BD13">
            <v>0.18571428571428572</v>
          </cell>
          <cell r="BE13">
            <v>0</v>
          </cell>
          <cell r="BF13">
            <v>0</v>
          </cell>
          <cell r="BG13">
            <v>668.57142857142856</v>
          </cell>
          <cell r="BH13">
            <v>0</v>
          </cell>
          <cell r="BI13">
            <v>93.023255813953483</v>
          </cell>
          <cell r="BJ13">
            <v>0.18571428571428572</v>
          </cell>
          <cell r="BK13">
            <v>0</v>
          </cell>
          <cell r="BL13">
            <v>0</v>
          </cell>
          <cell r="BM13">
            <v>0</v>
          </cell>
          <cell r="BN13">
            <v>154.28571428571433</v>
          </cell>
          <cell r="BO13">
            <v>0</v>
          </cell>
          <cell r="BP13">
            <v>154.28571428571433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X13">
            <v>2931.4285714285716</v>
          </cell>
          <cell r="BY13">
            <v>5</v>
          </cell>
          <cell r="BZ13">
            <v>0</v>
          </cell>
          <cell r="CA13">
            <v>0</v>
          </cell>
        </row>
        <row r="14">
          <cell r="H14" t="str">
            <v>C181688</v>
          </cell>
          <cell r="I14" t="str">
            <v xml:space="preserve">Emirates Cushions Replacement </v>
          </cell>
          <cell r="J14" t="str">
            <v xml:space="preserve">18105                         </v>
          </cell>
          <cell r="K14" t="str">
            <v xml:space="preserve">UUDS AERO </v>
          </cell>
          <cell r="L14" t="str">
            <v>TPA</v>
          </cell>
          <cell r="M14">
            <v>42005</v>
          </cell>
          <cell r="N14" t="str">
            <v/>
          </cell>
          <cell r="O14">
            <v>38252</v>
          </cell>
          <cell r="P14">
            <v>0</v>
          </cell>
          <cell r="Q14">
            <v>20778.39</v>
          </cell>
          <cell r="R14">
            <v>20778.39</v>
          </cell>
          <cell r="S14">
            <v>0.41582427062637251</v>
          </cell>
          <cell r="T14">
            <v>0.40138241137718289</v>
          </cell>
          <cell r="U14">
            <v>205</v>
          </cell>
          <cell r="V14">
            <v>172.5</v>
          </cell>
          <cell r="W14">
            <v>0</v>
          </cell>
          <cell r="X14">
            <v>33</v>
          </cell>
          <cell r="Y14">
            <v>33</v>
          </cell>
          <cell r="Z14">
            <v>0</v>
          </cell>
          <cell r="AA14">
            <v>19752</v>
          </cell>
          <cell r="AB14">
            <v>11212.5</v>
          </cell>
          <cell r="AC14">
            <v>1567.5</v>
          </cell>
          <cell r="AD14">
            <v>0.35297691373025519</v>
          </cell>
          <cell r="AE14">
            <v>15500</v>
          </cell>
          <cell r="AF14">
            <v>7665.86</v>
          </cell>
          <cell r="AG14">
            <v>7665.86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0.50542838709677418</v>
          </cell>
          <cell r="AS14">
            <v>3000</v>
          </cell>
          <cell r="AT14">
            <v>1900.03</v>
          </cell>
          <cell r="AU14">
            <v>0</v>
          </cell>
          <cell r="AV14">
            <v>0</v>
          </cell>
          <cell r="AW14">
            <v>0</v>
          </cell>
          <cell r="AX14">
            <v>0.36665666666666663</v>
          </cell>
          <cell r="AY14">
            <v>12742</v>
          </cell>
          <cell r="AZ14">
            <v>34672.662912422638</v>
          </cell>
          <cell r="BA14">
            <v>896.06915777013637</v>
          </cell>
          <cell r="BB14">
            <v>20778.39</v>
          </cell>
          <cell r="BC14">
            <v>1567.5</v>
          </cell>
          <cell r="BD14">
            <v>0.92985287227315627</v>
          </cell>
          <cell r="BE14">
            <v>0.33310676565931191</v>
          </cell>
          <cell r="BF14">
            <v>0</v>
          </cell>
          <cell r="BG14">
            <v>22826.732070192778</v>
          </cell>
          <cell r="BH14">
            <v>0</v>
          </cell>
          <cell r="BI14">
            <v>96.351219512195115</v>
          </cell>
          <cell r="BJ14">
            <v>0.92985287227315627</v>
          </cell>
          <cell r="BK14">
            <v>0</v>
          </cell>
          <cell r="BL14">
            <v>0</v>
          </cell>
          <cell r="BM14">
            <v>0</v>
          </cell>
          <cell r="BN14">
            <v>896.06915777013637</v>
          </cell>
          <cell r="BO14">
            <v>0</v>
          </cell>
          <cell r="BP14">
            <v>896.06915777013637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X14">
            <v>2683.2679298072253</v>
          </cell>
          <cell r="BY14">
            <v>172.5</v>
          </cell>
          <cell r="BZ14">
            <v>0</v>
          </cell>
          <cell r="CA14">
            <v>0</v>
          </cell>
        </row>
        <row r="15">
          <cell r="H15" t="str">
            <v>C181763</v>
          </cell>
          <cell r="I15" t="str">
            <v>Beech F90 Change of Quick Donn</v>
          </cell>
          <cell r="J15" t="str">
            <v xml:space="preserve">19053                         </v>
          </cell>
          <cell r="K15" t="str">
            <v xml:space="preserve">AIR AUSTRAL </v>
          </cell>
          <cell r="L15" t="str">
            <v>VGA</v>
          </cell>
          <cell r="M15">
            <v>42005</v>
          </cell>
          <cell r="N15">
            <v>45291</v>
          </cell>
          <cell r="O15">
            <v>10400</v>
          </cell>
          <cell r="P15">
            <v>0</v>
          </cell>
          <cell r="Q15">
            <v>8352.5</v>
          </cell>
          <cell r="R15">
            <v>8352.5</v>
          </cell>
          <cell r="S15">
            <v>0.19687500000000002</v>
          </cell>
          <cell r="T15">
            <v>0.58999999881199994</v>
          </cell>
          <cell r="U15">
            <v>108.333333</v>
          </cell>
          <cell r="V15">
            <v>128.5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10399.999968319999</v>
          </cell>
          <cell r="AB15">
            <v>8352.5</v>
          </cell>
          <cell r="AC15">
            <v>0</v>
          </cell>
          <cell r="AD15">
            <v>0.19687499755355753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10400</v>
          </cell>
          <cell r="AZ15">
            <v>9113.4020618556697</v>
          </cell>
          <cell r="BA15">
            <v>1286.5979381443303</v>
          </cell>
          <cell r="BB15">
            <v>8352.5</v>
          </cell>
          <cell r="BC15">
            <v>0</v>
          </cell>
          <cell r="BD15">
            <v>1</v>
          </cell>
          <cell r="BE15">
            <v>1</v>
          </cell>
          <cell r="BF15">
            <v>0</v>
          </cell>
          <cell r="BG15">
            <v>0</v>
          </cell>
          <cell r="BH15">
            <v>0</v>
          </cell>
          <cell r="BI15">
            <v>96.00000000295384</v>
          </cell>
          <cell r="BJ15">
            <v>1</v>
          </cell>
          <cell r="BK15">
            <v>3.1680001484346576E-5</v>
          </cell>
          <cell r="BL15">
            <v>0</v>
          </cell>
          <cell r="BM15">
            <v>0</v>
          </cell>
          <cell r="BN15">
            <v>1286.5979381443303</v>
          </cell>
          <cell r="BO15">
            <v>2827.5</v>
          </cell>
          <cell r="BP15">
            <v>-1540.9020618556697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X15">
            <v>0</v>
          </cell>
          <cell r="BY15">
            <v>128.5</v>
          </cell>
          <cell r="BZ15">
            <v>0</v>
          </cell>
          <cell r="CA15">
            <v>0</v>
          </cell>
        </row>
        <row r="16">
          <cell r="H16" t="str">
            <v>C181787</v>
          </cell>
          <cell r="I16" t="str">
            <v xml:space="preserve"> Weather Radar replacement, GP</v>
          </cell>
          <cell r="J16" t="str">
            <v xml:space="preserve">18013-18017-18138             </v>
          </cell>
          <cell r="K16" t="str">
            <v xml:space="preserve">D.T.I </v>
          </cell>
          <cell r="L16" t="str">
            <v>DVE</v>
          </cell>
          <cell r="M16">
            <v>43413</v>
          </cell>
          <cell r="N16" t="str">
            <v/>
          </cell>
          <cell r="O16">
            <v>12080</v>
          </cell>
          <cell r="P16">
            <v>0</v>
          </cell>
          <cell r="Q16">
            <v>11447.5</v>
          </cell>
          <cell r="R16">
            <v>11447.5</v>
          </cell>
          <cell r="S16">
            <v>4.4495033112582738E-2</v>
          </cell>
          <cell r="T16">
            <v>0.58999999897721855</v>
          </cell>
          <cell r="U16">
            <v>125.833333</v>
          </cell>
          <cell r="V16">
            <v>173</v>
          </cell>
          <cell r="W16">
            <v>4.5</v>
          </cell>
          <cell r="X16">
            <v>2</v>
          </cell>
          <cell r="Y16">
            <v>2</v>
          </cell>
          <cell r="Z16">
            <v>0</v>
          </cell>
          <cell r="AA16">
            <v>12079.99996832</v>
          </cell>
          <cell r="AB16">
            <v>11447.5</v>
          </cell>
          <cell r="AC16">
            <v>95</v>
          </cell>
          <cell r="AD16">
            <v>4.4495030606755193E-2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10540</v>
          </cell>
          <cell r="AZ16">
            <v>11944.357590153315</v>
          </cell>
          <cell r="BA16">
            <v>36.218541533928146</v>
          </cell>
          <cell r="BB16">
            <v>11447.5</v>
          </cell>
          <cell r="BC16">
            <v>95</v>
          </cell>
          <cell r="BD16">
            <v>0.99176954732510292</v>
          </cell>
          <cell r="BE16">
            <v>0.87251655629139069</v>
          </cell>
          <cell r="BF16">
            <v>0</v>
          </cell>
          <cell r="BG16">
            <v>1440.5761316872438</v>
          </cell>
          <cell r="BH16">
            <v>0</v>
          </cell>
          <cell r="BI16">
            <v>96.000000002543047</v>
          </cell>
          <cell r="BJ16">
            <v>0.99176954732510292</v>
          </cell>
          <cell r="BK16">
            <v>3.1679999665357172E-5</v>
          </cell>
          <cell r="BL16">
            <v>0</v>
          </cell>
          <cell r="BM16">
            <v>0</v>
          </cell>
          <cell r="BN16">
            <v>36.218541533928146</v>
          </cell>
          <cell r="BO16">
            <v>0</v>
          </cell>
          <cell r="BP16">
            <v>36.218541533928146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X16">
            <v>99.423868312756895</v>
          </cell>
          <cell r="BY16">
            <v>177.5</v>
          </cell>
          <cell r="BZ16">
            <v>0</v>
          </cell>
          <cell r="CA16">
            <v>0</v>
          </cell>
        </row>
        <row r="17">
          <cell r="H17" t="str">
            <v>C191843</v>
          </cell>
          <cell r="I17" t="str">
            <v>Etude dossier IS10-100 STC AS3</v>
          </cell>
          <cell r="J17" t="str">
            <v xml:space="preserve">19048                         </v>
          </cell>
          <cell r="K17" t="str">
            <v>LACE</v>
          </cell>
          <cell r="L17" t="str">
            <v>TBI</v>
          </cell>
          <cell r="M17">
            <v>42005</v>
          </cell>
          <cell r="N17" t="str">
            <v/>
          </cell>
          <cell r="O17">
            <v>5000</v>
          </cell>
          <cell r="P17">
            <v>0</v>
          </cell>
          <cell r="Q17">
            <v>595</v>
          </cell>
          <cell r="R17">
            <v>595</v>
          </cell>
          <cell r="S17">
            <v>0.49150000000000005</v>
          </cell>
          <cell r="T17">
            <v>0.58999999752896004</v>
          </cell>
          <cell r="U17">
            <v>52.083333000000003</v>
          </cell>
          <cell r="V17">
            <v>5</v>
          </cell>
          <cell r="W17">
            <v>6</v>
          </cell>
          <cell r="X17">
            <v>41</v>
          </cell>
          <cell r="Y17">
            <v>41</v>
          </cell>
          <cell r="Z17">
            <v>0</v>
          </cell>
          <cell r="AA17">
            <v>4999.9999683200003</v>
          </cell>
          <cell r="AB17">
            <v>595</v>
          </cell>
          <cell r="AC17">
            <v>1947.5</v>
          </cell>
          <cell r="AD17">
            <v>0.49149999677814404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2500</v>
          </cell>
          <cell r="AZ17">
            <v>912.57668711656447</v>
          </cell>
          <cell r="BA17">
            <v>257.53147414203931</v>
          </cell>
          <cell r="BB17">
            <v>595</v>
          </cell>
          <cell r="BC17">
            <v>1947.5</v>
          </cell>
          <cell r="BD17">
            <v>0.23402163225172073</v>
          </cell>
          <cell r="BE17">
            <v>0.5</v>
          </cell>
          <cell r="BF17">
            <v>-1329.8918387413962</v>
          </cell>
          <cell r="BG17">
            <v>0</v>
          </cell>
          <cell r="BH17">
            <v>0</v>
          </cell>
          <cell r="BI17">
            <v>96.000000006143992</v>
          </cell>
          <cell r="BJ17">
            <v>0.23402163225172073</v>
          </cell>
          <cell r="BK17">
            <v>3.1679999665357172E-5</v>
          </cell>
          <cell r="BL17">
            <v>0</v>
          </cell>
          <cell r="BM17">
            <v>0</v>
          </cell>
          <cell r="BN17">
            <v>257.53147414203931</v>
          </cell>
          <cell r="BO17">
            <v>0</v>
          </cell>
          <cell r="BP17">
            <v>257.53147414203931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X17">
            <v>3829.8918387413964</v>
          </cell>
          <cell r="BY17">
            <v>11</v>
          </cell>
          <cell r="BZ17">
            <v>0</v>
          </cell>
          <cell r="CA17">
            <v>0</v>
          </cell>
        </row>
        <row r="18">
          <cell r="H18" t="str">
            <v>C191860</v>
          </cell>
          <cell r="I18" t="str">
            <v>B737 BSI - Certification of ne</v>
          </cell>
          <cell r="J18" t="str">
            <v xml:space="preserve">19016-19017                   </v>
          </cell>
          <cell r="K18" t="str">
            <v>ZODIAC CABIN FRANCE SASU</v>
          </cell>
          <cell r="L18" t="str">
            <v>VGA</v>
          </cell>
          <cell r="M18">
            <v>42005</v>
          </cell>
          <cell r="N18" t="str">
            <v/>
          </cell>
          <cell r="O18">
            <v>0</v>
          </cell>
          <cell r="P18">
            <v>0</v>
          </cell>
          <cell r="Q18">
            <v>1912.5</v>
          </cell>
          <cell r="R18">
            <v>1912.5</v>
          </cell>
          <cell r="S18">
            <v>0</v>
          </cell>
          <cell r="T18">
            <v>0</v>
          </cell>
          <cell r="U18">
            <v>0</v>
          </cell>
          <cell r="V18">
            <v>22.5</v>
          </cell>
          <cell r="W18">
            <v>10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1912.5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2909.1877091572865</v>
          </cell>
          <cell r="BA18">
            <v>-2909.1877091572865</v>
          </cell>
          <cell r="BB18">
            <v>1912.5</v>
          </cell>
          <cell r="BC18">
            <v>0</v>
          </cell>
          <cell r="BD18">
            <v>1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96.0061444006149</v>
          </cell>
          <cell r="BJ18">
            <v>1</v>
          </cell>
          <cell r="BK18">
            <v>0</v>
          </cell>
          <cell r="BL18">
            <v>0</v>
          </cell>
          <cell r="BM18">
            <v>0</v>
          </cell>
          <cell r="BN18">
            <v>-2909.1877091572865</v>
          </cell>
          <cell r="BO18">
            <v>0</v>
          </cell>
          <cell r="BP18">
            <v>-2909.1877091572865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X18">
            <v>0</v>
          </cell>
          <cell r="BY18">
            <v>32.5</v>
          </cell>
          <cell r="BZ18">
            <v>0</v>
          </cell>
          <cell r="CA18">
            <v>0</v>
          </cell>
        </row>
        <row r="19">
          <cell r="H19" t="str">
            <v>C191893</v>
          </cell>
          <cell r="I19" t="str">
            <v xml:space="preserve">Vente camera MX15             </v>
          </cell>
          <cell r="J19" t="str">
            <v xml:space="preserve">                              </v>
          </cell>
          <cell r="K19" t="str">
            <v xml:space="preserve">DAHER AEROSPACE </v>
          </cell>
          <cell r="L19" t="str">
            <v>BAZ</v>
          </cell>
          <cell r="M19">
            <v>42005</v>
          </cell>
          <cell r="N19" t="str">
            <v/>
          </cell>
          <cell r="O19">
            <v>3140272.5</v>
          </cell>
          <cell r="P19">
            <v>0</v>
          </cell>
          <cell r="Q19">
            <v>2108741.2200000002</v>
          </cell>
          <cell r="R19">
            <v>2108741.2200000002</v>
          </cell>
          <cell r="S19">
            <v>0.32848463946998219</v>
          </cell>
          <cell r="T19">
            <v>0.2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3140272.5</v>
          </cell>
          <cell r="AF19">
            <v>2108741.2200000002</v>
          </cell>
          <cell r="AG19">
            <v>2108741.2200000002</v>
          </cell>
          <cell r="AH19">
            <v>0</v>
          </cell>
          <cell r="AI19">
            <v>72820.820000000065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0.32848463946998219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3140272.5</v>
          </cell>
          <cell r="AZ19">
            <v>2971653.6160144005</v>
          </cell>
          <cell r="BA19">
            <v>168618.8839855995</v>
          </cell>
          <cell r="BB19">
            <v>2108741.2200000002</v>
          </cell>
          <cell r="BC19">
            <v>0</v>
          </cell>
          <cell r="BD19">
            <v>1</v>
          </cell>
          <cell r="BE19">
            <v>1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1</v>
          </cell>
          <cell r="BK19">
            <v>0</v>
          </cell>
          <cell r="BL19">
            <v>0</v>
          </cell>
          <cell r="BM19">
            <v>2.8777365421190915E-3</v>
          </cell>
          <cell r="BN19">
            <v>168618.8839855995</v>
          </cell>
          <cell r="BO19">
            <v>113230.17067175917</v>
          </cell>
          <cell r="BP19">
            <v>55388.71331384033</v>
          </cell>
          <cell r="BQ19">
            <v>0</v>
          </cell>
          <cell r="BR19">
            <v>9036.8769254614599</v>
          </cell>
          <cell r="BS19">
            <v>6068.4016666668467</v>
          </cell>
          <cell r="BT19">
            <v>2968.4752587946132</v>
          </cell>
          <cell r="BU19">
            <v>0</v>
          </cell>
          <cell r="BV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113230.17067175917</v>
          </cell>
        </row>
        <row r="20">
          <cell r="H20" t="str">
            <v>C191948</v>
          </cell>
          <cell r="I20" t="str">
            <v xml:space="preserve">Modification Avion de mission </v>
          </cell>
          <cell r="J20" t="str">
            <v xml:space="preserve">19105-19106-19107-19108       </v>
          </cell>
          <cell r="K20" t="str">
            <v xml:space="preserve">DAHER AEROSPACE </v>
          </cell>
          <cell r="L20" t="str">
            <v>BAZ</v>
          </cell>
          <cell r="M20">
            <v>42005</v>
          </cell>
          <cell r="N20">
            <v>45085</v>
          </cell>
          <cell r="O20">
            <v>4872723</v>
          </cell>
          <cell r="P20">
            <v>0</v>
          </cell>
          <cell r="Q20">
            <v>2691531.5400000005</v>
          </cell>
          <cell r="R20">
            <v>2691531.5400000005</v>
          </cell>
          <cell r="S20">
            <v>0.4476329682602519</v>
          </cell>
          <cell r="T20">
            <v>0.37268861393647434</v>
          </cell>
          <cell r="U20">
            <v>17000.302083333332</v>
          </cell>
          <cell r="V20">
            <v>15549.8</v>
          </cell>
          <cell r="W20">
            <v>1450.5</v>
          </cell>
          <cell r="X20">
            <v>3.637978807091713E-12</v>
          </cell>
          <cell r="Y20">
            <v>3.637978807091713E-12</v>
          </cell>
          <cell r="Z20">
            <v>0</v>
          </cell>
          <cell r="AA20">
            <v>2157599.438375331</v>
          </cell>
          <cell r="AB20">
            <v>765013.5</v>
          </cell>
          <cell r="AC20">
            <v>1.7280399333685637E-10</v>
          </cell>
          <cell r="AD20">
            <v>0.64543302783947043</v>
          </cell>
          <cell r="AE20">
            <v>2243866.64</v>
          </cell>
          <cell r="AF20">
            <v>1887098.11</v>
          </cell>
          <cell r="AG20">
            <v>1887098.11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0.1589972076058852</v>
          </cell>
          <cell r="AS20">
            <v>43462</v>
          </cell>
          <cell r="AT20">
            <v>39419.93</v>
          </cell>
          <cell r="AU20">
            <v>0</v>
          </cell>
          <cell r="AV20">
            <v>0</v>
          </cell>
          <cell r="AW20">
            <v>0</v>
          </cell>
          <cell r="AX20">
            <v>9.300239289494272E-2</v>
          </cell>
          <cell r="AY20">
            <v>4872723</v>
          </cell>
          <cell r="AZ20">
            <v>4872723</v>
          </cell>
          <cell r="BA20">
            <v>0</v>
          </cell>
          <cell r="BB20">
            <v>2691531.5400000005</v>
          </cell>
          <cell r="BC20">
            <v>1.7280399333685637E-10</v>
          </cell>
          <cell r="BD20">
            <v>1</v>
          </cell>
          <cell r="BE20">
            <v>1</v>
          </cell>
          <cell r="BF20">
            <v>0</v>
          </cell>
          <cell r="BG20">
            <v>0</v>
          </cell>
          <cell r="BH20">
            <v>0</v>
          </cell>
          <cell r="BI20">
            <v>126.9153587859234</v>
          </cell>
          <cell r="BJ20">
            <v>1</v>
          </cell>
          <cell r="BK20">
            <v>427794.92162466887</v>
          </cell>
          <cell r="BL20">
            <v>-1.7280399333685637E-10</v>
          </cell>
          <cell r="BM20">
            <v>0</v>
          </cell>
          <cell r="BN20">
            <v>0</v>
          </cell>
          <cell r="BO20">
            <v>-91.009999999776483</v>
          </cell>
          <cell r="BP20">
            <v>91.009999999776483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X20">
            <v>0</v>
          </cell>
          <cell r="BY20">
            <v>17000.3</v>
          </cell>
          <cell r="BZ20">
            <v>0</v>
          </cell>
          <cell r="CA20">
            <v>-91.010000000009313</v>
          </cell>
        </row>
        <row r="21">
          <cell r="H21" t="str">
            <v>C191954</v>
          </cell>
          <cell r="I21" t="str">
            <v>DOUBLER INSPECTION INTERVAL IM</v>
          </cell>
          <cell r="J21" t="str">
            <v xml:space="preserve">17026-17144                   </v>
          </cell>
          <cell r="K21" t="str">
            <v xml:space="preserve">ASTRONICS CSC </v>
          </cell>
          <cell r="L21" t="str">
            <v>VSE</v>
          </cell>
          <cell r="M21">
            <v>42005</v>
          </cell>
          <cell r="N21">
            <v>44589</v>
          </cell>
          <cell r="O21">
            <v>7500</v>
          </cell>
          <cell r="P21">
            <v>0</v>
          </cell>
          <cell r="Q21">
            <v>8645</v>
          </cell>
          <cell r="R21">
            <v>8645</v>
          </cell>
          <cell r="S21">
            <v>-0.15266666666666673</v>
          </cell>
          <cell r="T21">
            <v>0.59</v>
          </cell>
          <cell r="U21">
            <v>156.25</v>
          </cell>
          <cell r="V21">
            <v>133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7500</v>
          </cell>
          <cell r="AB21">
            <v>8645</v>
          </cell>
          <cell r="AC21">
            <v>0</v>
          </cell>
          <cell r="AD21">
            <v>-0.15266666666666673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7500</v>
          </cell>
          <cell r="AZ21">
            <v>15000</v>
          </cell>
          <cell r="BA21">
            <v>-7500</v>
          </cell>
          <cell r="BB21">
            <v>8645</v>
          </cell>
          <cell r="BC21">
            <v>0</v>
          </cell>
          <cell r="BD21">
            <v>1</v>
          </cell>
          <cell r="BE21">
            <v>1</v>
          </cell>
          <cell r="BF21">
            <v>0</v>
          </cell>
          <cell r="BG21">
            <v>0</v>
          </cell>
          <cell r="BH21">
            <v>0</v>
          </cell>
          <cell r="BI21">
            <v>96</v>
          </cell>
          <cell r="BJ21">
            <v>1</v>
          </cell>
          <cell r="BK21">
            <v>0</v>
          </cell>
          <cell r="BL21">
            <v>0</v>
          </cell>
          <cell r="BM21">
            <v>0</v>
          </cell>
          <cell r="BN21">
            <v>-7500</v>
          </cell>
          <cell r="BO21">
            <v>0</v>
          </cell>
          <cell r="BP21">
            <v>-7500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X21">
            <v>0</v>
          </cell>
          <cell r="BY21">
            <v>133</v>
          </cell>
          <cell r="BZ21">
            <v>0</v>
          </cell>
          <cell r="CA21">
            <v>0</v>
          </cell>
        </row>
        <row r="22">
          <cell r="H22" t="str">
            <v>C192026</v>
          </cell>
          <cell r="I22" t="str">
            <v xml:space="preserve">EC155 systems upgrade for LPV </v>
          </cell>
          <cell r="J22" t="str">
            <v xml:space="preserve">19097-21180                   </v>
          </cell>
          <cell r="K22" t="str">
            <v>HELIAR</v>
          </cell>
          <cell r="L22" t="str">
            <v>PRO</v>
          </cell>
          <cell r="M22">
            <v>43669</v>
          </cell>
          <cell r="N22" t="str">
            <v/>
          </cell>
          <cell r="O22">
            <v>248294.2</v>
          </cell>
          <cell r="P22">
            <v>0</v>
          </cell>
          <cell r="Q22">
            <v>348906.72450100002</v>
          </cell>
          <cell r="R22">
            <v>348906.72</v>
          </cell>
          <cell r="S22">
            <v>-0.43581559497161004</v>
          </cell>
          <cell r="T22">
            <v>0.32972083117527518</v>
          </cell>
          <cell r="U22">
            <v>833.33333300000004</v>
          </cell>
          <cell r="V22">
            <v>1785.5</v>
          </cell>
          <cell r="W22">
            <v>22.5</v>
          </cell>
          <cell r="X22">
            <v>50</v>
          </cell>
          <cell r="Y22">
            <v>81</v>
          </cell>
          <cell r="Z22">
            <v>2</v>
          </cell>
          <cell r="AA22">
            <v>82587</v>
          </cell>
          <cell r="AB22">
            <v>117070</v>
          </cell>
          <cell r="AC22">
            <v>2375</v>
          </cell>
          <cell r="AD22">
            <v>-0.44629300010897599</v>
          </cell>
          <cell r="AE22">
            <v>164707.20000000001</v>
          </cell>
          <cell r="AF22">
            <v>229772.85450099999</v>
          </cell>
          <cell r="AG22">
            <v>229772.84999999998</v>
          </cell>
          <cell r="AH22">
            <v>4.501000017626211E-3</v>
          </cell>
          <cell r="AI22">
            <v>192.12</v>
          </cell>
          <cell r="AJ22">
            <v>5222.9599999999919</v>
          </cell>
          <cell r="AK22">
            <v>5222.9599999999919</v>
          </cell>
          <cell r="AL22">
            <v>0</v>
          </cell>
          <cell r="AM22">
            <v>193.75</v>
          </cell>
          <cell r="AN22">
            <v>193.75</v>
          </cell>
          <cell r="AO22">
            <v>0</v>
          </cell>
          <cell r="AP22">
            <v>0</v>
          </cell>
          <cell r="AQ22">
            <v>0</v>
          </cell>
          <cell r="AR22">
            <v>-0.42792521821146834</v>
          </cell>
          <cell r="AS22">
            <v>1000</v>
          </cell>
          <cell r="AT22">
            <v>1870.1200000000001</v>
          </cell>
          <cell r="AU22">
            <v>0</v>
          </cell>
          <cell r="AV22">
            <v>0</v>
          </cell>
          <cell r="AW22">
            <v>0</v>
          </cell>
          <cell r="AX22">
            <v>-0.87012000000000023</v>
          </cell>
          <cell r="AY22">
            <v>241893.5</v>
          </cell>
          <cell r="AZ22">
            <v>242588.42982395142</v>
          </cell>
          <cell r="BA22">
            <v>414.02900287220837</v>
          </cell>
          <cell r="BB22">
            <v>348906.72</v>
          </cell>
          <cell r="BC22">
            <v>7597.9645010000095</v>
          </cell>
          <cell r="BD22">
            <v>0.97868761665324289</v>
          </cell>
          <cell r="BE22">
            <v>0.97422130682069896</v>
          </cell>
          <cell r="BF22">
            <v>0</v>
          </cell>
          <cell r="BG22">
            <v>1108.9588268236278</v>
          </cell>
          <cell r="BH22">
            <v>0</v>
          </cell>
          <cell r="BI22">
            <v>95.040000000380161</v>
          </cell>
          <cell r="BJ22">
            <v>0.97868761665324289</v>
          </cell>
          <cell r="BK22">
            <v>0</v>
          </cell>
          <cell r="BL22">
            <v>-1342.5</v>
          </cell>
          <cell r="BM22">
            <v>1.6674936541901664E-3</v>
          </cell>
          <cell r="BN22">
            <v>414.02900287220837</v>
          </cell>
          <cell r="BO22">
            <v>61306.289999999979</v>
          </cell>
          <cell r="BP22">
            <v>-60892.260997127771</v>
          </cell>
          <cell r="BQ22">
            <v>0</v>
          </cell>
          <cell r="BR22">
            <v>414.02900287220837</v>
          </cell>
          <cell r="BS22">
            <v>130</v>
          </cell>
          <cell r="BT22">
            <v>284.02900287220837</v>
          </cell>
          <cell r="BU22">
            <v>0</v>
          </cell>
          <cell r="BV22">
            <v>0</v>
          </cell>
          <cell r="BX22">
            <v>5291.7411731763859</v>
          </cell>
          <cell r="BY22">
            <v>1808</v>
          </cell>
          <cell r="BZ22">
            <v>0</v>
          </cell>
          <cell r="CA22">
            <v>47105.039999999979</v>
          </cell>
        </row>
        <row r="23">
          <cell r="H23" t="str">
            <v>C192102</v>
          </cell>
          <cell r="I23" t="str">
            <v>B737 MSN 39419 - Cabin reconfi</v>
          </cell>
          <cell r="J23" t="str">
            <v xml:space="preserve">19098                         </v>
          </cell>
          <cell r="K23" t="str">
            <v>MACQUARIE AIRCRAFT LEASING</v>
          </cell>
          <cell r="L23" t="str">
            <v>FDE</v>
          </cell>
          <cell r="M23">
            <v>42005</v>
          </cell>
          <cell r="N23">
            <v>45014</v>
          </cell>
          <cell r="O23">
            <v>19300</v>
          </cell>
          <cell r="P23">
            <v>0</v>
          </cell>
          <cell r="Q23">
            <v>12662.5</v>
          </cell>
          <cell r="R23">
            <v>12662.5</v>
          </cell>
          <cell r="S23">
            <v>0.3439119170984456</v>
          </cell>
          <cell r="T23">
            <v>0.53948186528497399</v>
          </cell>
          <cell r="U23">
            <v>175</v>
          </cell>
          <cell r="V23">
            <v>162.5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16800</v>
          </cell>
          <cell r="AB23">
            <v>10562.5</v>
          </cell>
          <cell r="AC23">
            <v>0</v>
          </cell>
          <cell r="AD23">
            <v>0.37127976190476186</v>
          </cell>
          <cell r="AE23">
            <v>2500</v>
          </cell>
          <cell r="AF23">
            <v>2100</v>
          </cell>
          <cell r="AG23">
            <v>2100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0.16000000000000003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19300</v>
          </cell>
          <cell r="AZ23">
            <v>17714.846989141166</v>
          </cell>
          <cell r="BA23">
            <v>1585.153010858834</v>
          </cell>
          <cell r="BB23">
            <v>12662.5</v>
          </cell>
          <cell r="BC23">
            <v>0</v>
          </cell>
          <cell r="BD23">
            <v>1</v>
          </cell>
          <cell r="BE23">
            <v>1</v>
          </cell>
          <cell r="BF23">
            <v>0</v>
          </cell>
          <cell r="BG23">
            <v>0</v>
          </cell>
          <cell r="BH23">
            <v>0</v>
          </cell>
          <cell r="BI23">
            <v>96</v>
          </cell>
          <cell r="BJ23">
            <v>1</v>
          </cell>
          <cell r="BK23">
            <v>0</v>
          </cell>
          <cell r="BL23">
            <v>0</v>
          </cell>
          <cell r="BM23">
            <v>0</v>
          </cell>
          <cell r="BN23">
            <v>1585.153010858834</v>
          </cell>
          <cell r="BO23">
            <v>1040</v>
          </cell>
          <cell r="BP23">
            <v>545.15301085883402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X23">
            <v>0</v>
          </cell>
          <cell r="BY23">
            <v>162.5</v>
          </cell>
          <cell r="BZ23">
            <v>0</v>
          </cell>
          <cell r="CA23">
            <v>0</v>
          </cell>
        </row>
        <row r="24">
          <cell r="H24" t="str">
            <v>C192108</v>
          </cell>
          <cell r="I24" t="str">
            <v>Daher</v>
          </cell>
          <cell r="J24" t="str">
            <v xml:space="preserve">                              </v>
          </cell>
          <cell r="K24" t="str">
            <v xml:space="preserve">DAHER AEROSPACE </v>
          </cell>
          <cell r="L24" t="str">
            <v>BAZ</v>
          </cell>
          <cell r="M24">
            <v>42005</v>
          </cell>
          <cell r="N24">
            <v>45085</v>
          </cell>
          <cell r="O24">
            <v>1792265</v>
          </cell>
          <cell r="P24">
            <v>0</v>
          </cell>
          <cell r="Q24">
            <v>1189142.5899999999</v>
          </cell>
          <cell r="R24">
            <v>1189142.5899999999</v>
          </cell>
          <cell r="S24">
            <v>0.33651408134399774</v>
          </cell>
          <cell r="T24">
            <v>0.27157297129609737</v>
          </cell>
          <cell r="U24">
            <v>2765</v>
          </cell>
          <cell r="V24">
            <v>2442.5</v>
          </cell>
          <cell r="W24">
            <v>322.5</v>
          </cell>
          <cell r="X24">
            <v>0</v>
          </cell>
          <cell r="Y24">
            <v>0</v>
          </cell>
          <cell r="Z24">
            <v>0</v>
          </cell>
          <cell r="AA24">
            <v>328917.26</v>
          </cell>
          <cell r="AB24">
            <v>124425</v>
          </cell>
          <cell r="AC24">
            <v>0</v>
          </cell>
          <cell r="AD24">
            <v>0.62171337557658113</v>
          </cell>
          <cell r="AE24">
            <v>1463347.74</v>
          </cell>
          <cell r="AF24">
            <v>1064717.5899999999</v>
          </cell>
          <cell r="AG24">
            <v>1064717.5899999999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0.27240972128743657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1792265</v>
          </cell>
          <cell r="AZ24">
            <v>1732057.3404182338</v>
          </cell>
          <cell r="BA24">
            <v>60207.659581766231</v>
          </cell>
          <cell r="BB24">
            <v>1189142.5899999999</v>
          </cell>
          <cell r="BC24">
            <v>0</v>
          </cell>
          <cell r="BD24">
            <v>1</v>
          </cell>
          <cell r="BE24">
            <v>1</v>
          </cell>
          <cell r="BF24">
            <v>0</v>
          </cell>
          <cell r="BG24">
            <v>0</v>
          </cell>
          <cell r="BH24">
            <v>0</v>
          </cell>
          <cell r="BI24">
            <v>118.95741772151899</v>
          </cell>
          <cell r="BJ24">
            <v>1</v>
          </cell>
          <cell r="BK24">
            <v>0</v>
          </cell>
          <cell r="BL24">
            <v>0</v>
          </cell>
          <cell r="BM24">
            <v>0</v>
          </cell>
          <cell r="BN24">
            <v>60207.659581766231</v>
          </cell>
          <cell r="BO24">
            <v>11114.975624999963</v>
          </cell>
          <cell r="BP24">
            <v>49092.683956766268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X24">
            <v>0</v>
          </cell>
          <cell r="BY24">
            <v>2765</v>
          </cell>
          <cell r="BZ24">
            <v>0</v>
          </cell>
          <cell r="CA24">
            <v>11114.975624999963</v>
          </cell>
        </row>
        <row r="25">
          <cell r="H25" t="str">
            <v>C192127</v>
          </cell>
          <cell r="I25" t="str">
            <v xml:space="preserve">A340 Seat IFE MOD             </v>
          </cell>
          <cell r="J25" t="str">
            <v xml:space="preserve">19119                         </v>
          </cell>
          <cell r="K25" t="str">
            <v>GLOBAL AIRWAYS</v>
          </cell>
          <cell r="L25" t="str">
            <v>TPA</v>
          </cell>
          <cell r="M25">
            <v>42005</v>
          </cell>
          <cell r="N25">
            <v>44868</v>
          </cell>
          <cell r="O25">
            <v>9500</v>
          </cell>
          <cell r="P25">
            <v>0</v>
          </cell>
          <cell r="Q25">
            <v>8895.11</v>
          </cell>
          <cell r="R25">
            <v>8895.11</v>
          </cell>
          <cell r="S25">
            <v>6.3672631578947314E-2</v>
          </cell>
          <cell r="T25">
            <v>0.56536842105263163</v>
          </cell>
          <cell r="U25">
            <v>92.708333333333329</v>
          </cell>
          <cell r="V25">
            <v>66.5</v>
          </cell>
          <cell r="W25">
            <v>91</v>
          </cell>
          <cell r="X25">
            <v>0</v>
          </cell>
          <cell r="Y25">
            <v>0</v>
          </cell>
          <cell r="Z25">
            <v>0</v>
          </cell>
          <cell r="AA25">
            <v>8900</v>
          </cell>
          <cell r="AB25">
            <v>8417.5</v>
          </cell>
          <cell r="AC25">
            <v>0</v>
          </cell>
          <cell r="AD25">
            <v>5.4213483146067443E-2</v>
          </cell>
          <cell r="AE25">
            <v>300</v>
          </cell>
          <cell r="AF25">
            <v>300</v>
          </cell>
          <cell r="AG25">
            <v>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300</v>
          </cell>
          <cell r="AT25">
            <v>177.61</v>
          </cell>
          <cell r="AU25">
            <v>0</v>
          </cell>
          <cell r="AV25">
            <v>0</v>
          </cell>
          <cell r="AW25">
            <v>0</v>
          </cell>
          <cell r="AX25">
            <v>0.40796666666666659</v>
          </cell>
          <cell r="AY25">
            <v>9500</v>
          </cell>
          <cell r="AZ25">
            <v>9500</v>
          </cell>
          <cell r="BA25">
            <v>0</v>
          </cell>
          <cell r="BB25">
            <v>8895.11</v>
          </cell>
          <cell r="BC25">
            <v>0</v>
          </cell>
          <cell r="BD25">
            <v>1</v>
          </cell>
          <cell r="BE25">
            <v>1</v>
          </cell>
          <cell r="BF25">
            <v>0</v>
          </cell>
          <cell r="BG25">
            <v>0</v>
          </cell>
          <cell r="BH25">
            <v>0</v>
          </cell>
          <cell r="BI25">
            <v>96.116504854368927</v>
          </cell>
          <cell r="BJ25">
            <v>1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X25">
            <v>0</v>
          </cell>
          <cell r="BY25">
            <v>157.5</v>
          </cell>
          <cell r="BZ25">
            <v>0</v>
          </cell>
          <cell r="CA25">
            <v>0</v>
          </cell>
        </row>
        <row r="26">
          <cell r="H26" t="str">
            <v>C192195</v>
          </cell>
          <cell r="I26" t="str">
            <v>AS350-INSTALLATION LÉGÈRE MX10</v>
          </cell>
          <cell r="J26" t="str">
            <v xml:space="preserve">21033                         </v>
          </cell>
          <cell r="K26" t="str">
            <v>DIRECTION GENERALE DE L'ARMEMENT</v>
          </cell>
          <cell r="L26" t="str">
            <v>JFA</v>
          </cell>
          <cell r="M26">
            <v>44517</v>
          </cell>
          <cell r="N26" t="str">
            <v/>
          </cell>
          <cell r="O26">
            <v>733119.48</v>
          </cell>
          <cell r="P26">
            <v>0</v>
          </cell>
          <cell r="Q26">
            <v>471488.7251590002</v>
          </cell>
          <cell r="R26">
            <v>471488.71</v>
          </cell>
          <cell r="S26">
            <v>0.30997763290234737</v>
          </cell>
          <cell r="T26">
            <v>0.3160943877797382</v>
          </cell>
          <cell r="U26">
            <v>2273.2654166666666</v>
          </cell>
          <cell r="V26">
            <v>1831.5</v>
          </cell>
          <cell r="W26">
            <v>586.65000000000009</v>
          </cell>
          <cell r="X26">
            <v>21</v>
          </cell>
          <cell r="Y26">
            <v>0</v>
          </cell>
          <cell r="Z26">
            <v>1</v>
          </cell>
          <cell r="AA26">
            <v>218233.47999999998</v>
          </cell>
          <cell r="AB26">
            <v>104424</v>
          </cell>
          <cell r="AC26">
            <v>997.5</v>
          </cell>
          <cell r="AD26">
            <v>0.51693250733113905</v>
          </cell>
          <cell r="AE26">
            <v>512886</v>
          </cell>
          <cell r="AF26">
            <v>364418.34515900019</v>
          </cell>
          <cell r="AG26">
            <v>364418.33</v>
          </cell>
          <cell r="AH26">
            <v>1.5159000176936388E-2</v>
          </cell>
          <cell r="AI26">
            <v>593</v>
          </cell>
          <cell r="AJ26">
            <v>33382.613795999998</v>
          </cell>
          <cell r="AK26">
            <v>35532.61</v>
          </cell>
          <cell r="AL26">
            <v>-386.71379599999636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0.22438717579540046</v>
          </cell>
          <cell r="AS26">
            <v>2000</v>
          </cell>
          <cell r="AT26">
            <v>2646.38</v>
          </cell>
          <cell r="AU26">
            <v>0</v>
          </cell>
          <cell r="AV26">
            <v>0</v>
          </cell>
          <cell r="AW26">
            <v>0</v>
          </cell>
          <cell r="AX26">
            <v>-0.32319000000000009</v>
          </cell>
          <cell r="AY26">
            <v>733119.48</v>
          </cell>
          <cell r="AZ26">
            <v>640080.10524037469</v>
          </cell>
          <cell r="BA26">
            <v>43214.716032099328</v>
          </cell>
          <cell r="BB26">
            <v>471488.71</v>
          </cell>
          <cell r="BC26">
            <v>34380.128955000175</v>
          </cell>
          <cell r="BD26">
            <v>0.93203746444232261</v>
          </cell>
          <cell r="BE26">
            <v>1</v>
          </cell>
          <cell r="BF26">
            <v>-49824.658727525959</v>
          </cell>
          <cell r="BG26">
            <v>0</v>
          </cell>
          <cell r="BH26">
            <v>0</v>
          </cell>
          <cell r="BI26">
            <v>94.772663877266382</v>
          </cell>
          <cell r="BJ26">
            <v>0.93203746444232261</v>
          </cell>
          <cell r="BK26">
            <v>0</v>
          </cell>
          <cell r="BL26">
            <v>-1498.2099999999773</v>
          </cell>
          <cell r="BM26">
            <v>3.2396152982097082E-3</v>
          </cell>
          <cell r="BN26">
            <v>43214.716032099328</v>
          </cell>
          <cell r="BO26">
            <v>17329.286204000004</v>
          </cell>
          <cell r="BP26">
            <v>25885.429828099324</v>
          </cell>
          <cell r="BQ26">
            <v>498031.48</v>
          </cell>
          <cell r="BR26">
            <v>2375.0250828235876</v>
          </cell>
          <cell r="BS26">
            <v>247.28620400000364</v>
          </cell>
          <cell r="BT26">
            <v>2127.7388788235839</v>
          </cell>
          <cell r="BU26">
            <v>0</v>
          </cell>
          <cell r="BV26">
            <v>0</v>
          </cell>
          <cell r="BX26">
            <v>49824.658727525966</v>
          </cell>
          <cell r="BY26">
            <v>2418.15</v>
          </cell>
          <cell r="BZ26">
            <v>49.700000000000273</v>
          </cell>
          <cell r="CA26">
            <v>-100.21379599999636</v>
          </cell>
        </row>
        <row r="27">
          <cell r="H27" t="str">
            <v>C192240</v>
          </cell>
          <cell r="I27" t="str">
            <v xml:space="preserve">Boitier filtre de Kalman      </v>
          </cell>
          <cell r="J27" t="str">
            <v xml:space="preserve">19165-13251                   </v>
          </cell>
          <cell r="K27" t="str">
            <v xml:space="preserve">NOVESPACE </v>
          </cell>
          <cell r="L27" t="str">
            <v>TBI</v>
          </cell>
          <cell r="M27">
            <v>42005</v>
          </cell>
          <cell r="N27">
            <v>44255</v>
          </cell>
          <cell r="O27">
            <v>70883.7</v>
          </cell>
          <cell r="P27">
            <v>0</v>
          </cell>
          <cell r="Q27">
            <v>54105.779999999992</v>
          </cell>
          <cell r="R27">
            <v>54105.779999999992</v>
          </cell>
          <cell r="S27">
            <v>0.23669644784343946</v>
          </cell>
          <cell r="T27">
            <v>0.33559055184760389</v>
          </cell>
          <cell r="U27">
            <v>257</v>
          </cell>
          <cell r="V27">
            <v>337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24644</v>
          </cell>
          <cell r="AB27">
            <v>21905</v>
          </cell>
          <cell r="AC27">
            <v>0</v>
          </cell>
          <cell r="AD27">
            <v>0.11114267164421365</v>
          </cell>
          <cell r="AE27">
            <v>46239.7</v>
          </cell>
          <cell r="AF27">
            <v>31194.009999999995</v>
          </cell>
          <cell r="AG27">
            <v>31194.01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0.32538468026392908</v>
          </cell>
          <cell r="AS27">
            <v>0</v>
          </cell>
          <cell r="AT27">
            <v>1006.77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70883.7</v>
          </cell>
          <cell r="AZ27">
            <v>70883.7</v>
          </cell>
          <cell r="BA27">
            <v>0</v>
          </cell>
          <cell r="BB27">
            <v>54105.779999999992</v>
          </cell>
          <cell r="BC27">
            <v>-3.637978807091713E-12</v>
          </cell>
          <cell r="BD27">
            <v>1.0000000000000002</v>
          </cell>
          <cell r="BE27">
            <v>1</v>
          </cell>
          <cell r="BF27">
            <v>0</v>
          </cell>
          <cell r="BG27">
            <v>1.5739343162124441E-11</v>
          </cell>
          <cell r="BH27">
            <v>0</v>
          </cell>
          <cell r="BI27">
            <v>95.891050583657588</v>
          </cell>
          <cell r="BJ27">
            <v>1.0000000000000002</v>
          </cell>
          <cell r="BK27">
            <v>0</v>
          </cell>
          <cell r="BL27">
            <v>-3.637978807091713E-12</v>
          </cell>
          <cell r="BM27">
            <v>0</v>
          </cell>
          <cell r="BN27">
            <v>0</v>
          </cell>
          <cell r="BO27">
            <v>-2271.0800000000017</v>
          </cell>
          <cell r="BP27">
            <v>2271.0800000000017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1.4551915228366852E-11</v>
          </cell>
          <cell r="BX27">
            <v>-1.4551915228366852E-11</v>
          </cell>
          <cell r="BY27">
            <v>337</v>
          </cell>
          <cell r="BZ27">
            <v>0</v>
          </cell>
          <cell r="CA27">
            <v>-2271.0799999999945</v>
          </cell>
        </row>
        <row r="28">
          <cell r="H28" t="str">
            <v>C192280</v>
          </cell>
          <cell r="I28" t="str">
            <v xml:space="preserve">B1900D - Filet Cargo          </v>
          </cell>
          <cell r="J28" t="str">
            <v xml:space="preserve">19167-19168                   </v>
          </cell>
          <cell r="K28" t="str">
            <v xml:space="preserve">TWINJET </v>
          </cell>
          <cell r="L28" t="str">
            <v>VGA</v>
          </cell>
          <cell r="M28">
            <v>42005</v>
          </cell>
          <cell r="N28" t="str">
            <v/>
          </cell>
          <cell r="O28">
            <v>35000</v>
          </cell>
          <cell r="P28">
            <v>0</v>
          </cell>
          <cell r="Q28">
            <v>52781.59</v>
          </cell>
          <cell r="R28">
            <v>52781.59</v>
          </cell>
          <cell r="S28">
            <v>-0.50804542857142843</v>
          </cell>
          <cell r="T28">
            <v>0.48057714285714281</v>
          </cell>
          <cell r="U28">
            <v>262</v>
          </cell>
          <cell r="V28">
            <v>526.5</v>
          </cell>
          <cell r="W28">
            <v>191</v>
          </cell>
          <cell r="X28">
            <v>0</v>
          </cell>
          <cell r="Y28">
            <v>0</v>
          </cell>
          <cell r="Z28">
            <v>0</v>
          </cell>
          <cell r="AA28">
            <v>25180</v>
          </cell>
          <cell r="AB28">
            <v>42817.5</v>
          </cell>
          <cell r="AC28">
            <v>0</v>
          </cell>
          <cell r="AD28">
            <v>-0.70045671167593326</v>
          </cell>
          <cell r="AE28">
            <v>9820</v>
          </cell>
          <cell r="AF28">
            <v>9920.4499999999989</v>
          </cell>
          <cell r="AG28">
            <v>9920.4499999999989</v>
          </cell>
          <cell r="AH28">
            <v>0</v>
          </cell>
          <cell r="AI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-1.022912423625244E-2</v>
          </cell>
          <cell r="AS28">
            <v>0</v>
          </cell>
          <cell r="AT28">
            <v>43.64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35000</v>
          </cell>
          <cell r="AZ28">
            <v>35000</v>
          </cell>
          <cell r="BA28">
            <v>0</v>
          </cell>
          <cell r="BB28">
            <v>52781.59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0</v>
          </cell>
          <cell r="BH28">
            <v>0</v>
          </cell>
          <cell r="BI28">
            <v>96.10687022900764</v>
          </cell>
          <cell r="BJ28">
            <v>1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16567.329999999994</v>
          </cell>
          <cell r="BP28">
            <v>-16567.329999999994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X28">
            <v>0</v>
          </cell>
          <cell r="BY28">
            <v>717.5</v>
          </cell>
          <cell r="BZ28">
            <v>102</v>
          </cell>
          <cell r="CA28">
            <v>2064.8299999999981</v>
          </cell>
        </row>
        <row r="29">
          <cell r="H29" t="str">
            <v>C202415</v>
          </cell>
          <cell r="I29" t="str">
            <v>2020-2021 Technical Assistance</v>
          </cell>
          <cell r="J29" t="str">
            <v xml:space="preserve">                              </v>
          </cell>
          <cell r="K29" t="str">
            <v>LEONARDO S.P.A</v>
          </cell>
          <cell r="L29" t="str">
            <v>TRO</v>
          </cell>
          <cell r="M29">
            <v>44144</v>
          </cell>
          <cell r="N29">
            <v>45014</v>
          </cell>
          <cell r="O29">
            <v>162000</v>
          </cell>
          <cell r="P29">
            <v>0</v>
          </cell>
          <cell r="Q29">
            <v>156148</v>
          </cell>
          <cell r="R29">
            <v>156148</v>
          </cell>
          <cell r="S29">
            <v>3.6123456790123409E-2</v>
          </cell>
          <cell r="T29">
            <v>0.2</v>
          </cell>
          <cell r="U29">
            <v>0</v>
          </cell>
          <cell r="V29">
            <v>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148</v>
          </cell>
          <cell r="AC29">
            <v>0</v>
          </cell>
          <cell r="AD29">
            <v>0</v>
          </cell>
          <cell r="AE29">
            <v>162000</v>
          </cell>
          <cell r="AF29">
            <v>156000</v>
          </cell>
          <cell r="AG29">
            <v>156000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3.703703703703709E-2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162000</v>
          </cell>
          <cell r="AZ29">
            <v>162000</v>
          </cell>
          <cell r="BA29">
            <v>0</v>
          </cell>
          <cell r="BB29">
            <v>156148</v>
          </cell>
          <cell r="BC29">
            <v>0</v>
          </cell>
          <cell r="BD29">
            <v>1</v>
          </cell>
          <cell r="BE29">
            <v>1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1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X29">
            <v>0</v>
          </cell>
          <cell r="BY29">
            <v>4</v>
          </cell>
          <cell r="BZ29">
            <v>0</v>
          </cell>
          <cell r="CA29">
            <v>0</v>
          </cell>
        </row>
        <row r="30">
          <cell r="H30" t="str">
            <v>C202426</v>
          </cell>
          <cell r="I30" t="str">
            <v>exploitation et suivi naviguab</v>
          </cell>
          <cell r="J30" t="str">
            <v xml:space="preserve">                              </v>
          </cell>
          <cell r="K30" t="str">
            <v xml:space="preserve">SAFRAN AIRCRAFT ENGINES </v>
          </cell>
          <cell r="L30" t="str">
            <v>BAZ</v>
          </cell>
          <cell r="M30">
            <v>43922</v>
          </cell>
          <cell r="N30">
            <v>45077</v>
          </cell>
          <cell r="O30">
            <v>3917531.8485129997</v>
          </cell>
          <cell r="P30">
            <v>0</v>
          </cell>
          <cell r="Q30">
            <v>3826353.7926929994</v>
          </cell>
          <cell r="R30">
            <v>3826353.7900000005</v>
          </cell>
          <cell r="S30">
            <v>2.3274362365326873E-2</v>
          </cell>
          <cell r="T30">
            <v>0.21516184227641844</v>
          </cell>
          <cell r="U30">
            <v>1586</v>
          </cell>
          <cell r="V30">
            <v>1581.5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152300</v>
          </cell>
          <cell r="AB30">
            <v>61678.5</v>
          </cell>
          <cell r="AC30">
            <v>0</v>
          </cell>
          <cell r="AD30">
            <v>0.59501969796454368</v>
          </cell>
          <cell r="AE30">
            <v>3764336.7685130001</v>
          </cell>
          <cell r="AF30">
            <v>3762712.1326929992</v>
          </cell>
          <cell r="AG30">
            <v>3762712.1300000004</v>
          </cell>
          <cell r="AH30">
            <v>2.6929988525807858E-3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4.3158620493000122E-4</v>
          </cell>
          <cell r="AS30">
            <v>895</v>
          </cell>
          <cell r="AT30">
            <v>1963.16</v>
          </cell>
          <cell r="AU30">
            <v>0</v>
          </cell>
          <cell r="AV30">
            <v>0</v>
          </cell>
          <cell r="AW30">
            <v>0</v>
          </cell>
          <cell r="AX30">
            <v>-1.1934748603351957</v>
          </cell>
          <cell r="AY30">
            <v>3917531.7699979995</v>
          </cell>
          <cell r="AZ30">
            <v>3915446.4598451038</v>
          </cell>
          <cell r="BA30">
            <v>2085.3859107256867</v>
          </cell>
          <cell r="BB30">
            <v>3826353.7900000005</v>
          </cell>
          <cell r="BC30">
            <v>2.6929988525807858E-3</v>
          </cell>
          <cell r="BD30">
            <v>0.9999999992961971</v>
          </cell>
          <cell r="BE30">
            <v>0.99999997995804424</v>
          </cell>
          <cell r="BF30">
            <v>0</v>
          </cell>
          <cell r="BG30">
            <v>7.5757829707997826E-2</v>
          </cell>
          <cell r="BH30">
            <v>0</v>
          </cell>
          <cell r="BI30">
            <v>96.027742749054227</v>
          </cell>
          <cell r="BJ30">
            <v>0.9999999992961971</v>
          </cell>
          <cell r="BK30">
            <v>7.9999999608844519E-2</v>
          </cell>
          <cell r="BL30">
            <v>0</v>
          </cell>
          <cell r="BM30">
            <v>0</v>
          </cell>
          <cell r="BN30">
            <v>2085.3859107256867</v>
          </cell>
          <cell r="BO30">
            <v>0</v>
          </cell>
          <cell r="BP30">
            <v>2085.3859107256867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X30">
            <v>2.7571702376008034E-3</v>
          </cell>
          <cell r="BY30">
            <v>1581.5</v>
          </cell>
          <cell r="BZ30">
            <v>0</v>
          </cell>
          <cell r="CA30">
            <v>0</v>
          </cell>
        </row>
        <row r="31">
          <cell r="H31" t="str">
            <v>C202445</v>
          </cell>
          <cell r="I31" t="str">
            <v xml:space="preserve">E145 UCS Installation         </v>
          </cell>
          <cell r="J31" t="str">
            <v xml:space="preserve">20062                         </v>
          </cell>
          <cell r="K31" t="str">
            <v xml:space="preserve">UUDS AERO </v>
          </cell>
          <cell r="L31" t="str">
            <v>TPA</v>
          </cell>
          <cell r="M31">
            <v>43922</v>
          </cell>
          <cell r="N31">
            <v>44812</v>
          </cell>
          <cell r="O31">
            <v>75100</v>
          </cell>
          <cell r="P31">
            <v>0</v>
          </cell>
          <cell r="Q31">
            <v>32365.5</v>
          </cell>
          <cell r="R31">
            <v>32365.5</v>
          </cell>
          <cell r="S31">
            <v>0.56903462050599196</v>
          </cell>
          <cell r="T31">
            <v>0.44719041278295601</v>
          </cell>
          <cell r="U31">
            <v>495.5</v>
          </cell>
          <cell r="V31">
            <v>429</v>
          </cell>
          <cell r="W31">
            <v>56.5</v>
          </cell>
          <cell r="X31">
            <v>0</v>
          </cell>
          <cell r="Y31">
            <v>0</v>
          </cell>
          <cell r="Z31">
            <v>0</v>
          </cell>
          <cell r="AA31">
            <v>47600</v>
          </cell>
          <cell r="AB31">
            <v>18415.5</v>
          </cell>
          <cell r="AC31">
            <v>0</v>
          </cell>
          <cell r="AD31">
            <v>0.61311974789915968</v>
          </cell>
          <cell r="AE31">
            <v>26000</v>
          </cell>
          <cell r="AF31">
            <v>13950</v>
          </cell>
          <cell r="AG31">
            <v>13950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0.46346153846153848</v>
          </cell>
          <cell r="AS31">
            <v>1500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1</v>
          </cell>
          <cell r="AY31">
            <v>75100</v>
          </cell>
          <cell r="AZ31">
            <v>75100</v>
          </cell>
          <cell r="BA31">
            <v>0</v>
          </cell>
          <cell r="BB31">
            <v>32365.5</v>
          </cell>
          <cell r="BC31">
            <v>0</v>
          </cell>
          <cell r="BD31">
            <v>1</v>
          </cell>
          <cell r="BE31">
            <v>1</v>
          </cell>
          <cell r="BF31">
            <v>0</v>
          </cell>
          <cell r="BG31">
            <v>0</v>
          </cell>
          <cell r="BH31">
            <v>0</v>
          </cell>
          <cell r="BI31">
            <v>96.064581231079714</v>
          </cell>
          <cell r="BJ31">
            <v>1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X31">
            <v>0</v>
          </cell>
          <cell r="BY31">
            <v>485.5</v>
          </cell>
          <cell r="BZ31">
            <v>0</v>
          </cell>
          <cell r="CA31">
            <v>0</v>
          </cell>
        </row>
        <row r="32">
          <cell r="H32" t="str">
            <v>C202464</v>
          </cell>
          <cell r="I32" t="str">
            <v xml:space="preserve">Seat Isolation Device         </v>
          </cell>
          <cell r="J32" t="str">
            <v xml:space="preserve">20094                         </v>
          </cell>
          <cell r="K32" t="str">
            <v>VISION SYSTEMS AERONAUTICS</v>
          </cell>
          <cell r="L32" t="str">
            <v>TPA</v>
          </cell>
          <cell r="M32">
            <v>44044</v>
          </cell>
          <cell r="N32">
            <v>44655</v>
          </cell>
          <cell r="O32">
            <v>7000</v>
          </cell>
          <cell r="P32">
            <v>0</v>
          </cell>
          <cell r="Q32">
            <v>17486.949999999997</v>
          </cell>
          <cell r="R32">
            <v>17486.949999999997</v>
          </cell>
          <cell r="S32">
            <v>-1.4981357142857137</v>
          </cell>
          <cell r="T32">
            <v>0.50642857142857134</v>
          </cell>
          <cell r="U32">
            <v>57.3</v>
          </cell>
          <cell r="V32">
            <v>210.5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5500</v>
          </cell>
          <cell r="AB32">
            <v>7788.5</v>
          </cell>
          <cell r="AC32">
            <v>0</v>
          </cell>
          <cell r="AD32">
            <v>-0.41609090909090907</v>
          </cell>
          <cell r="AE32">
            <v>1200</v>
          </cell>
          <cell r="AF32">
            <v>9411.6</v>
          </cell>
          <cell r="AG32">
            <v>9411.6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-6.843</v>
          </cell>
          <cell r="AS32">
            <v>300</v>
          </cell>
          <cell r="AT32">
            <v>286.85000000000002</v>
          </cell>
          <cell r="AU32">
            <v>0</v>
          </cell>
          <cell r="AV32">
            <v>0</v>
          </cell>
          <cell r="AW32">
            <v>0</v>
          </cell>
          <cell r="AX32">
            <v>4.383333333333328E-2</v>
          </cell>
          <cell r="AY32">
            <v>7000</v>
          </cell>
          <cell r="AZ32">
            <v>7000</v>
          </cell>
          <cell r="BA32">
            <v>0</v>
          </cell>
          <cell r="BB32">
            <v>17486.949999999997</v>
          </cell>
          <cell r="BC32">
            <v>0</v>
          </cell>
          <cell r="BD32">
            <v>1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96.412556053811656</v>
          </cell>
          <cell r="BJ32">
            <v>1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X32">
            <v>0</v>
          </cell>
          <cell r="BY32">
            <v>210.5</v>
          </cell>
          <cell r="BZ32">
            <v>0</v>
          </cell>
          <cell r="CA32">
            <v>0</v>
          </cell>
        </row>
        <row r="33">
          <cell r="H33" t="str">
            <v>C202491</v>
          </cell>
          <cell r="I33" t="str">
            <v>Accompagnement développement b</v>
          </cell>
          <cell r="J33" t="str">
            <v xml:space="preserve">                              </v>
          </cell>
          <cell r="K33" t="str">
            <v>ESNAH SPRL</v>
          </cell>
          <cell r="L33" t="str">
            <v>VSE</v>
          </cell>
          <cell r="M33">
            <v>43983</v>
          </cell>
          <cell r="N33" t="str">
            <v/>
          </cell>
          <cell r="O33">
            <v>8240</v>
          </cell>
          <cell r="P33">
            <v>-17680</v>
          </cell>
          <cell r="Q33">
            <v>1202.2</v>
          </cell>
          <cell r="R33">
            <v>1202.2</v>
          </cell>
          <cell r="S33">
            <v>0.85410194174757281</v>
          </cell>
          <cell r="T33">
            <v>0.59</v>
          </cell>
          <cell r="U33">
            <v>270</v>
          </cell>
          <cell r="V33">
            <v>30</v>
          </cell>
          <cell r="W33">
            <v>0</v>
          </cell>
          <cell r="X33">
            <v>0</v>
          </cell>
          <cell r="Y33">
            <v>240</v>
          </cell>
          <cell r="Z33">
            <v>0</v>
          </cell>
          <cell r="AA33">
            <v>8240</v>
          </cell>
          <cell r="AB33">
            <v>1110</v>
          </cell>
          <cell r="AC33">
            <v>0</v>
          </cell>
          <cell r="AD33">
            <v>0.86529126213592233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92.2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8240</v>
          </cell>
          <cell r="AZ33">
            <v>2596.2760160637217</v>
          </cell>
          <cell r="BA33">
            <v>5643.7239839362783</v>
          </cell>
          <cell r="BB33">
            <v>1202.2</v>
          </cell>
          <cell r="BC33">
            <v>0</v>
          </cell>
          <cell r="BD33">
            <v>1</v>
          </cell>
          <cell r="BE33">
            <v>1</v>
          </cell>
          <cell r="BF33">
            <v>0</v>
          </cell>
          <cell r="BG33">
            <v>0</v>
          </cell>
          <cell r="BH33">
            <v>0</v>
          </cell>
          <cell r="BI33">
            <v>96</v>
          </cell>
          <cell r="BJ33">
            <v>1</v>
          </cell>
          <cell r="BK33">
            <v>0</v>
          </cell>
          <cell r="BL33">
            <v>-11400</v>
          </cell>
          <cell r="BM33">
            <v>0.90460395803907256</v>
          </cell>
          <cell r="BN33">
            <v>5643.7239839362783</v>
          </cell>
          <cell r="BO33">
            <v>0</v>
          </cell>
          <cell r="BP33">
            <v>5643.7239839362783</v>
          </cell>
          <cell r="BQ33">
            <v>0</v>
          </cell>
          <cell r="BR33">
            <v>5767.3345923727611</v>
          </cell>
          <cell r="BS33">
            <v>0</v>
          </cell>
          <cell r="BT33">
            <v>5767.3345923727611</v>
          </cell>
          <cell r="BU33">
            <v>0</v>
          </cell>
          <cell r="BV33">
            <v>0</v>
          </cell>
          <cell r="BX33">
            <v>0</v>
          </cell>
          <cell r="BY33">
            <v>30</v>
          </cell>
          <cell r="BZ33">
            <v>0</v>
          </cell>
          <cell r="CA33">
            <v>0</v>
          </cell>
        </row>
        <row r="34">
          <cell r="H34" t="str">
            <v>C202512</v>
          </cell>
          <cell r="I34" t="str">
            <v>STC et PTF pour essais SKYLINK</v>
          </cell>
          <cell r="J34" t="str">
            <v xml:space="preserve">                              </v>
          </cell>
          <cell r="K34" t="str">
            <v>ESNAH SPRL</v>
          </cell>
          <cell r="L34" t="str">
            <v>VSE</v>
          </cell>
          <cell r="M34">
            <v>44013</v>
          </cell>
          <cell r="N34" t="str">
            <v/>
          </cell>
          <cell r="O34">
            <v>9250</v>
          </cell>
          <cell r="P34">
            <v>-9250</v>
          </cell>
          <cell r="Q34">
            <v>4568.93</v>
          </cell>
          <cell r="R34">
            <v>4568.93</v>
          </cell>
          <cell r="S34">
            <v>0.5060616216216216</v>
          </cell>
          <cell r="T34">
            <v>0.33702702702702703</v>
          </cell>
          <cell r="U34">
            <v>130</v>
          </cell>
          <cell r="V34">
            <v>7</v>
          </cell>
          <cell r="W34">
            <v>0</v>
          </cell>
          <cell r="X34">
            <v>0</v>
          </cell>
          <cell r="Y34">
            <v>114</v>
          </cell>
          <cell r="Z34">
            <v>0</v>
          </cell>
          <cell r="AA34">
            <v>3250</v>
          </cell>
          <cell r="AB34">
            <v>259</v>
          </cell>
          <cell r="AC34">
            <v>0</v>
          </cell>
          <cell r="AD34">
            <v>0.92030769230769227</v>
          </cell>
          <cell r="AE34">
            <v>6000</v>
          </cell>
          <cell r="AF34">
            <v>4309.93</v>
          </cell>
          <cell r="AG34">
            <v>4309.93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0.28167833333333325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9250</v>
          </cell>
          <cell r="AZ34">
            <v>8714.8999941230632</v>
          </cell>
          <cell r="BA34">
            <v>535.10000587693685</v>
          </cell>
          <cell r="BB34">
            <v>4568.93</v>
          </cell>
          <cell r="BC34">
            <v>0</v>
          </cell>
          <cell r="BD34">
            <v>1</v>
          </cell>
          <cell r="BE34">
            <v>1</v>
          </cell>
          <cell r="BF34">
            <v>0</v>
          </cell>
          <cell r="BG34">
            <v>0</v>
          </cell>
          <cell r="BH34">
            <v>0</v>
          </cell>
          <cell r="BI34">
            <v>96.15384615384616</v>
          </cell>
          <cell r="BJ34">
            <v>1</v>
          </cell>
          <cell r="BK34">
            <v>0</v>
          </cell>
          <cell r="BL34">
            <v>-5415</v>
          </cell>
          <cell r="BM34">
            <v>0.5423715911469732</v>
          </cell>
          <cell r="BN34">
            <v>535.10000587693685</v>
          </cell>
          <cell r="BO34">
            <v>0</v>
          </cell>
          <cell r="BP34">
            <v>535.10000587693685</v>
          </cell>
          <cell r="BQ34">
            <v>0</v>
          </cell>
          <cell r="BR34">
            <v>783.87443621900456</v>
          </cell>
          <cell r="BS34">
            <v>0</v>
          </cell>
          <cell r="BT34">
            <v>783.87443621900456</v>
          </cell>
          <cell r="BU34">
            <v>0</v>
          </cell>
          <cell r="BV34">
            <v>0</v>
          </cell>
          <cell r="BX34">
            <v>0</v>
          </cell>
          <cell r="BY34">
            <v>7</v>
          </cell>
          <cell r="BZ34">
            <v>0</v>
          </cell>
          <cell r="CA34">
            <v>0</v>
          </cell>
        </row>
        <row r="35">
          <cell r="H35" t="str">
            <v>C202513</v>
          </cell>
          <cell r="I35" t="str">
            <v xml:space="preserve">AS350 FG MCO - Mission System </v>
          </cell>
          <cell r="J35" t="str">
            <v xml:space="preserve">21033                         </v>
          </cell>
          <cell r="K35" t="str">
            <v xml:space="preserve">DAHER AEROSPACE MERPINS </v>
          </cell>
          <cell r="L35" t="str">
            <v>JFA</v>
          </cell>
          <cell r="M35">
            <v>44246</v>
          </cell>
          <cell r="N35">
            <v>44841</v>
          </cell>
          <cell r="O35">
            <v>68787.94</v>
          </cell>
          <cell r="P35">
            <v>0</v>
          </cell>
          <cell r="Q35">
            <v>62434.210000000006</v>
          </cell>
          <cell r="R35">
            <v>62434.210000000006</v>
          </cell>
          <cell r="S35">
            <v>9.2366917805650206E-2</v>
          </cell>
          <cell r="T35">
            <v>0.29570282232612288</v>
          </cell>
          <cell r="U35">
            <v>176</v>
          </cell>
          <cell r="V35">
            <v>384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16880</v>
          </cell>
          <cell r="AB35">
            <v>17280</v>
          </cell>
          <cell r="AC35">
            <v>0</v>
          </cell>
          <cell r="AD35">
            <v>-2.3696682464454888E-2</v>
          </cell>
          <cell r="AE35">
            <v>51907.94</v>
          </cell>
          <cell r="AF35">
            <v>45048.23</v>
          </cell>
          <cell r="AG35">
            <v>45048.23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0.13215145890975444</v>
          </cell>
          <cell r="AS35">
            <v>0</v>
          </cell>
          <cell r="AT35">
            <v>105.98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68787.94</v>
          </cell>
          <cell r="AZ35">
            <v>68787.94</v>
          </cell>
          <cell r="BA35">
            <v>0</v>
          </cell>
          <cell r="BB35">
            <v>62434.210000000006</v>
          </cell>
          <cell r="BC35">
            <v>0</v>
          </cell>
          <cell r="BD35">
            <v>1</v>
          </cell>
          <cell r="BE35">
            <v>1</v>
          </cell>
          <cell r="BF35">
            <v>0</v>
          </cell>
          <cell r="BG35">
            <v>0</v>
          </cell>
          <cell r="BH35">
            <v>0</v>
          </cell>
          <cell r="BI35">
            <v>95.909090909090907</v>
          </cell>
          <cell r="BJ35">
            <v>1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360</v>
          </cell>
          <cell r="BP35">
            <v>-360</v>
          </cell>
          <cell r="BQ35">
            <v>5600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X35">
            <v>0</v>
          </cell>
          <cell r="BY35">
            <v>384</v>
          </cell>
          <cell r="BZ35">
            <v>0</v>
          </cell>
          <cell r="CA35">
            <v>0</v>
          </cell>
        </row>
        <row r="36">
          <cell r="H36" t="str">
            <v>C202594</v>
          </cell>
          <cell r="I36" t="str">
            <v xml:space="preserve">DHC6 Protection Balistique    </v>
          </cell>
          <cell r="J36" t="str">
            <v xml:space="preserve">21106                         </v>
          </cell>
          <cell r="K36" t="str">
            <v>DIRECTION GENERALE DE L'ARMEMENT</v>
          </cell>
          <cell r="L36" t="str">
            <v>MSU</v>
          </cell>
          <cell r="M36">
            <v>44317</v>
          </cell>
          <cell r="N36" t="str">
            <v/>
          </cell>
          <cell r="O36">
            <v>332896.86</v>
          </cell>
          <cell r="P36">
            <v>0</v>
          </cell>
          <cell r="Q36">
            <v>188329.34999999998</v>
          </cell>
          <cell r="R36">
            <v>188329.34999999998</v>
          </cell>
          <cell r="S36">
            <v>0.39572319786975463</v>
          </cell>
          <cell r="T36">
            <v>0.42197554840837492</v>
          </cell>
          <cell r="U36">
            <v>1973.55</v>
          </cell>
          <cell r="V36">
            <v>1603.5</v>
          </cell>
          <cell r="W36">
            <v>248.5</v>
          </cell>
          <cell r="X36">
            <v>87</v>
          </cell>
          <cell r="Y36">
            <v>87</v>
          </cell>
          <cell r="Z36">
            <v>0</v>
          </cell>
          <cell r="AA36">
            <v>189474.26426134873</v>
          </cell>
          <cell r="AB36">
            <v>74464.5</v>
          </cell>
          <cell r="AC36">
            <v>4132.5</v>
          </cell>
          <cell r="AD36">
            <v>0.58518376990983689</v>
          </cell>
          <cell r="AE36">
            <v>115869.1</v>
          </cell>
          <cell r="AF36">
            <v>99042.04</v>
          </cell>
          <cell r="AG36">
            <v>99042.04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0.14522474067719526</v>
          </cell>
          <cell r="AS36">
            <v>25524</v>
          </cell>
          <cell r="AT36">
            <v>14822.809999999998</v>
          </cell>
          <cell r="AU36">
            <v>8700</v>
          </cell>
          <cell r="AV36">
            <v>8700</v>
          </cell>
          <cell r="AW36">
            <v>0</v>
          </cell>
          <cell r="AX36">
            <v>7.8404246983231562E-2</v>
          </cell>
          <cell r="AY36">
            <v>323065.86</v>
          </cell>
          <cell r="AZ36">
            <v>294971.87561923137</v>
          </cell>
          <cell r="BA36">
            <v>16688.855582241493</v>
          </cell>
          <cell r="BB36">
            <v>188329.34999999998</v>
          </cell>
          <cell r="BC36">
            <v>12832.5</v>
          </cell>
          <cell r="BD36">
            <v>0.93620808319271276</v>
          </cell>
          <cell r="BE36">
            <v>0.97046833064150861</v>
          </cell>
          <cell r="BF36">
            <v>-11405.12879852715</v>
          </cell>
          <cell r="BG36">
            <v>0</v>
          </cell>
          <cell r="BH36">
            <v>0</v>
          </cell>
          <cell r="BI36">
            <v>96.006822356336926</v>
          </cell>
          <cell r="BJ36">
            <v>0.93620808319271276</v>
          </cell>
          <cell r="BK36">
            <v>2029.4957386512542</v>
          </cell>
          <cell r="BL36">
            <v>0</v>
          </cell>
          <cell r="BM36">
            <v>0</v>
          </cell>
          <cell r="BN36">
            <v>16688.855582241493</v>
          </cell>
          <cell r="BO36">
            <v>4823.359999999986</v>
          </cell>
          <cell r="BP36">
            <v>11865.495582241507</v>
          </cell>
          <cell r="BQ36">
            <v>110272.85999999999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X36">
            <v>21236.128798527119</v>
          </cell>
          <cell r="BY36">
            <v>1852</v>
          </cell>
          <cell r="BZ36">
            <v>0</v>
          </cell>
          <cell r="CA36">
            <v>4277.3600000000006</v>
          </cell>
        </row>
        <row r="37">
          <cell r="H37" t="str">
            <v>C202607</v>
          </cell>
          <cell r="I37" t="str">
            <v xml:space="preserve">B777 Cargo on Seat            </v>
          </cell>
          <cell r="J37" t="str">
            <v xml:space="preserve">20110                         </v>
          </cell>
          <cell r="K37" t="str">
            <v xml:space="preserve">UUDS AERO </v>
          </cell>
          <cell r="L37" t="str">
            <v>VGA</v>
          </cell>
          <cell r="M37">
            <v>44105</v>
          </cell>
          <cell r="N37">
            <v>44719</v>
          </cell>
          <cell r="O37">
            <v>40000</v>
          </cell>
          <cell r="P37">
            <v>0</v>
          </cell>
          <cell r="Q37">
            <v>45216.6</v>
          </cell>
          <cell r="R37">
            <v>45216.600000000006</v>
          </cell>
          <cell r="S37">
            <v>-0.27049500000000015</v>
          </cell>
          <cell r="T37">
            <v>0.41449999999999998</v>
          </cell>
          <cell r="U37">
            <v>229</v>
          </cell>
          <cell r="V37">
            <v>104.5</v>
          </cell>
          <cell r="W37">
            <v>314</v>
          </cell>
          <cell r="X37">
            <v>0</v>
          </cell>
          <cell r="Y37">
            <v>0</v>
          </cell>
          <cell r="Z37">
            <v>0</v>
          </cell>
          <cell r="AA37">
            <v>22000</v>
          </cell>
          <cell r="AB37">
            <v>17996.5</v>
          </cell>
          <cell r="AC37">
            <v>0</v>
          </cell>
          <cell r="AD37">
            <v>0.18197727272727271</v>
          </cell>
          <cell r="AE37">
            <v>18000</v>
          </cell>
          <cell r="AF37">
            <v>27220.1</v>
          </cell>
          <cell r="AG37">
            <v>27220.100000000006</v>
          </cell>
          <cell r="AH37">
            <v>0</v>
          </cell>
          <cell r="AI37">
            <v>0</v>
          </cell>
          <cell r="AJ37">
            <v>5603.2000000000044</v>
          </cell>
          <cell r="AK37">
            <v>5603.2000000000044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-0.8235166666666669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15000</v>
          </cell>
          <cell r="AZ37">
            <v>35589.750451595639</v>
          </cell>
          <cell r="BA37">
            <v>0</v>
          </cell>
          <cell r="BB37">
            <v>45216.600000000006</v>
          </cell>
          <cell r="BC37">
            <v>5603.1999999999971</v>
          </cell>
          <cell r="BD37">
            <v>0.88974376128989097</v>
          </cell>
          <cell r="BE37">
            <v>0.375</v>
          </cell>
          <cell r="BF37">
            <v>0</v>
          </cell>
          <cell r="BG37">
            <v>20589.750451595639</v>
          </cell>
          <cell r="BH37">
            <v>0</v>
          </cell>
          <cell r="BI37">
            <v>96.069868995633186</v>
          </cell>
          <cell r="BJ37">
            <v>0.88974376128989097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X37">
            <v>4410.2495484043611</v>
          </cell>
          <cell r="BY37">
            <v>418.5</v>
          </cell>
          <cell r="BZ37">
            <v>0</v>
          </cell>
          <cell r="CA37">
            <v>0</v>
          </cell>
        </row>
        <row r="38">
          <cell r="H38" t="str">
            <v>C202651</v>
          </cell>
          <cell r="I38" t="str">
            <v xml:space="preserve">Installation caméra + écran + </v>
          </cell>
          <cell r="J38" t="str">
            <v xml:space="preserve">21034                         </v>
          </cell>
          <cell r="K38" t="str">
            <v>ADDOXYGENE</v>
          </cell>
          <cell r="L38" t="str">
            <v>TBI</v>
          </cell>
          <cell r="M38">
            <v>44228</v>
          </cell>
          <cell r="N38">
            <v>45239</v>
          </cell>
          <cell r="O38">
            <v>9483.0799999999981</v>
          </cell>
          <cell r="P38">
            <v>0</v>
          </cell>
          <cell r="Q38">
            <v>6048.6399999999994</v>
          </cell>
          <cell r="R38">
            <v>6048.6399999999994</v>
          </cell>
          <cell r="S38">
            <v>0.36216503498863228</v>
          </cell>
          <cell r="T38">
            <v>0.58484732625365266</v>
          </cell>
          <cell r="U38">
            <v>97.740416999999994</v>
          </cell>
          <cell r="V38">
            <v>77</v>
          </cell>
          <cell r="W38">
            <v>61.000000000000007</v>
          </cell>
          <cell r="X38">
            <v>0</v>
          </cell>
          <cell r="Y38">
            <v>0</v>
          </cell>
          <cell r="Z38">
            <v>0</v>
          </cell>
          <cell r="AA38">
            <v>9357.7896991012494</v>
          </cell>
          <cell r="AB38">
            <v>5931</v>
          </cell>
          <cell r="AC38">
            <v>0</v>
          </cell>
          <cell r="AD38">
            <v>0.36619648541902672</v>
          </cell>
          <cell r="AE38">
            <v>100</v>
          </cell>
          <cell r="AF38">
            <v>61.28</v>
          </cell>
          <cell r="AG38">
            <v>61.28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0.38719999999999999</v>
          </cell>
          <cell r="AS38">
            <v>0</v>
          </cell>
          <cell r="AT38">
            <v>56.36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9483.08</v>
          </cell>
          <cell r="AZ38">
            <v>9528.2351513945105</v>
          </cell>
          <cell r="BA38">
            <v>-45.155151394512359</v>
          </cell>
          <cell r="BB38">
            <v>6048.6399999999994</v>
          </cell>
          <cell r="BC38">
            <v>0</v>
          </cell>
          <cell r="BD38">
            <v>1</v>
          </cell>
          <cell r="BE38">
            <v>1.0000000000000002</v>
          </cell>
          <cell r="BF38">
            <v>-2.1056667520724655E-12</v>
          </cell>
          <cell r="BG38">
            <v>0</v>
          </cell>
          <cell r="BH38">
            <v>0</v>
          </cell>
          <cell r="BI38">
            <v>95.741250000000008</v>
          </cell>
          <cell r="BJ38">
            <v>1</v>
          </cell>
          <cell r="BK38">
            <v>25.290300898748683</v>
          </cell>
          <cell r="BL38">
            <v>0</v>
          </cell>
          <cell r="BM38">
            <v>0</v>
          </cell>
          <cell r="BN38">
            <v>-45.155151394512359</v>
          </cell>
          <cell r="BO38">
            <v>0</v>
          </cell>
          <cell r="BP38">
            <v>-45.155151394512359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X38">
            <v>0</v>
          </cell>
          <cell r="BY38">
            <v>138</v>
          </cell>
          <cell r="BZ38">
            <v>0</v>
          </cell>
          <cell r="CA38">
            <v>0</v>
          </cell>
        </row>
        <row r="39">
          <cell r="H39" t="str">
            <v>C202653</v>
          </cell>
          <cell r="I39" t="str">
            <v>B1900D OverTorque / OverTemp A</v>
          </cell>
          <cell r="J39" t="str">
            <v xml:space="preserve">21008                         </v>
          </cell>
          <cell r="K39" t="str">
            <v xml:space="preserve">TWINJET </v>
          </cell>
          <cell r="L39" t="str">
            <v>DVE</v>
          </cell>
          <cell r="M39">
            <v>44197</v>
          </cell>
          <cell r="N39">
            <v>45260</v>
          </cell>
          <cell r="O39">
            <v>123000</v>
          </cell>
          <cell r="P39">
            <v>0</v>
          </cell>
          <cell r="Q39">
            <v>67092.27</v>
          </cell>
          <cell r="R39">
            <v>67092.26999999999</v>
          </cell>
          <cell r="S39">
            <v>0.45453439024390241</v>
          </cell>
          <cell r="T39">
            <v>0.44160975609756098</v>
          </cell>
          <cell r="U39">
            <v>793.75</v>
          </cell>
          <cell r="V39">
            <v>793.5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76200</v>
          </cell>
          <cell r="AB39">
            <v>30946.5</v>
          </cell>
          <cell r="AC39">
            <v>0</v>
          </cell>
          <cell r="AD39">
            <v>0.59387795275590549</v>
          </cell>
          <cell r="AE39">
            <v>44800</v>
          </cell>
          <cell r="AF39">
            <v>36145.770000000004</v>
          </cell>
          <cell r="AG39">
            <v>36145.769999999997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0.19317477678571415</v>
          </cell>
          <cell r="AS39">
            <v>2000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</v>
          </cell>
          <cell r="AY39">
            <v>123000</v>
          </cell>
          <cell r="AZ39">
            <v>121255.86728284418</v>
          </cell>
          <cell r="BA39">
            <v>1744.1327171558223</v>
          </cell>
          <cell r="BB39">
            <v>67092.26999999999</v>
          </cell>
          <cell r="BC39">
            <v>7.2759576141834259E-12</v>
          </cell>
          <cell r="BD39">
            <v>1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96</v>
          </cell>
          <cell r="BJ39">
            <v>1</v>
          </cell>
          <cell r="BK39">
            <v>0</v>
          </cell>
          <cell r="BL39">
            <v>-7.2759576141834259E-12</v>
          </cell>
          <cell r="BM39">
            <v>0</v>
          </cell>
          <cell r="BN39">
            <v>1744.1327171558223</v>
          </cell>
          <cell r="BO39">
            <v>351</v>
          </cell>
          <cell r="BP39">
            <v>1393.1327171558223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X39">
            <v>0</v>
          </cell>
          <cell r="BY39">
            <v>793.5</v>
          </cell>
          <cell r="BZ39">
            <v>0</v>
          </cell>
          <cell r="CA39">
            <v>0</v>
          </cell>
        </row>
        <row r="40">
          <cell r="H40" t="str">
            <v>C202681</v>
          </cell>
          <cell r="I40" t="str">
            <v xml:space="preserve">Cabin Part Water Transfer     </v>
          </cell>
          <cell r="J40" t="str">
            <v xml:space="preserve">20148                         </v>
          </cell>
          <cell r="K40" t="str">
            <v xml:space="preserve">UUDS AERO </v>
          </cell>
          <cell r="L40" t="str">
            <v>VGA</v>
          </cell>
          <cell r="M40">
            <v>44166</v>
          </cell>
          <cell r="N40" t="str">
            <v/>
          </cell>
          <cell r="O40">
            <v>2850</v>
          </cell>
          <cell r="P40">
            <v>0</v>
          </cell>
          <cell r="Q40">
            <v>788.5</v>
          </cell>
          <cell r="R40">
            <v>788.5</v>
          </cell>
          <cell r="S40">
            <v>0.53166666666666673</v>
          </cell>
          <cell r="T40">
            <v>0.59</v>
          </cell>
          <cell r="U40">
            <v>30</v>
          </cell>
          <cell r="V40">
            <v>5.5</v>
          </cell>
          <cell r="W40">
            <v>13</v>
          </cell>
          <cell r="X40">
            <v>11.5</v>
          </cell>
          <cell r="Y40">
            <v>11.5</v>
          </cell>
          <cell r="Z40">
            <v>0</v>
          </cell>
          <cell r="AA40">
            <v>2850</v>
          </cell>
          <cell r="AB40">
            <v>788.5</v>
          </cell>
          <cell r="AC40">
            <v>546.25</v>
          </cell>
          <cell r="AD40">
            <v>0.53166666666666673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1720.6929555895865</v>
          </cell>
          <cell r="BA40">
            <v>-37.063062351152439</v>
          </cell>
          <cell r="BB40">
            <v>788.5</v>
          </cell>
          <cell r="BC40">
            <v>546.25</v>
          </cell>
          <cell r="BD40">
            <v>0.59074733096085408</v>
          </cell>
          <cell r="BE40">
            <v>0</v>
          </cell>
          <cell r="BF40">
            <v>0</v>
          </cell>
          <cell r="BG40">
            <v>1683.6298932384341</v>
          </cell>
          <cell r="BH40">
            <v>0</v>
          </cell>
          <cell r="BI40">
            <v>95</v>
          </cell>
          <cell r="BJ40">
            <v>0.59074733096085408</v>
          </cell>
          <cell r="BK40">
            <v>0</v>
          </cell>
          <cell r="BL40">
            <v>0</v>
          </cell>
          <cell r="BM40">
            <v>0</v>
          </cell>
          <cell r="BN40">
            <v>-37.063062351152439</v>
          </cell>
          <cell r="BO40">
            <v>0</v>
          </cell>
          <cell r="BP40">
            <v>-37.063062351152439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X40">
            <v>1166.3701067615659</v>
          </cell>
          <cell r="BY40">
            <v>18.5</v>
          </cell>
          <cell r="BZ40">
            <v>0</v>
          </cell>
          <cell r="CA40">
            <v>0</v>
          </cell>
        </row>
        <row r="41">
          <cell r="H41" t="str">
            <v>C202689</v>
          </cell>
          <cell r="I41" t="str">
            <v xml:space="preserve">Logging AS350                 </v>
          </cell>
          <cell r="J41" t="str">
            <v xml:space="preserve">20140                         </v>
          </cell>
          <cell r="K41" t="str">
            <v>YANKEE LIMA FINANCES</v>
          </cell>
          <cell r="L41" t="str">
            <v>TBI</v>
          </cell>
          <cell r="M41">
            <v>44160</v>
          </cell>
          <cell r="N41">
            <v>45085</v>
          </cell>
          <cell r="O41">
            <v>1900</v>
          </cell>
          <cell r="P41">
            <v>0</v>
          </cell>
          <cell r="Q41">
            <v>1562.5000000000002</v>
          </cell>
          <cell r="R41">
            <v>1562.5000000000002</v>
          </cell>
          <cell r="S41">
            <v>0.17763157894736825</v>
          </cell>
          <cell r="T41">
            <v>0.59</v>
          </cell>
          <cell r="U41">
            <v>20</v>
          </cell>
          <cell r="V41">
            <v>28.000000000000004</v>
          </cell>
          <cell r="W41">
            <v>11.7</v>
          </cell>
          <cell r="X41">
            <v>0</v>
          </cell>
          <cell r="Y41">
            <v>0</v>
          </cell>
          <cell r="Z41">
            <v>0</v>
          </cell>
          <cell r="AA41">
            <v>1900</v>
          </cell>
          <cell r="AB41">
            <v>1562.5000000000002</v>
          </cell>
          <cell r="AC41">
            <v>0</v>
          </cell>
          <cell r="AD41">
            <v>0.17763157894736825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1900</v>
          </cell>
          <cell r="AZ41">
            <v>1846.8118195956454</v>
          </cell>
          <cell r="BA41">
            <v>53.188180404354625</v>
          </cell>
          <cell r="BB41">
            <v>1562.5000000000002</v>
          </cell>
          <cell r="BC41">
            <v>0</v>
          </cell>
          <cell r="BD41">
            <v>1</v>
          </cell>
          <cell r="BE41">
            <v>1</v>
          </cell>
          <cell r="BF41">
            <v>0</v>
          </cell>
          <cell r="BG41">
            <v>0</v>
          </cell>
          <cell r="BH41">
            <v>0</v>
          </cell>
          <cell r="BI41">
            <v>95</v>
          </cell>
          <cell r="BJ41">
            <v>1</v>
          </cell>
          <cell r="BK41">
            <v>0</v>
          </cell>
          <cell r="BL41">
            <v>0</v>
          </cell>
          <cell r="BM41">
            <v>0</v>
          </cell>
          <cell r="BN41">
            <v>53.188180404354625</v>
          </cell>
          <cell r="BO41">
            <v>0</v>
          </cell>
          <cell r="BP41">
            <v>53.188180404354625</v>
          </cell>
          <cell r="BQ41">
            <v>950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X41">
            <v>0</v>
          </cell>
          <cell r="BY41">
            <v>39.700000000000003</v>
          </cell>
          <cell r="BZ41">
            <v>0</v>
          </cell>
          <cell r="CA41">
            <v>0</v>
          </cell>
        </row>
        <row r="42">
          <cell r="H42" t="str">
            <v>C202695</v>
          </cell>
          <cell r="I42" t="str">
            <v xml:space="preserve">OPEXISATION DU PC-6           </v>
          </cell>
          <cell r="J42" t="str">
            <v xml:space="preserve">                              </v>
          </cell>
          <cell r="K42" t="str">
            <v>DIRECTION GENERALE DE L'ARMEMENT</v>
          </cell>
          <cell r="L42" t="str">
            <v>MSU</v>
          </cell>
          <cell r="M42">
            <v>44409</v>
          </cell>
          <cell r="N42" t="str">
            <v/>
          </cell>
          <cell r="O42">
            <v>1651830</v>
          </cell>
          <cell r="P42">
            <v>0</v>
          </cell>
          <cell r="Q42">
            <v>727834.29274850001</v>
          </cell>
          <cell r="R42">
            <v>727790.28999999992</v>
          </cell>
          <cell r="S42">
            <v>0.5141118108400986</v>
          </cell>
          <cell r="T42">
            <v>0.46069314759993457</v>
          </cell>
          <cell r="U42">
            <v>11501.8737</v>
          </cell>
          <cell r="V42">
            <v>10432</v>
          </cell>
          <cell r="W42">
            <v>422</v>
          </cell>
          <cell r="X42">
            <v>600.5</v>
          </cell>
          <cell r="Y42">
            <v>689</v>
          </cell>
          <cell r="Z42">
            <v>88.5</v>
          </cell>
          <cell r="AA42">
            <v>1104155.8</v>
          </cell>
          <cell r="AB42">
            <v>427104</v>
          </cell>
          <cell r="AC42">
            <v>28523.75</v>
          </cell>
          <cell r="AD42">
            <v>0.58735193892021398</v>
          </cell>
          <cell r="AE42">
            <v>502526.2</v>
          </cell>
          <cell r="AF42">
            <v>295364.82274850004</v>
          </cell>
          <cell r="AG42">
            <v>295320.81999999995</v>
          </cell>
          <cell r="AH42">
            <v>44.002748500090092</v>
          </cell>
          <cell r="AI42">
            <v>2892</v>
          </cell>
          <cell r="AJ42">
            <v>8292.6372514998657</v>
          </cell>
          <cell r="AK42">
            <v>8336.6372514998657</v>
          </cell>
          <cell r="AL42">
            <v>44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0.39573805306071619</v>
          </cell>
          <cell r="AS42">
            <v>11800</v>
          </cell>
          <cell r="AT42">
            <v>5365.4700000000021</v>
          </cell>
          <cell r="AU42">
            <v>4606.007499999997</v>
          </cell>
          <cell r="AV42">
            <v>4719.5374999999967</v>
          </cell>
          <cell r="AW42">
            <v>113.52999999999975</v>
          </cell>
          <cell r="AX42">
            <v>0.15495953389830519</v>
          </cell>
          <cell r="AY42">
            <v>840810</v>
          </cell>
          <cell r="AZ42">
            <v>522543.25471952918</v>
          </cell>
          <cell r="BA42">
            <v>975312.23186545295</v>
          </cell>
          <cell r="BB42">
            <v>727790.28999999992</v>
          </cell>
          <cell r="BC42">
            <v>74814.397499999963</v>
          </cell>
          <cell r="BD42">
            <v>0.90678549644030082</v>
          </cell>
          <cell r="BE42">
            <v>0.50901727175314648</v>
          </cell>
          <cell r="BF42">
            <v>0</v>
          </cell>
          <cell r="BG42">
            <v>657045.48658498214</v>
          </cell>
          <cell r="BH42">
            <v>33348</v>
          </cell>
          <cell r="BI42">
            <v>96</v>
          </cell>
          <cell r="BJ42">
            <v>0.90678549644030082</v>
          </cell>
          <cell r="BK42">
            <v>-5.8207660913467407E-11</v>
          </cell>
          <cell r="BL42">
            <v>-752.25000000008731</v>
          </cell>
          <cell r="BM42">
            <v>5.286765062257559E-3</v>
          </cell>
          <cell r="BN42">
            <v>975312.23186545295</v>
          </cell>
          <cell r="BO42">
            <v>383790.18499999988</v>
          </cell>
          <cell r="BP42">
            <v>591522.04686545301</v>
          </cell>
          <cell r="BQ42">
            <v>239610</v>
          </cell>
          <cell r="BR42">
            <v>8732.8371327889618</v>
          </cell>
          <cell r="BS42">
            <v>3565.0299999999115</v>
          </cell>
          <cell r="BT42">
            <v>5167.8071327890502</v>
          </cell>
          <cell r="BU42">
            <v>39210</v>
          </cell>
          <cell r="BV42">
            <v>0</v>
          </cell>
          <cell r="BX42">
            <v>153974.51341501775</v>
          </cell>
          <cell r="BY42">
            <v>10849</v>
          </cell>
          <cell r="BZ42">
            <v>187</v>
          </cell>
          <cell r="CA42">
            <v>139156.68499999997</v>
          </cell>
        </row>
        <row r="43">
          <cell r="H43" t="str">
            <v>C202700</v>
          </cell>
          <cell r="I43" t="str">
            <v>A380 Cargo on Seat Installatio</v>
          </cell>
          <cell r="J43" t="str">
            <v xml:space="preserve">20142                         </v>
          </cell>
          <cell r="K43" t="str">
            <v xml:space="preserve">UUDS AERO </v>
          </cell>
          <cell r="L43" t="str">
            <v>VGA</v>
          </cell>
          <cell r="M43">
            <v>44136</v>
          </cell>
          <cell r="N43">
            <v>44902</v>
          </cell>
          <cell r="O43">
            <v>18000</v>
          </cell>
          <cell r="P43">
            <v>0</v>
          </cell>
          <cell r="Q43">
            <v>35275.06</v>
          </cell>
          <cell r="R43">
            <v>35275.060000000005</v>
          </cell>
          <cell r="S43">
            <v>-0.9597255555555555</v>
          </cell>
          <cell r="T43">
            <v>0.37333333333333329</v>
          </cell>
          <cell r="U43">
            <v>156</v>
          </cell>
          <cell r="V43">
            <v>150.5</v>
          </cell>
          <cell r="W43">
            <v>114.5</v>
          </cell>
          <cell r="X43">
            <v>0</v>
          </cell>
          <cell r="Y43">
            <v>0</v>
          </cell>
          <cell r="Z43">
            <v>0</v>
          </cell>
          <cell r="AA43">
            <v>8000</v>
          </cell>
          <cell r="AB43">
            <v>10721</v>
          </cell>
          <cell r="AC43">
            <v>0</v>
          </cell>
          <cell r="AD43">
            <v>-0.34012500000000001</v>
          </cell>
          <cell r="AE43">
            <v>10000</v>
          </cell>
          <cell r="AF43">
            <v>24554.059999999998</v>
          </cell>
          <cell r="AG43">
            <v>24554.060000000005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-1.455406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18000</v>
          </cell>
          <cell r="AZ43">
            <v>18000.000000000004</v>
          </cell>
          <cell r="BA43">
            <v>0</v>
          </cell>
          <cell r="BB43">
            <v>35275.060000000005</v>
          </cell>
          <cell r="BC43">
            <v>-7.2759576141834259E-12</v>
          </cell>
          <cell r="BD43">
            <v>1.0000000000000002</v>
          </cell>
          <cell r="BE43">
            <v>1</v>
          </cell>
          <cell r="BF43">
            <v>0</v>
          </cell>
          <cell r="BG43">
            <v>3.9968028886505635E-12</v>
          </cell>
          <cell r="BH43">
            <v>0</v>
          </cell>
          <cell r="BI43">
            <v>96.15384615384616</v>
          </cell>
          <cell r="BJ43">
            <v>1.0000000000000002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X43">
            <v>-3.637978807091713E-12</v>
          </cell>
          <cell r="BY43">
            <v>265</v>
          </cell>
          <cell r="BZ43">
            <v>0</v>
          </cell>
          <cell r="CA43">
            <v>0</v>
          </cell>
        </row>
        <row r="44">
          <cell r="H44" t="str">
            <v>C202747</v>
          </cell>
          <cell r="I44" t="str">
            <v>rev 3 -Support caméra treuil H</v>
          </cell>
          <cell r="J44" t="str">
            <v xml:space="preserve">21086                         </v>
          </cell>
          <cell r="K44" t="str">
            <v xml:space="preserve">BABCOCK INTERNATIONAL FRANCE AVIATION </v>
          </cell>
          <cell r="L44" t="str">
            <v>PMI</v>
          </cell>
          <cell r="M44">
            <v>44333</v>
          </cell>
          <cell r="N44">
            <v>45014</v>
          </cell>
          <cell r="O44">
            <v>21231.3</v>
          </cell>
          <cell r="P44">
            <v>0</v>
          </cell>
          <cell r="Q44">
            <v>14408.6</v>
          </cell>
          <cell r="R44">
            <v>14408.6</v>
          </cell>
          <cell r="S44">
            <v>0.32130907551586574</v>
          </cell>
          <cell r="T44">
            <v>0.45626005002048858</v>
          </cell>
          <cell r="U44">
            <v>145.31874999999999</v>
          </cell>
          <cell r="V44">
            <v>63</v>
          </cell>
          <cell r="W44">
            <v>81</v>
          </cell>
          <cell r="X44">
            <v>1.8750000000004263E-2</v>
          </cell>
          <cell r="Y44">
            <v>1.8750000000004263E-2</v>
          </cell>
          <cell r="Z44">
            <v>0</v>
          </cell>
          <cell r="AA44">
            <v>13950.599999999999</v>
          </cell>
          <cell r="AB44">
            <v>6345</v>
          </cell>
          <cell r="AC44">
            <v>0.8906250000002025</v>
          </cell>
          <cell r="AD44">
            <v>0.54511701109629684</v>
          </cell>
          <cell r="AE44">
            <v>7280.7</v>
          </cell>
          <cell r="AF44">
            <v>8063.6</v>
          </cell>
          <cell r="AG44">
            <v>8063.6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-0.10753086928454691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21148.560000000001</v>
          </cell>
          <cell r="AZ44">
            <v>16377.961281200032</v>
          </cell>
          <cell r="BA44">
            <v>4852.0264498895249</v>
          </cell>
          <cell r="BB44">
            <v>14408.6</v>
          </cell>
          <cell r="BC44">
            <v>0.8906250000002025</v>
          </cell>
          <cell r="BD44">
            <v>0.99993819177768473</v>
          </cell>
          <cell r="BE44">
            <v>0.99610292351386875</v>
          </cell>
          <cell r="BF44">
            <v>0</v>
          </cell>
          <cell r="BG44">
            <v>81.427731089556048</v>
          </cell>
          <cell r="BH44">
            <v>0</v>
          </cell>
          <cell r="BI44">
            <v>96</v>
          </cell>
          <cell r="BJ44">
            <v>0.99993819177768473</v>
          </cell>
          <cell r="BK44">
            <v>9.0949470177292824E-13</v>
          </cell>
          <cell r="BL44">
            <v>-2.0250467969162855E-13</v>
          </cell>
          <cell r="BM44">
            <v>0</v>
          </cell>
          <cell r="BN44">
            <v>4852.0264498895249</v>
          </cell>
          <cell r="BO44">
            <v>1768.1800000000003</v>
          </cell>
          <cell r="BP44">
            <v>3083.8464498895246</v>
          </cell>
          <cell r="BQ44">
            <v>7965.6399999999994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X44">
            <v>1.3122689104420715</v>
          </cell>
          <cell r="BY44">
            <v>144</v>
          </cell>
          <cell r="BZ44">
            <v>0</v>
          </cell>
          <cell r="CA44">
            <v>403.18000000000029</v>
          </cell>
        </row>
        <row r="45">
          <cell r="H45" t="str">
            <v>C212772</v>
          </cell>
          <cell r="I45" t="str">
            <v>ATR72 MSN711 &amp; 715 Owner plate</v>
          </cell>
          <cell r="J45" t="str">
            <v xml:space="preserve">21002                         </v>
          </cell>
          <cell r="K45" t="str">
            <v xml:space="preserve">REGIO LEASE </v>
          </cell>
          <cell r="L45" t="str">
            <v>VGA</v>
          </cell>
          <cell r="M45">
            <v>44211</v>
          </cell>
          <cell r="N45">
            <v>45291</v>
          </cell>
          <cell r="O45">
            <v>1500</v>
          </cell>
          <cell r="P45">
            <v>-2500</v>
          </cell>
          <cell r="Q45">
            <v>901.5</v>
          </cell>
          <cell r="R45">
            <v>901.5</v>
          </cell>
          <cell r="S45">
            <v>0.39900000000000002</v>
          </cell>
          <cell r="T45">
            <v>0.82399999999999995</v>
          </cell>
          <cell r="U45">
            <v>25</v>
          </cell>
          <cell r="V45">
            <v>14.5</v>
          </cell>
          <cell r="W45">
            <v>7</v>
          </cell>
          <cell r="X45">
            <v>0</v>
          </cell>
          <cell r="Y45">
            <v>3.5</v>
          </cell>
          <cell r="Z45">
            <v>0</v>
          </cell>
          <cell r="AA45">
            <v>2400</v>
          </cell>
          <cell r="AB45">
            <v>901.5</v>
          </cell>
          <cell r="AC45">
            <v>0</v>
          </cell>
          <cell r="AD45">
            <v>0.62437500000000001</v>
          </cell>
          <cell r="AE45">
            <v>1600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1350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1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1500</v>
          </cell>
          <cell r="AZ45">
            <v>1490.390576565406</v>
          </cell>
          <cell r="BA45">
            <v>9.609423434593964</v>
          </cell>
          <cell r="BB45">
            <v>901.5</v>
          </cell>
          <cell r="BC45">
            <v>0</v>
          </cell>
          <cell r="BD45">
            <v>1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96</v>
          </cell>
          <cell r="BJ45">
            <v>1</v>
          </cell>
          <cell r="BK45">
            <v>-2500</v>
          </cell>
          <cell r="BL45">
            <v>-1516.25</v>
          </cell>
          <cell r="BM45">
            <v>0.62713266466756279</v>
          </cell>
          <cell r="BN45">
            <v>9.609423434593964</v>
          </cell>
          <cell r="BO45">
            <v>0</v>
          </cell>
          <cell r="BP45">
            <v>9.609423434593964</v>
          </cell>
          <cell r="BQ45">
            <v>1500</v>
          </cell>
          <cell r="BR45">
            <v>8.530658670251114</v>
          </cell>
          <cell r="BS45">
            <v>0</v>
          </cell>
          <cell r="BT45">
            <v>8.530658670251114</v>
          </cell>
          <cell r="BU45">
            <v>1500</v>
          </cell>
          <cell r="BV45">
            <v>0</v>
          </cell>
          <cell r="BX45">
            <v>0</v>
          </cell>
          <cell r="BY45">
            <v>21.5</v>
          </cell>
          <cell r="BZ45">
            <v>0</v>
          </cell>
          <cell r="CA45">
            <v>0</v>
          </cell>
        </row>
        <row r="46">
          <cell r="H46" t="str">
            <v>C212783</v>
          </cell>
          <cell r="I46" t="str">
            <v>Crochet MIL-LOCK-412F treuil H</v>
          </cell>
          <cell r="J46" t="str">
            <v xml:space="preserve">21035                         </v>
          </cell>
          <cell r="K46" t="str">
            <v xml:space="preserve">BABCOCK INTERNATIONAL FRANCE AVIATION </v>
          </cell>
          <cell r="L46" t="str">
            <v>LUD</v>
          </cell>
          <cell r="M46">
            <v>44228</v>
          </cell>
          <cell r="N46">
            <v>44902</v>
          </cell>
          <cell r="O46">
            <v>6912</v>
          </cell>
          <cell r="P46">
            <v>0</v>
          </cell>
          <cell r="Q46">
            <v>2223</v>
          </cell>
          <cell r="R46">
            <v>2223</v>
          </cell>
          <cell r="S46">
            <v>0.67838541666666674</v>
          </cell>
          <cell r="T46">
            <v>0.59</v>
          </cell>
          <cell r="U46">
            <v>57</v>
          </cell>
          <cell r="V46">
            <v>57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6912</v>
          </cell>
          <cell r="AB46">
            <v>2223</v>
          </cell>
          <cell r="AC46">
            <v>0</v>
          </cell>
          <cell r="AD46">
            <v>0.67838541666666674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5529.6</v>
          </cell>
          <cell r="AZ46">
            <v>6912</v>
          </cell>
          <cell r="BA46">
            <v>0</v>
          </cell>
          <cell r="BB46">
            <v>2223</v>
          </cell>
          <cell r="BC46">
            <v>0</v>
          </cell>
          <cell r="BD46">
            <v>1</v>
          </cell>
          <cell r="BE46">
            <v>0.8</v>
          </cell>
          <cell r="BF46">
            <v>0</v>
          </cell>
          <cell r="BG46">
            <v>1382.3999999999996</v>
          </cell>
          <cell r="BH46">
            <v>0</v>
          </cell>
          <cell r="BI46">
            <v>121.26315789473684</v>
          </cell>
          <cell r="BJ46">
            <v>1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X46">
            <v>0</v>
          </cell>
          <cell r="BY46">
            <v>57</v>
          </cell>
          <cell r="BZ46">
            <v>0</v>
          </cell>
          <cell r="CA46">
            <v>0</v>
          </cell>
        </row>
        <row r="47">
          <cell r="H47" t="str">
            <v>C212800</v>
          </cell>
          <cell r="I47" t="str">
            <v xml:space="preserve">Certification Dragonfly Covid </v>
          </cell>
          <cell r="J47" t="str">
            <v xml:space="preserve">                              </v>
          </cell>
          <cell r="K47" t="str">
            <v>ESNAH SPRL</v>
          </cell>
          <cell r="L47" t="str">
            <v>VSE</v>
          </cell>
          <cell r="M47">
            <v>44239</v>
          </cell>
          <cell r="N47" t="str">
            <v/>
          </cell>
          <cell r="O47">
            <v>1384</v>
          </cell>
          <cell r="P47">
            <v>-38616</v>
          </cell>
          <cell r="Q47">
            <v>663</v>
          </cell>
          <cell r="R47">
            <v>663</v>
          </cell>
          <cell r="S47">
            <v>0.52095375722543347</v>
          </cell>
          <cell r="T47">
            <v>0.59</v>
          </cell>
          <cell r="U47">
            <v>313</v>
          </cell>
          <cell r="V47">
            <v>17</v>
          </cell>
          <cell r="W47">
            <v>0</v>
          </cell>
          <cell r="X47">
            <v>0</v>
          </cell>
          <cell r="Y47">
            <v>296</v>
          </cell>
          <cell r="Z47">
            <v>0</v>
          </cell>
          <cell r="AA47">
            <v>1384</v>
          </cell>
          <cell r="AB47">
            <v>663</v>
          </cell>
          <cell r="AC47">
            <v>0</v>
          </cell>
          <cell r="AD47">
            <v>0.52095375722543347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9090.91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1384</v>
          </cell>
          <cell r="AZ47">
            <v>1106.7565568079642</v>
          </cell>
          <cell r="BA47">
            <v>277.24344319203578</v>
          </cell>
          <cell r="BB47">
            <v>663</v>
          </cell>
          <cell r="BC47">
            <v>0</v>
          </cell>
          <cell r="BD47">
            <v>1</v>
          </cell>
          <cell r="BE47">
            <v>1</v>
          </cell>
          <cell r="BF47">
            <v>0</v>
          </cell>
          <cell r="BG47">
            <v>0</v>
          </cell>
          <cell r="BH47">
            <v>0</v>
          </cell>
          <cell r="BI47">
            <v>95.846645367412137</v>
          </cell>
          <cell r="BJ47">
            <v>1</v>
          </cell>
          <cell r="BK47">
            <v>0</v>
          </cell>
          <cell r="BL47">
            <v>-23150.91</v>
          </cell>
          <cell r="BM47">
            <v>0.9721591288452841</v>
          </cell>
          <cell r="BN47">
            <v>277.24344319203578</v>
          </cell>
          <cell r="BO47">
            <v>0</v>
          </cell>
          <cell r="BP47">
            <v>277.24344319203578</v>
          </cell>
          <cell r="BQ47">
            <v>800</v>
          </cell>
          <cell r="BR47">
            <v>270.36515381136496</v>
          </cell>
          <cell r="BS47">
            <v>0</v>
          </cell>
          <cell r="BT47">
            <v>270.36515381136496</v>
          </cell>
          <cell r="BU47">
            <v>0</v>
          </cell>
          <cell r="BV47">
            <v>0</v>
          </cell>
          <cell r="BX47">
            <v>0</v>
          </cell>
          <cell r="BY47">
            <v>17</v>
          </cell>
          <cell r="BZ47">
            <v>0</v>
          </cell>
          <cell r="CA47">
            <v>0</v>
          </cell>
        </row>
        <row r="48">
          <cell r="H48" t="str">
            <v>C212808</v>
          </cell>
          <cell r="I48" t="str">
            <v xml:space="preserve">Parties fixes EOS H160        </v>
          </cell>
          <cell r="J48" t="str">
            <v xml:space="preserve">21082                         </v>
          </cell>
          <cell r="K48" t="str">
            <v xml:space="preserve">BABCOCK INTERNATIONAL FRANCE AVIATION </v>
          </cell>
          <cell r="L48" t="str">
            <v>LUD</v>
          </cell>
          <cell r="M48">
            <v>44333</v>
          </cell>
          <cell r="N48">
            <v>44951</v>
          </cell>
          <cell r="O48">
            <v>1330692.57</v>
          </cell>
          <cell r="P48">
            <v>0</v>
          </cell>
          <cell r="Q48">
            <v>388696.41999999993</v>
          </cell>
          <cell r="R48">
            <v>388696.42000000004</v>
          </cell>
          <cell r="S48">
            <v>0.70789915810531667</v>
          </cell>
          <cell r="T48">
            <v>0.28875474776266319</v>
          </cell>
          <cell r="U48">
            <v>3154.4026215859867</v>
          </cell>
          <cell r="V48">
            <v>2016</v>
          </cell>
          <cell r="W48">
            <v>563.79999999999984</v>
          </cell>
          <cell r="X48">
            <v>0</v>
          </cell>
          <cell r="Y48">
            <v>0</v>
          </cell>
          <cell r="Z48">
            <v>0</v>
          </cell>
          <cell r="AA48">
            <v>302834.06000000006</v>
          </cell>
          <cell r="AB48">
            <v>105686.39999999999</v>
          </cell>
          <cell r="AC48">
            <v>0</v>
          </cell>
          <cell r="AD48">
            <v>0.6510088726479446</v>
          </cell>
          <cell r="AE48">
            <v>1027858.51</v>
          </cell>
          <cell r="AF48">
            <v>272226.01999999996</v>
          </cell>
          <cell r="AG48">
            <v>272226.02000000008</v>
          </cell>
          <cell r="AH48">
            <v>0</v>
          </cell>
          <cell r="AI48">
            <v>2500</v>
          </cell>
          <cell r="AJ48">
            <v>0</v>
          </cell>
          <cell r="AK48">
            <v>0</v>
          </cell>
          <cell r="AL48">
            <v>0</v>
          </cell>
          <cell r="AM48">
            <v>10784</v>
          </cell>
          <cell r="AN48">
            <v>10784</v>
          </cell>
          <cell r="AO48">
            <v>0</v>
          </cell>
          <cell r="AP48">
            <v>0</v>
          </cell>
          <cell r="AQ48">
            <v>0</v>
          </cell>
          <cell r="AR48">
            <v>0.72466052744944442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1328119.02</v>
          </cell>
          <cell r="AZ48">
            <v>1103903.4483376576</v>
          </cell>
          <cell r="BA48">
            <v>226789.12166234269</v>
          </cell>
          <cell r="BB48">
            <v>388696.42000000004</v>
          </cell>
          <cell r="BC48">
            <v>-1.1641532182693481E-10</v>
          </cell>
          <cell r="BD48">
            <v>1.0000000000000002</v>
          </cell>
          <cell r="BE48">
            <v>0.99806600708682092</v>
          </cell>
          <cell r="BF48">
            <v>0</v>
          </cell>
          <cell r="BG48">
            <v>2573.5500000003572</v>
          </cell>
          <cell r="BH48">
            <v>0</v>
          </cell>
          <cell r="BI48">
            <v>96.003616636528022</v>
          </cell>
          <cell r="BJ48">
            <v>1.0000000000000002</v>
          </cell>
          <cell r="BK48">
            <v>0</v>
          </cell>
          <cell r="BL48">
            <v>0</v>
          </cell>
          <cell r="BM48">
            <v>0</v>
          </cell>
          <cell r="BN48">
            <v>226789.12166234269</v>
          </cell>
          <cell r="BO48">
            <v>21649.360900000029</v>
          </cell>
          <cell r="BP48">
            <v>205139.76076234266</v>
          </cell>
          <cell r="BQ48">
            <v>536720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X48">
            <v>-2.3283064365386963E-10</v>
          </cell>
          <cell r="BY48">
            <v>2579.7999999999997</v>
          </cell>
          <cell r="BZ48">
            <v>0</v>
          </cell>
          <cell r="CA48">
            <v>10689.860900000058</v>
          </cell>
        </row>
        <row r="49">
          <cell r="H49" t="str">
            <v>C212809</v>
          </cell>
          <cell r="I49" t="str">
            <v xml:space="preserve">rev 1 - EOS mobile parts H160 </v>
          </cell>
          <cell r="J49" t="str">
            <v xml:space="preserve">21081-21127                   </v>
          </cell>
          <cell r="K49" t="str">
            <v xml:space="preserve">BABCOCK INTERNATIONAL FRANCE AVIATION </v>
          </cell>
          <cell r="L49" t="str">
            <v>LUD</v>
          </cell>
          <cell r="M49">
            <v>44333</v>
          </cell>
          <cell r="N49" t="str">
            <v/>
          </cell>
          <cell r="O49">
            <v>354908.08</v>
          </cell>
          <cell r="P49">
            <v>0</v>
          </cell>
          <cell r="Q49">
            <v>474691.19999999995</v>
          </cell>
          <cell r="R49">
            <v>474691.19999999995</v>
          </cell>
          <cell r="S49">
            <v>-0.34410281670679321</v>
          </cell>
          <cell r="T49">
            <v>0.42234977293275489</v>
          </cell>
          <cell r="U49">
            <v>2107.7385416666671</v>
          </cell>
          <cell r="V49">
            <v>2413.3000000000002</v>
          </cell>
          <cell r="W49">
            <v>355.5</v>
          </cell>
          <cell r="X49">
            <v>49.3</v>
          </cell>
          <cell r="Y49">
            <v>85.333333333333314</v>
          </cell>
          <cell r="Z49">
            <v>36</v>
          </cell>
          <cell r="AA49">
            <v>202342.90000000002</v>
          </cell>
          <cell r="AB49">
            <v>111182.70000000001</v>
          </cell>
          <cell r="AC49">
            <v>2341.75</v>
          </cell>
          <cell r="AD49">
            <v>0.43895016825398869</v>
          </cell>
          <cell r="AE49">
            <v>130793.18000000001</v>
          </cell>
          <cell r="AF49">
            <v>354879.45999999996</v>
          </cell>
          <cell r="AG49">
            <v>354879.45999999996</v>
          </cell>
          <cell r="AH49">
            <v>0</v>
          </cell>
          <cell r="AI49">
            <v>10079.58</v>
          </cell>
          <cell r="AJ49">
            <v>0</v>
          </cell>
          <cell r="AK49">
            <v>0</v>
          </cell>
          <cell r="AL49">
            <v>3838.87000000017</v>
          </cell>
          <cell r="AM49">
            <v>8629.0400000000009</v>
          </cell>
          <cell r="AN49">
            <v>8629.0400000000009</v>
          </cell>
          <cell r="AO49">
            <v>0</v>
          </cell>
          <cell r="AP49">
            <v>0</v>
          </cell>
          <cell r="AQ49">
            <v>0</v>
          </cell>
          <cell r="AR49">
            <v>-1.7792618850615907</v>
          </cell>
          <cell r="AS49">
            <v>21772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</v>
          </cell>
          <cell r="AY49">
            <v>352805.26</v>
          </cell>
          <cell r="AZ49">
            <v>272762.21160031366</v>
          </cell>
          <cell r="BA49">
            <v>80403.628170075361</v>
          </cell>
          <cell r="BB49">
            <v>474691.19999999995</v>
          </cell>
          <cell r="BC49">
            <v>2341.75</v>
          </cell>
          <cell r="BD49">
            <v>0.99509100996063271</v>
          </cell>
          <cell r="BE49">
            <v>0.99407502923010371</v>
          </cell>
          <cell r="BF49">
            <v>0</v>
          </cell>
          <cell r="BG49">
            <v>360.57977038904409</v>
          </cell>
          <cell r="BH49">
            <v>0</v>
          </cell>
          <cell r="BI49">
            <v>96</v>
          </cell>
          <cell r="BJ49">
            <v>0.99509100996063271</v>
          </cell>
          <cell r="BK49">
            <v>-1.4551915228366852E-11</v>
          </cell>
          <cell r="BL49">
            <v>3531.2866666668137</v>
          </cell>
          <cell r="BM49">
            <v>3.7265304877373007E-3</v>
          </cell>
          <cell r="BN49">
            <v>80403.628170075361</v>
          </cell>
          <cell r="BO49">
            <v>176071.75199999992</v>
          </cell>
          <cell r="BP49">
            <v>-95668.12382992456</v>
          </cell>
          <cell r="BQ49">
            <v>130634</v>
          </cell>
          <cell r="BR49">
            <v>1322.5757804642781</v>
          </cell>
          <cell r="BS49">
            <v>5278.4699999999721</v>
          </cell>
          <cell r="BT49">
            <v>-3955.894219535694</v>
          </cell>
          <cell r="BU49">
            <v>7780</v>
          </cell>
          <cell r="BV49">
            <v>0</v>
          </cell>
          <cell r="BX49">
            <v>1742.240229610994</v>
          </cell>
          <cell r="BY49">
            <v>2768.8</v>
          </cell>
          <cell r="BZ49">
            <v>123</v>
          </cell>
          <cell r="CA49">
            <v>116298.71199999994</v>
          </cell>
        </row>
        <row r="50">
          <cell r="H50" t="str">
            <v>C212810</v>
          </cell>
          <cell r="I50" t="str">
            <v xml:space="preserve">Light Operator Console H160   </v>
          </cell>
          <cell r="J50" t="str">
            <v xml:space="preserve">21083                         </v>
          </cell>
          <cell r="K50" t="str">
            <v xml:space="preserve">BABCOCK INTERNATIONAL FRANCE AVIATION </v>
          </cell>
          <cell r="L50" t="str">
            <v>LUD</v>
          </cell>
          <cell r="M50">
            <v>44333</v>
          </cell>
          <cell r="N50">
            <v>45085</v>
          </cell>
          <cell r="O50">
            <v>838084</v>
          </cell>
          <cell r="P50">
            <v>0</v>
          </cell>
          <cell r="Q50">
            <v>668243.08489299985</v>
          </cell>
          <cell r="R50">
            <v>668243.07999999996</v>
          </cell>
          <cell r="S50">
            <v>0.20265380929238619</v>
          </cell>
          <cell r="T50">
            <v>0.27696758081528822</v>
          </cell>
          <cell r="U50">
            <v>1722.8979166666661</v>
          </cell>
          <cell r="V50">
            <v>1108.7</v>
          </cell>
          <cell r="W50">
            <v>599</v>
          </cell>
          <cell r="X50">
            <v>0</v>
          </cell>
          <cell r="Y50">
            <v>0</v>
          </cell>
          <cell r="Z50">
            <v>0</v>
          </cell>
          <cell r="AA50">
            <v>165398.19999999995</v>
          </cell>
          <cell r="AB50">
            <v>71991.3</v>
          </cell>
          <cell r="AC50">
            <v>0</v>
          </cell>
          <cell r="AD50">
            <v>0.5647395195352789</v>
          </cell>
          <cell r="AE50">
            <v>672685.8</v>
          </cell>
          <cell r="AF50">
            <v>595190.7848929998</v>
          </cell>
          <cell r="AG50">
            <v>595190.77999999991</v>
          </cell>
          <cell r="AH50">
            <v>4.8929998883977532E-3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1061</v>
          </cell>
          <cell r="AN50">
            <v>1061</v>
          </cell>
          <cell r="AO50">
            <v>0</v>
          </cell>
          <cell r="AP50">
            <v>0</v>
          </cell>
          <cell r="AQ50">
            <v>0</v>
          </cell>
          <cell r="AR50">
            <v>0.11362513540050978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836261.6</v>
          </cell>
          <cell r="AZ50">
            <v>622427.35359239194</v>
          </cell>
          <cell r="BA50">
            <v>215656.64027100138</v>
          </cell>
          <cell r="BB50">
            <v>668243.07999999996</v>
          </cell>
          <cell r="BC50">
            <v>4.8929998883977532E-3</v>
          </cell>
          <cell r="BD50">
            <v>0.99999999267781436</v>
          </cell>
          <cell r="BE50">
            <v>0.9978255162966958</v>
          </cell>
          <cell r="BF50">
            <v>0</v>
          </cell>
          <cell r="BG50">
            <v>1822.3938633933687</v>
          </cell>
          <cell r="BH50">
            <v>0</v>
          </cell>
          <cell r="BI50">
            <v>96</v>
          </cell>
          <cell r="BJ50">
            <v>0.99999999267781436</v>
          </cell>
          <cell r="BK50">
            <v>0</v>
          </cell>
          <cell r="BL50">
            <v>0</v>
          </cell>
          <cell r="BM50">
            <v>7.5464753979570531E-3</v>
          </cell>
          <cell r="BN50">
            <v>215656.64027100138</v>
          </cell>
          <cell r="BO50">
            <v>227913.66399999993</v>
          </cell>
          <cell r="BP50">
            <v>-12257.023728998553</v>
          </cell>
          <cell r="BQ50">
            <v>262432</v>
          </cell>
          <cell r="BR50">
            <v>6324.580287421355</v>
          </cell>
          <cell r="BS50">
            <v>5042.8800000000047</v>
          </cell>
          <cell r="BT50">
            <v>1281.7002874213504</v>
          </cell>
          <cell r="BU50">
            <v>0</v>
          </cell>
          <cell r="BV50">
            <v>0</v>
          </cell>
          <cell r="BX50">
            <v>6.1366066802293062E-3</v>
          </cell>
          <cell r="BY50">
            <v>1707.7</v>
          </cell>
          <cell r="BZ50">
            <v>0</v>
          </cell>
          <cell r="CA50">
            <v>221704.66399999987</v>
          </cell>
        </row>
        <row r="51">
          <cell r="H51" t="str">
            <v>C212811</v>
          </cell>
          <cell r="I51" t="str">
            <v xml:space="preserve">Configuration 3 layout H160   </v>
          </cell>
          <cell r="J51" t="str">
            <v xml:space="preserve">21080                         </v>
          </cell>
          <cell r="K51" t="str">
            <v xml:space="preserve">BABCOCK INTERNATIONAL FRANCE AVIATION </v>
          </cell>
          <cell r="L51" t="str">
            <v>LUD</v>
          </cell>
          <cell r="M51">
            <v>44333</v>
          </cell>
          <cell r="N51">
            <v>44942</v>
          </cell>
          <cell r="O51">
            <v>340000</v>
          </cell>
          <cell r="P51">
            <v>0</v>
          </cell>
          <cell r="Q51">
            <v>289001.26000000007</v>
          </cell>
          <cell r="R51">
            <v>289001.26</v>
          </cell>
          <cell r="S51">
            <v>0.14999629411764681</v>
          </cell>
          <cell r="T51">
            <v>0.40377270588235292</v>
          </cell>
          <cell r="U51">
            <v>1850.5</v>
          </cell>
          <cell r="V51">
            <v>1097.5</v>
          </cell>
          <cell r="W51">
            <v>488.4</v>
          </cell>
          <cell r="X51">
            <v>0</v>
          </cell>
          <cell r="Y51">
            <v>0</v>
          </cell>
          <cell r="Z51">
            <v>0</v>
          </cell>
          <cell r="AA51">
            <v>177648</v>
          </cell>
          <cell r="AB51">
            <v>66245.7</v>
          </cell>
          <cell r="AC51">
            <v>0</v>
          </cell>
          <cell r="AD51">
            <v>0.62709571737368286</v>
          </cell>
          <cell r="AE51">
            <v>162352</v>
          </cell>
          <cell r="AF51">
            <v>222755.56000000006</v>
          </cell>
          <cell r="AG51">
            <v>222755.56000000003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-0.37205306987286924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337500</v>
          </cell>
          <cell r="AZ51">
            <v>294734.49712762731</v>
          </cell>
          <cell r="BA51">
            <v>45265.502872372686</v>
          </cell>
          <cell r="BB51">
            <v>289001.26</v>
          </cell>
          <cell r="BC51">
            <v>2.9103830456733704E-11</v>
          </cell>
          <cell r="BD51">
            <v>1</v>
          </cell>
          <cell r="BE51">
            <v>0.99264705882352944</v>
          </cell>
          <cell r="BF51">
            <v>0</v>
          </cell>
          <cell r="BG51">
            <v>2499.9999999999909</v>
          </cell>
          <cell r="BH51">
            <v>0</v>
          </cell>
          <cell r="BI51">
            <v>96</v>
          </cell>
          <cell r="BJ51">
            <v>1</v>
          </cell>
          <cell r="BK51">
            <v>0</v>
          </cell>
          <cell r="BL51">
            <v>-2.9103830456733704E-11</v>
          </cell>
          <cell r="BM51">
            <v>0</v>
          </cell>
          <cell r="BN51">
            <v>45265.502872372686</v>
          </cell>
          <cell r="BO51">
            <v>3106.8300000000163</v>
          </cell>
          <cell r="BP51">
            <v>42158.67287237267</v>
          </cell>
          <cell r="BQ51">
            <v>45000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X51">
            <v>0</v>
          </cell>
          <cell r="BY51">
            <v>1585.9</v>
          </cell>
          <cell r="BZ51">
            <v>0</v>
          </cell>
          <cell r="CA51">
            <v>3106.8300000000454</v>
          </cell>
        </row>
        <row r="52">
          <cell r="H52" t="str">
            <v>C212811-M</v>
          </cell>
          <cell r="I52" t="str">
            <v xml:space="preserve">Configuration 3 layout H160 - </v>
          </cell>
          <cell r="J52" t="str">
            <v xml:space="preserve">21080                         </v>
          </cell>
          <cell r="K52" t="str">
            <v xml:space="preserve">BABCOCK INTERNATIONAL FRANCE AVIATION </v>
          </cell>
          <cell r="L52" t="str">
            <v>LUD</v>
          </cell>
          <cell r="M52">
            <v>44470</v>
          </cell>
          <cell r="N52" t="str">
            <v/>
          </cell>
          <cell r="O52">
            <v>107475.48999999999</v>
          </cell>
          <cell r="P52">
            <v>-21772</v>
          </cell>
          <cell r="Q52">
            <v>50538.259999999995</v>
          </cell>
          <cell r="R52">
            <v>50538.259999999995</v>
          </cell>
          <cell r="S52">
            <v>0.52976943859479031</v>
          </cell>
          <cell r="T52">
            <v>0.47138346054528335</v>
          </cell>
          <cell r="U52">
            <v>498.58239999999989</v>
          </cell>
          <cell r="V52">
            <v>555</v>
          </cell>
          <cell r="W52">
            <v>84</v>
          </cell>
          <cell r="X52">
            <v>0</v>
          </cell>
          <cell r="Y52">
            <v>0</v>
          </cell>
          <cell r="Z52">
            <v>0</v>
          </cell>
          <cell r="AA52">
            <v>74787.359999999986</v>
          </cell>
          <cell r="AB52">
            <v>25677</v>
          </cell>
          <cell r="AC52">
            <v>0</v>
          </cell>
          <cell r="AD52">
            <v>0.6566665810907083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32688.13</v>
          </cell>
          <cell r="AT52">
            <v>24861.259999999995</v>
          </cell>
          <cell r="AU52">
            <v>0</v>
          </cell>
          <cell r="AV52">
            <v>0</v>
          </cell>
          <cell r="AW52">
            <v>0</v>
          </cell>
          <cell r="AX52">
            <v>0.23944073888595052</v>
          </cell>
          <cell r="AY52">
            <v>100286.65000000001</v>
          </cell>
          <cell r="AZ52">
            <v>100719.07549999999</v>
          </cell>
          <cell r="BA52">
            <v>6756.414499999999</v>
          </cell>
          <cell r="BB52">
            <v>50538.259999999995</v>
          </cell>
          <cell r="BC52">
            <v>0</v>
          </cell>
          <cell r="BD52">
            <v>1</v>
          </cell>
          <cell r="BE52">
            <v>0.93311181926223385</v>
          </cell>
          <cell r="BF52">
            <v>0</v>
          </cell>
          <cell r="BG52">
            <v>7188.8399999999774</v>
          </cell>
          <cell r="BH52">
            <v>0</v>
          </cell>
          <cell r="BI52">
            <v>133.33333333333334</v>
          </cell>
          <cell r="BJ52">
            <v>1</v>
          </cell>
          <cell r="BK52">
            <v>3.637978807091713E-12</v>
          </cell>
          <cell r="BL52">
            <v>0</v>
          </cell>
          <cell r="BM52">
            <v>0</v>
          </cell>
          <cell r="BN52">
            <v>6756.414499999999</v>
          </cell>
          <cell r="BO52">
            <v>12567.589999999997</v>
          </cell>
          <cell r="BP52">
            <v>-5811.1754999999976</v>
          </cell>
          <cell r="BQ52">
            <v>11291.699999999997</v>
          </cell>
          <cell r="BR52">
            <v>-21772</v>
          </cell>
          <cell r="BS52">
            <v>0</v>
          </cell>
          <cell r="BT52">
            <v>-21772</v>
          </cell>
          <cell r="BU52">
            <v>0</v>
          </cell>
          <cell r="BV52">
            <v>0</v>
          </cell>
          <cell r="BX52">
            <v>0</v>
          </cell>
          <cell r="BY52">
            <v>639</v>
          </cell>
          <cell r="BZ52">
            <v>0</v>
          </cell>
          <cell r="CA52">
            <v>4026.5899999999929</v>
          </cell>
        </row>
        <row r="53">
          <cell r="H53" t="str">
            <v>C212812</v>
          </cell>
          <cell r="I53" t="str">
            <v xml:space="preserve">NVIS COMPATILITY H160         </v>
          </cell>
          <cell r="J53" t="str">
            <v xml:space="preserve">21084                         </v>
          </cell>
          <cell r="K53" t="str">
            <v xml:space="preserve">BABCOCK INTERNATIONAL FRANCE AVIATION </v>
          </cell>
          <cell r="L53" t="str">
            <v>LUD</v>
          </cell>
          <cell r="M53">
            <v>44333</v>
          </cell>
          <cell r="N53">
            <v>45085</v>
          </cell>
          <cell r="O53">
            <v>34000</v>
          </cell>
          <cell r="P53">
            <v>0</v>
          </cell>
          <cell r="Q53">
            <v>17226.5</v>
          </cell>
          <cell r="R53">
            <v>17226.5</v>
          </cell>
          <cell r="S53">
            <v>0.49333823529411769</v>
          </cell>
          <cell r="T53">
            <v>0.59</v>
          </cell>
          <cell r="U53">
            <v>354.16666666666669</v>
          </cell>
          <cell r="V53">
            <v>327.5</v>
          </cell>
          <cell r="W53">
            <v>84</v>
          </cell>
          <cell r="X53">
            <v>0</v>
          </cell>
          <cell r="Y53">
            <v>0</v>
          </cell>
          <cell r="Z53">
            <v>0</v>
          </cell>
          <cell r="AA53">
            <v>34000</v>
          </cell>
          <cell r="AB53">
            <v>16804.5</v>
          </cell>
          <cell r="AC53">
            <v>0</v>
          </cell>
          <cell r="AD53">
            <v>0.50574999999999992</v>
          </cell>
          <cell r="AE53">
            <v>0</v>
          </cell>
          <cell r="AF53">
            <v>422</v>
          </cell>
          <cell r="AG53">
            <v>422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33660</v>
          </cell>
          <cell r="AZ53">
            <v>26175.286419814987</v>
          </cell>
          <cell r="BA53">
            <v>7824.7135801850127</v>
          </cell>
          <cell r="BB53">
            <v>17226.5</v>
          </cell>
          <cell r="BC53">
            <v>0</v>
          </cell>
          <cell r="BD53">
            <v>1</v>
          </cell>
          <cell r="BE53">
            <v>0.99</v>
          </cell>
          <cell r="BF53">
            <v>0</v>
          </cell>
          <cell r="BG53">
            <v>340.00000000000028</v>
          </cell>
          <cell r="BH53">
            <v>0</v>
          </cell>
          <cell r="BI53">
            <v>99.65517241379311</v>
          </cell>
          <cell r="BJ53">
            <v>1</v>
          </cell>
          <cell r="BK53">
            <v>0</v>
          </cell>
          <cell r="BL53">
            <v>0</v>
          </cell>
          <cell r="BM53">
            <v>0</v>
          </cell>
          <cell r="BN53">
            <v>7824.7135801850127</v>
          </cell>
          <cell r="BO53">
            <v>1872</v>
          </cell>
          <cell r="BP53">
            <v>5952.7135801850127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X53">
            <v>0</v>
          </cell>
          <cell r="BY53">
            <v>411.5</v>
          </cell>
          <cell r="BZ53">
            <v>0</v>
          </cell>
          <cell r="CA53">
            <v>0</v>
          </cell>
        </row>
        <row r="54">
          <cell r="H54" t="str">
            <v>C212814</v>
          </cell>
          <cell r="I54" t="str">
            <v xml:space="preserve">Ballistic protection H160     </v>
          </cell>
          <cell r="J54" t="str">
            <v xml:space="preserve">21085                         </v>
          </cell>
          <cell r="K54" t="str">
            <v xml:space="preserve">BABCOCK INTERNATIONAL FRANCE AVIATION </v>
          </cell>
          <cell r="L54" t="str">
            <v>LUD</v>
          </cell>
          <cell r="M54">
            <v>44333</v>
          </cell>
          <cell r="N54">
            <v>44950</v>
          </cell>
          <cell r="O54">
            <v>513569.24</v>
          </cell>
          <cell r="P54">
            <v>0</v>
          </cell>
          <cell r="Q54">
            <v>227030.16999900001</v>
          </cell>
          <cell r="R54">
            <v>227030.16999999998</v>
          </cell>
          <cell r="S54">
            <v>0.55793657930330864</v>
          </cell>
          <cell r="T54">
            <v>0.35083247071027845</v>
          </cell>
          <cell r="U54">
            <v>2068.9881770833331</v>
          </cell>
          <cell r="V54">
            <v>803.5</v>
          </cell>
          <cell r="W54">
            <v>206.79999999999995</v>
          </cell>
          <cell r="X54">
            <v>0</v>
          </cell>
          <cell r="Y54">
            <v>0</v>
          </cell>
          <cell r="Z54">
            <v>0</v>
          </cell>
          <cell r="AA54">
            <v>198622.86499999999</v>
          </cell>
          <cell r="AB54">
            <v>41262.899999999994</v>
          </cell>
          <cell r="AC54">
            <v>0</v>
          </cell>
          <cell r="AD54">
            <v>0.79225503569289468</v>
          </cell>
          <cell r="AE54">
            <v>314946.37</v>
          </cell>
          <cell r="AF54">
            <v>185767.26999900001</v>
          </cell>
          <cell r="AG54">
            <v>185767.27</v>
          </cell>
          <cell r="AH54">
            <v>-9.9997851066291332E-7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0.4101622126998955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510725.32</v>
          </cell>
          <cell r="AZ54">
            <v>353654.37897319015</v>
          </cell>
          <cell r="BA54">
            <v>159914.84971847764</v>
          </cell>
          <cell r="BB54">
            <v>227030.16999999998</v>
          </cell>
          <cell r="BC54">
            <v>4.9990000206889817E-3</v>
          </cell>
          <cell r="BD54">
            <v>0.99999997798090046</v>
          </cell>
          <cell r="BE54">
            <v>0.99446244093590963</v>
          </cell>
          <cell r="BF54">
            <v>0</v>
          </cell>
          <cell r="BG54">
            <v>2843.9086916677843</v>
          </cell>
          <cell r="BH54">
            <v>4.9999999991996447E-3</v>
          </cell>
          <cell r="BI54">
            <v>96</v>
          </cell>
          <cell r="BJ54">
            <v>0.99999997798090046</v>
          </cell>
          <cell r="BK54">
            <v>5.4569682106375694E-12</v>
          </cell>
          <cell r="BL54">
            <v>5.4569682106375694E-12</v>
          </cell>
          <cell r="BM54">
            <v>0</v>
          </cell>
          <cell r="BN54">
            <v>159914.84971847764</v>
          </cell>
          <cell r="BO54">
            <v>32610.819999999978</v>
          </cell>
          <cell r="BP54">
            <v>127304.02971847766</v>
          </cell>
          <cell r="BQ54">
            <v>164553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X54">
            <v>1.1308332206681371E-2</v>
          </cell>
          <cell r="BY54">
            <v>1010.3</v>
          </cell>
          <cell r="BZ54">
            <v>58.799999999999955</v>
          </cell>
          <cell r="CA54">
            <v>26863.419999999984</v>
          </cell>
        </row>
        <row r="55">
          <cell r="H55" t="str">
            <v>C212845</v>
          </cell>
          <cell r="I55" t="str">
            <v>A321 Cargo On Floor Installati</v>
          </cell>
          <cell r="J55" t="str">
            <v xml:space="preserve">21023                         </v>
          </cell>
          <cell r="K55" t="str">
            <v xml:space="preserve">UUDS AERO </v>
          </cell>
          <cell r="L55" t="str">
            <v>VGA</v>
          </cell>
          <cell r="M55">
            <v>44228</v>
          </cell>
          <cell r="N55">
            <v>44902</v>
          </cell>
          <cell r="O55">
            <v>15000</v>
          </cell>
          <cell r="P55">
            <v>0</v>
          </cell>
          <cell r="Q55">
            <v>27560.32</v>
          </cell>
          <cell r="R55">
            <v>27560.32</v>
          </cell>
          <cell r="S55">
            <v>-0.83735466666666669</v>
          </cell>
          <cell r="T55">
            <v>0.3508</v>
          </cell>
          <cell r="U55">
            <v>60</v>
          </cell>
          <cell r="V55">
            <v>93.5</v>
          </cell>
          <cell r="W55">
            <v>154.5</v>
          </cell>
          <cell r="X55">
            <v>0</v>
          </cell>
          <cell r="Y55">
            <v>0</v>
          </cell>
          <cell r="Z55">
            <v>0</v>
          </cell>
          <cell r="AA55">
            <v>5800</v>
          </cell>
          <cell r="AB55">
            <v>11062.5</v>
          </cell>
          <cell r="AC55">
            <v>0</v>
          </cell>
          <cell r="AD55">
            <v>-0.90732758620689657</v>
          </cell>
          <cell r="AE55">
            <v>9200</v>
          </cell>
          <cell r="AF55">
            <v>16497.82</v>
          </cell>
          <cell r="AG55">
            <v>16497.82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-0.79324130434782614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15000</v>
          </cell>
          <cell r="AZ55">
            <v>15000</v>
          </cell>
          <cell r="BA55">
            <v>0</v>
          </cell>
          <cell r="BB55">
            <v>27560.32</v>
          </cell>
          <cell r="BC55">
            <v>0</v>
          </cell>
          <cell r="BD55">
            <v>1</v>
          </cell>
          <cell r="BE55">
            <v>1</v>
          </cell>
          <cell r="BF55">
            <v>0</v>
          </cell>
          <cell r="BG55">
            <v>0</v>
          </cell>
          <cell r="BH55">
            <v>0</v>
          </cell>
          <cell r="BI55">
            <v>96.666666666666671</v>
          </cell>
          <cell r="BJ55">
            <v>1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X55">
            <v>0</v>
          </cell>
          <cell r="BY55">
            <v>248</v>
          </cell>
          <cell r="BZ55">
            <v>0</v>
          </cell>
          <cell r="CA55">
            <v>0</v>
          </cell>
        </row>
        <row r="56">
          <cell r="H56" t="str">
            <v>C212875</v>
          </cell>
          <cell r="I56" t="str">
            <v>F900 x4 Stretchers Installatio</v>
          </cell>
          <cell r="J56" t="str">
            <v xml:space="preserve">21044                         </v>
          </cell>
          <cell r="K56" t="str">
            <v xml:space="preserve">UUDS AERO </v>
          </cell>
          <cell r="L56" t="str">
            <v>VGA</v>
          </cell>
          <cell r="M56">
            <v>44256</v>
          </cell>
          <cell r="N56">
            <v>44952</v>
          </cell>
          <cell r="O56">
            <v>76000</v>
          </cell>
          <cell r="P56">
            <v>0</v>
          </cell>
          <cell r="Q56">
            <v>77155.469999999987</v>
          </cell>
          <cell r="R56">
            <v>77155.469999999987</v>
          </cell>
          <cell r="S56">
            <v>-1.5203552631578798E-2</v>
          </cell>
          <cell r="T56">
            <v>0.43605263157894736</v>
          </cell>
          <cell r="U56">
            <v>479</v>
          </cell>
          <cell r="V56">
            <v>970.5</v>
          </cell>
          <cell r="W56">
            <v>111</v>
          </cell>
          <cell r="X56">
            <v>0</v>
          </cell>
          <cell r="Y56">
            <v>0</v>
          </cell>
          <cell r="Z56">
            <v>0</v>
          </cell>
          <cell r="AA56">
            <v>46000</v>
          </cell>
          <cell r="AB56">
            <v>43177.5</v>
          </cell>
          <cell r="AC56">
            <v>0</v>
          </cell>
          <cell r="AD56">
            <v>6.1358695652173889E-2</v>
          </cell>
          <cell r="AE56">
            <v>29500</v>
          </cell>
          <cell r="AF56">
            <v>33268.18</v>
          </cell>
          <cell r="AG56">
            <v>33268.18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-0.1277349152542373</v>
          </cell>
          <cell r="AS56">
            <v>500</v>
          </cell>
          <cell r="AT56">
            <v>709.79</v>
          </cell>
          <cell r="AU56">
            <v>0</v>
          </cell>
          <cell r="AV56">
            <v>0</v>
          </cell>
          <cell r="AW56">
            <v>0</v>
          </cell>
          <cell r="AX56">
            <v>-0.41957999999999984</v>
          </cell>
          <cell r="AY56">
            <v>76000</v>
          </cell>
          <cell r="AZ56">
            <v>76000</v>
          </cell>
          <cell r="BA56">
            <v>0</v>
          </cell>
          <cell r="BB56">
            <v>77155.469999999987</v>
          </cell>
          <cell r="BC56">
            <v>0</v>
          </cell>
          <cell r="BD56">
            <v>1</v>
          </cell>
          <cell r="BE56">
            <v>1</v>
          </cell>
          <cell r="BF56">
            <v>0</v>
          </cell>
          <cell r="BG56">
            <v>0</v>
          </cell>
          <cell r="BH56">
            <v>0</v>
          </cell>
          <cell r="BI56">
            <v>96.033402922755741</v>
          </cell>
          <cell r="BJ56">
            <v>1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-2373.8000000000175</v>
          </cell>
          <cell r="BP56">
            <v>2373.8000000000175</v>
          </cell>
          <cell r="BQ56">
            <v>39000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X56">
            <v>0</v>
          </cell>
          <cell r="BY56">
            <v>1081.5</v>
          </cell>
          <cell r="BZ56">
            <v>0</v>
          </cell>
          <cell r="CA56">
            <v>-2373.8000000000029</v>
          </cell>
        </row>
        <row r="57">
          <cell r="H57" t="str">
            <v>C212894</v>
          </cell>
          <cell r="I57" t="str">
            <v xml:space="preserve">B737 Windshield Certification </v>
          </cell>
          <cell r="J57" t="str">
            <v xml:space="preserve">21108                         </v>
          </cell>
          <cell r="K57" t="str">
            <v>SAINT GOBAIN SULLY</v>
          </cell>
          <cell r="L57" t="str">
            <v>PDA</v>
          </cell>
          <cell r="M57">
            <v>44256</v>
          </cell>
          <cell r="N57">
            <v>44592</v>
          </cell>
          <cell r="O57">
            <v>53680.25</v>
          </cell>
          <cell r="P57">
            <v>0</v>
          </cell>
          <cell r="Q57">
            <v>67136.25</v>
          </cell>
          <cell r="R57">
            <v>67136.25</v>
          </cell>
          <cell r="S57">
            <v>-0.25066947340968038</v>
          </cell>
          <cell r="T57">
            <v>0.45196040443179752</v>
          </cell>
          <cell r="U57">
            <v>368</v>
          </cell>
          <cell r="V57">
            <v>635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34680.25</v>
          </cell>
          <cell r="AB57">
            <v>24873</v>
          </cell>
          <cell r="AC57">
            <v>0</v>
          </cell>
          <cell r="AD57">
            <v>0.28279063732239529</v>
          </cell>
          <cell r="AE57">
            <v>19000</v>
          </cell>
          <cell r="AF57">
            <v>41047.58</v>
          </cell>
          <cell r="AG57">
            <v>41047.58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-1.1603989473684213</v>
          </cell>
          <cell r="AS57">
            <v>0</v>
          </cell>
          <cell r="AT57">
            <v>1215.67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53680.25</v>
          </cell>
          <cell r="AZ57">
            <v>53680.25</v>
          </cell>
          <cell r="BA57">
            <v>0</v>
          </cell>
          <cell r="BB57">
            <v>67136.25</v>
          </cell>
          <cell r="BC57">
            <v>0</v>
          </cell>
          <cell r="BD57">
            <v>1</v>
          </cell>
          <cell r="BE57">
            <v>1</v>
          </cell>
          <cell r="BF57">
            <v>0</v>
          </cell>
          <cell r="BG57">
            <v>0</v>
          </cell>
          <cell r="BH57">
            <v>0</v>
          </cell>
          <cell r="BI57">
            <v>100</v>
          </cell>
          <cell r="BJ57">
            <v>1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14552.36</v>
          </cell>
          <cell r="BP57">
            <v>-14552.36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X57">
            <v>0</v>
          </cell>
          <cell r="BY57">
            <v>635</v>
          </cell>
          <cell r="BZ57">
            <v>0</v>
          </cell>
          <cell r="CA57">
            <v>14444.36</v>
          </cell>
        </row>
        <row r="58">
          <cell r="H58" t="str">
            <v>C212909</v>
          </cell>
          <cell r="I58" t="str">
            <v>Installation civière et bac de</v>
          </cell>
          <cell r="J58" t="str">
            <v xml:space="preserve">21129-21130-21138             </v>
          </cell>
          <cell r="K58" t="str">
            <v>TRANSACO SAS</v>
          </cell>
          <cell r="L58" t="str">
            <v>PMI</v>
          </cell>
          <cell r="M58">
            <v>44378</v>
          </cell>
          <cell r="N58">
            <v>44974</v>
          </cell>
          <cell r="O58">
            <v>75162.66</v>
          </cell>
          <cell r="P58">
            <v>0</v>
          </cell>
          <cell r="Q58">
            <v>52488.3</v>
          </cell>
          <cell r="R58">
            <v>52488.3</v>
          </cell>
          <cell r="S58">
            <v>0.30167053693948565</v>
          </cell>
          <cell r="T58">
            <v>0.5431214382247781</v>
          </cell>
          <cell r="U58">
            <v>688.83333333333337</v>
          </cell>
          <cell r="V58">
            <v>670</v>
          </cell>
          <cell r="W58">
            <v>134.5</v>
          </cell>
          <cell r="X58">
            <v>0</v>
          </cell>
          <cell r="Y58">
            <v>0</v>
          </cell>
          <cell r="Z58">
            <v>0</v>
          </cell>
          <cell r="AA58">
            <v>66128</v>
          </cell>
          <cell r="AB58">
            <v>32586</v>
          </cell>
          <cell r="AC58">
            <v>0</v>
          </cell>
          <cell r="AD58">
            <v>0.50722840551657389</v>
          </cell>
          <cell r="AE58">
            <v>9034.66</v>
          </cell>
          <cell r="AF58">
            <v>19902.3</v>
          </cell>
          <cell r="AG58">
            <v>19902.300000000003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-1.2028831190105658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75162.66</v>
          </cell>
          <cell r="AZ58">
            <v>70123.400936956881</v>
          </cell>
          <cell r="BA58">
            <v>5039.2590630431223</v>
          </cell>
          <cell r="BB58">
            <v>52488.3</v>
          </cell>
          <cell r="BC58">
            <v>-3.637978807091713E-12</v>
          </cell>
          <cell r="BD58">
            <v>1</v>
          </cell>
          <cell r="BE58">
            <v>1</v>
          </cell>
          <cell r="BF58">
            <v>0</v>
          </cell>
          <cell r="BG58">
            <v>0</v>
          </cell>
          <cell r="BH58">
            <v>0</v>
          </cell>
          <cell r="BI58">
            <v>96</v>
          </cell>
          <cell r="BJ58">
            <v>1</v>
          </cell>
          <cell r="BK58">
            <v>3.637978807091713E-12</v>
          </cell>
          <cell r="BL58">
            <v>3.637978807091713E-12</v>
          </cell>
          <cell r="BM58">
            <v>0</v>
          </cell>
          <cell r="BN58">
            <v>5039.2590630431223</v>
          </cell>
          <cell r="BO58">
            <v>8286</v>
          </cell>
          <cell r="BP58">
            <v>-3246.7409369568777</v>
          </cell>
          <cell r="BQ58">
            <v>15548.800000000003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X58">
            <v>0</v>
          </cell>
          <cell r="BY58">
            <v>804.5</v>
          </cell>
          <cell r="BZ58">
            <v>15</v>
          </cell>
          <cell r="CA58">
            <v>0</v>
          </cell>
        </row>
        <row r="59">
          <cell r="H59" t="str">
            <v>C212935</v>
          </cell>
          <cell r="I59" t="str">
            <v>B777 Cargo On Seat Installatio</v>
          </cell>
          <cell r="J59" t="str">
            <v xml:space="preserve">21101                         </v>
          </cell>
          <cell r="K59" t="str">
            <v xml:space="preserve">AIR AUSTRAL </v>
          </cell>
          <cell r="L59" t="str">
            <v>TPA</v>
          </cell>
          <cell r="M59">
            <v>44317</v>
          </cell>
          <cell r="N59" t="str">
            <v/>
          </cell>
          <cell r="O59">
            <v>17000</v>
          </cell>
          <cell r="P59">
            <v>-4833.3333333333321</v>
          </cell>
          <cell r="Q59">
            <v>33543.25</v>
          </cell>
          <cell r="R59">
            <v>33543.25</v>
          </cell>
          <cell r="S59">
            <v>-0.98430882352941174</v>
          </cell>
          <cell r="T59">
            <v>0.53264705882352936</v>
          </cell>
          <cell r="U59">
            <v>302</v>
          </cell>
          <cell r="V59">
            <v>133</v>
          </cell>
          <cell r="W59">
            <v>228</v>
          </cell>
          <cell r="X59">
            <v>4</v>
          </cell>
          <cell r="Y59">
            <v>4</v>
          </cell>
          <cell r="Z59">
            <v>0</v>
          </cell>
          <cell r="AA59">
            <v>14500</v>
          </cell>
          <cell r="AB59">
            <v>16131</v>
          </cell>
          <cell r="AC59">
            <v>190</v>
          </cell>
          <cell r="AD59">
            <v>-0.12558620689655164</v>
          </cell>
          <cell r="AE59">
            <v>17000</v>
          </cell>
          <cell r="AF59">
            <v>17412.25</v>
          </cell>
          <cell r="AG59">
            <v>17412.25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-2.4250000000000105E-2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16000</v>
          </cell>
          <cell r="AZ59">
            <v>45223.42958886845</v>
          </cell>
          <cell r="BA59">
            <v>-28319.180813550331</v>
          </cell>
          <cell r="BB59">
            <v>33543.25</v>
          </cell>
          <cell r="BC59">
            <v>190</v>
          </cell>
          <cell r="BD59">
            <v>0.99436757501871298</v>
          </cell>
          <cell r="BE59">
            <v>0.94117647058823528</v>
          </cell>
          <cell r="BF59">
            <v>0</v>
          </cell>
          <cell r="BG59">
            <v>904.24877531812092</v>
          </cell>
          <cell r="BH59">
            <v>0</v>
          </cell>
          <cell r="BI59">
            <v>96.026490066225165</v>
          </cell>
          <cell r="BJ59">
            <v>0.99436757501871298</v>
          </cell>
          <cell r="BK59">
            <v>-14500</v>
          </cell>
          <cell r="BL59">
            <v>0</v>
          </cell>
          <cell r="BM59">
            <v>0</v>
          </cell>
          <cell r="BN59">
            <v>-28319.180813550331</v>
          </cell>
          <cell r="BO59">
            <v>0</v>
          </cell>
          <cell r="BP59">
            <v>-28319.180813550331</v>
          </cell>
          <cell r="BQ59">
            <v>0</v>
          </cell>
          <cell r="BR59">
            <v>-4806.1099459237812</v>
          </cell>
          <cell r="BS59">
            <v>0</v>
          </cell>
          <cell r="BT59">
            <v>-4806.1099459237812</v>
          </cell>
          <cell r="BU59">
            <v>0</v>
          </cell>
          <cell r="BV59">
            <v>0</v>
          </cell>
          <cell r="BX59">
            <v>95.751224681880558</v>
          </cell>
          <cell r="BY59">
            <v>361</v>
          </cell>
          <cell r="BZ59">
            <v>0</v>
          </cell>
          <cell r="CA59">
            <v>0</v>
          </cell>
        </row>
        <row r="60">
          <cell r="H60" t="str">
            <v>C212937</v>
          </cell>
          <cell r="I60" t="str">
            <v xml:space="preserve">Vocal alerter N3 SN 6760      </v>
          </cell>
          <cell r="J60" t="str">
            <v xml:space="preserve">21107                         </v>
          </cell>
          <cell r="K60" t="str">
            <v xml:space="preserve">MBH </v>
          </cell>
          <cell r="L60" t="str">
            <v>TBI</v>
          </cell>
          <cell r="M60">
            <v>44317</v>
          </cell>
          <cell r="N60">
            <v>45237</v>
          </cell>
          <cell r="O60">
            <v>3900</v>
          </cell>
          <cell r="P60">
            <v>0</v>
          </cell>
          <cell r="Q60">
            <v>2262</v>
          </cell>
          <cell r="R60">
            <v>2262</v>
          </cell>
          <cell r="S60">
            <v>0.42000000000000004</v>
          </cell>
          <cell r="T60">
            <v>0.59</v>
          </cell>
          <cell r="U60">
            <v>40</v>
          </cell>
          <cell r="V60">
            <v>58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3900</v>
          </cell>
          <cell r="AB60">
            <v>2262</v>
          </cell>
          <cell r="AC60">
            <v>0</v>
          </cell>
          <cell r="AD60">
            <v>0.42000000000000004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1950</v>
          </cell>
          <cell r="AZ60">
            <v>3900</v>
          </cell>
          <cell r="BA60">
            <v>0</v>
          </cell>
          <cell r="BB60">
            <v>2262</v>
          </cell>
          <cell r="BC60">
            <v>0</v>
          </cell>
          <cell r="BD60">
            <v>1</v>
          </cell>
          <cell r="BE60">
            <v>0.5</v>
          </cell>
          <cell r="BF60">
            <v>0</v>
          </cell>
          <cell r="BG60">
            <v>1950</v>
          </cell>
          <cell r="BH60">
            <v>0</v>
          </cell>
          <cell r="BI60">
            <v>97.5</v>
          </cell>
          <cell r="BJ60">
            <v>1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195</v>
          </cell>
          <cell r="BP60">
            <v>-195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X60">
            <v>0</v>
          </cell>
          <cell r="BY60">
            <v>58</v>
          </cell>
          <cell r="BZ60">
            <v>0</v>
          </cell>
          <cell r="CA60">
            <v>0</v>
          </cell>
        </row>
        <row r="61">
          <cell r="H61" t="str">
            <v>C213009</v>
          </cell>
          <cell r="I61" t="str">
            <v xml:space="preserve">Legacy 600 Cabin Refurbish    </v>
          </cell>
          <cell r="J61" t="str">
            <v xml:space="preserve">21112                         </v>
          </cell>
          <cell r="K61" t="str">
            <v xml:space="preserve">AERO DESIGN </v>
          </cell>
          <cell r="L61" t="str">
            <v>VGA</v>
          </cell>
          <cell r="M61">
            <v>44349</v>
          </cell>
          <cell r="N61">
            <v>44812</v>
          </cell>
          <cell r="O61">
            <v>12400</v>
          </cell>
          <cell r="P61">
            <v>0</v>
          </cell>
          <cell r="Q61">
            <v>6508.5</v>
          </cell>
          <cell r="R61">
            <v>6508.5</v>
          </cell>
          <cell r="S61">
            <v>0.47512096774193546</v>
          </cell>
          <cell r="T61">
            <v>0.59</v>
          </cell>
          <cell r="U61">
            <v>129</v>
          </cell>
          <cell r="V61">
            <v>23.5</v>
          </cell>
          <cell r="W61">
            <v>116.5</v>
          </cell>
          <cell r="X61">
            <v>0</v>
          </cell>
          <cell r="Y61">
            <v>0</v>
          </cell>
          <cell r="Z61">
            <v>0</v>
          </cell>
          <cell r="AA61">
            <v>12400</v>
          </cell>
          <cell r="AB61">
            <v>6508.5</v>
          </cell>
          <cell r="AC61">
            <v>0</v>
          </cell>
          <cell r="AD61">
            <v>0.47512096774193546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6200</v>
          </cell>
          <cell r="AZ61">
            <v>12400</v>
          </cell>
          <cell r="BA61">
            <v>0</v>
          </cell>
          <cell r="BB61">
            <v>6508.5</v>
          </cell>
          <cell r="BC61">
            <v>0</v>
          </cell>
          <cell r="BD61">
            <v>1</v>
          </cell>
          <cell r="BE61">
            <v>0.5</v>
          </cell>
          <cell r="BF61">
            <v>0</v>
          </cell>
          <cell r="BG61">
            <v>6200</v>
          </cell>
          <cell r="BH61">
            <v>0</v>
          </cell>
          <cell r="BI61">
            <v>96.124031007751938</v>
          </cell>
          <cell r="BJ61">
            <v>1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X61">
            <v>0</v>
          </cell>
          <cell r="BY61">
            <v>140</v>
          </cell>
          <cell r="BZ61">
            <v>0</v>
          </cell>
          <cell r="CA61">
            <v>0</v>
          </cell>
        </row>
        <row r="62">
          <cell r="H62" t="str">
            <v>C213028</v>
          </cell>
          <cell r="I62" t="str">
            <v>B777 AFR Cargo On Floor Instal</v>
          </cell>
          <cell r="J62" t="str">
            <v xml:space="preserve">21121                         </v>
          </cell>
          <cell r="K62" t="str">
            <v xml:space="preserve">UUDS AERO </v>
          </cell>
          <cell r="L62" t="str">
            <v>TPA</v>
          </cell>
          <cell r="M62">
            <v>44399</v>
          </cell>
          <cell r="N62">
            <v>44655</v>
          </cell>
          <cell r="O62">
            <v>14500</v>
          </cell>
          <cell r="P62">
            <v>0</v>
          </cell>
          <cell r="Q62">
            <v>4785</v>
          </cell>
          <cell r="R62">
            <v>4785</v>
          </cell>
          <cell r="S62">
            <v>0.66999999999999993</v>
          </cell>
          <cell r="T62">
            <v>0.58999999953019122</v>
          </cell>
          <cell r="U62">
            <v>150.93181799999999</v>
          </cell>
          <cell r="V62">
            <v>87</v>
          </cell>
          <cell r="W62">
            <v>29</v>
          </cell>
          <cell r="X62">
            <v>0</v>
          </cell>
          <cell r="Y62">
            <v>0</v>
          </cell>
          <cell r="Z62">
            <v>0</v>
          </cell>
          <cell r="AA62">
            <v>14499.99998253275</v>
          </cell>
          <cell r="AB62">
            <v>4785</v>
          </cell>
          <cell r="AC62">
            <v>0</v>
          </cell>
          <cell r="AD62">
            <v>0.66999999960246948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14500</v>
          </cell>
          <cell r="AZ62">
            <v>14500</v>
          </cell>
          <cell r="BA62">
            <v>0</v>
          </cell>
          <cell r="BB62">
            <v>4785</v>
          </cell>
          <cell r="BC62">
            <v>0</v>
          </cell>
          <cell r="BD62">
            <v>1</v>
          </cell>
          <cell r="BE62">
            <v>1</v>
          </cell>
          <cell r="BF62">
            <v>0</v>
          </cell>
          <cell r="BG62">
            <v>0</v>
          </cell>
          <cell r="BH62">
            <v>0</v>
          </cell>
          <cell r="BI62">
            <v>96.069868995633186</v>
          </cell>
          <cell r="BJ62">
            <v>1</v>
          </cell>
          <cell r="BK62">
            <v>1.7467249563196674E-5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X62">
            <v>0</v>
          </cell>
          <cell r="BY62">
            <v>116</v>
          </cell>
          <cell r="BZ62">
            <v>0</v>
          </cell>
          <cell r="CA62">
            <v>0</v>
          </cell>
        </row>
        <row r="63">
          <cell r="H63" t="str">
            <v>C213086</v>
          </cell>
          <cell r="I63" t="str">
            <v>H160GN - PROTEC BALISTIQUE</v>
          </cell>
          <cell r="J63" t="str">
            <v xml:space="preserve">                              </v>
          </cell>
          <cell r="K63" t="str">
            <v xml:space="preserve">BABCOCK INTERNATIONAL FRANCE AVIATION </v>
          </cell>
          <cell r="L63" t="str">
            <v>LUD</v>
          </cell>
          <cell r="M63">
            <v>45275</v>
          </cell>
          <cell r="N63" t="str">
            <v/>
          </cell>
          <cell r="O63">
            <v>778320</v>
          </cell>
          <cell r="P63">
            <v>7317.0000000003492</v>
          </cell>
          <cell r="Q63">
            <v>289402.5</v>
          </cell>
          <cell r="R63">
            <v>54052.5</v>
          </cell>
          <cell r="S63">
            <v>0.38308472093740364</v>
          </cell>
          <cell r="T63">
            <v>0.3220127967930928</v>
          </cell>
          <cell r="U63">
            <v>1700</v>
          </cell>
          <cell r="V63">
            <v>652.5</v>
          </cell>
          <cell r="W63">
            <v>16</v>
          </cell>
          <cell r="X63">
            <v>858</v>
          </cell>
          <cell r="Y63">
            <v>1259.5</v>
          </cell>
          <cell r="Z63">
            <v>5</v>
          </cell>
          <cell r="AA63">
            <v>243500</v>
          </cell>
          <cell r="AB63">
            <v>27552.5</v>
          </cell>
          <cell r="AC63">
            <v>40755</v>
          </cell>
          <cell r="AD63">
            <v>0.71947638603696107</v>
          </cell>
          <cell r="AE63">
            <v>504820</v>
          </cell>
          <cell r="AF63">
            <v>261850</v>
          </cell>
          <cell r="AG63">
            <v>26500</v>
          </cell>
          <cell r="AH63">
            <v>235350</v>
          </cell>
          <cell r="AI63">
            <v>9700</v>
          </cell>
          <cell r="AJ63">
            <v>0</v>
          </cell>
          <cell r="AK63">
            <v>82500</v>
          </cell>
          <cell r="AL63">
            <v>135260</v>
          </cell>
          <cell r="AM63">
            <v>0</v>
          </cell>
          <cell r="AN63">
            <v>0</v>
          </cell>
          <cell r="AO63">
            <v>120000</v>
          </cell>
          <cell r="AP63">
            <v>180000</v>
          </cell>
          <cell r="AQ63">
            <v>0</v>
          </cell>
          <cell r="AR63">
            <v>0.24359177528624065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427299.49999999988</v>
          </cell>
          <cell r="AZ63">
            <v>64767.762817839655</v>
          </cell>
          <cell r="BA63">
            <v>50349.616479578384</v>
          </cell>
          <cell r="BB63">
            <v>54052.5</v>
          </cell>
          <cell r="BC63">
            <v>426105</v>
          </cell>
          <cell r="BD63">
            <v>0.14790494821849373</v>
          </cell>
          <cell r="BE63">
            <v>0.54900233836982204</v>
          </cell>
          <cell r="BF63">
            <v>-312182.12070258183</v>
          </cell>
          <cell r="BG63">
            <v>0</v>
          </cell>
          <cell r="BH63">
            <v>30000</v>
          </cell>
          <cell r="BI63">
            <v>96</v>
          </cell>
          <cell r="BJ63">
            <v>0.14790494821849373</v>
          </cell>
          <cell r="BK63">
            <v>0</v>
          </cell>
          <cell r="BL63">
            <v>-26106.25</v>
          </cell>
          <cell r="BM63">
            <v>2.1792023977329184E-2</v>
          </cell>
          <cell r="BN63">
            <v>50349.616479578384</v>
          </cell>
          <cell r="BO63">
            <v>12139.5</v>
          </cell>
          <cell r="BP63">
            <v>38210.116479578384</v>
          </cell>
          <cell r="BQ63">
            <v>99719</v>
          </cell>
          <cell r="BR63">
            <v>17883.936368707495</v>
          </cell>
          <cell r="BS63">
            <v>9905</v>
          </cell>
          <cell r="BT63">
            <v>7978.9363687074947</v>
          </cell>
          <cell r="BU63">
            <v>99719</v>
          </cell>
          <cell r="BV63">
            <v>0</v>
          </cell>
          <cell r="BX63">
            <v>663202.62070258195</v>
          </cell>
          <cell r="BY63">
            <v>668.5</v>
          </cell>
          <cell r="BZ63">
            <v>0</v>
          </cell>
          <cell r="CA63">
            <v>9700</v>
          </cell>
        </row>
        <row r="64">
          <cell r="H64" t="str">
            <v>C213086-M</v>
          </cell>
          <cell r="I64" t="str">
            <v xml:space="preserve">MAIN D'OEUVRE                 </v>
          </cell>
          <cell r="J64" t="str">
            <v xml:space="preserve">                              </v>
          </cell>
          <cell r="K64" t="str">
            <v xml:space="preserve">BABCOCK INTERNATIONAL FRANCE AVIATION </v>
          </cell>
          <cell r="L64" t="str">
            <v>LUD</v>
          </cell>
          <cell r="M64">
            <v>44768</v>
          </cell>
          <cell r="N64" t="str">
            <v/>
          </cell>
          <cell r="O64">
            <v>1421.95</v>
          </cell>
          <cell r="P64">
            <v>0</v>
          </cell>
          <cell r="Q64">
            <v>1176.05</v>
          </cell>
          <cell r="R64">
            <v>1176.05</v>
          </cell>
          <cell r="S64">
            <v>0.17293153767713354</v>
          </cell>
          <cell r="T64">
            <v>0.52912549667709829</v>
          </cell>
          <cell r="U64">
            <v>8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1200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221.95</v>
          </cell>
          <cell r="AT64">
            <v>1176.05</v>
          </cell>
          <cell r="AU64">
            <v>0</v>
          </cell>
          <cell r="AV64">
            <v>0</v>
          </cell>
          <cell r="AW64">
            <v>0</v>
          </cell>
          <cell r="AX64">
            <v>-4.2987159270105879</v>
          </cell>
          <cell r="AY64">
            <v>1421.95</v>
          </cell>
          <cell r="AZ64">
            <v>1421.95</v>
          </cell>
          <cell r="BA64">
            <v>0</v>
          </cell>
          <cell r="BB64">
            <v>1176.05</v>
          </cell>
          <cell r="BC64">
            <v>0</v>
          </cell>
          <cell r="BD64">
            <v>1</v>
          </cell>
          <cell r="BE64">
            <v>1</v>
          </cell>
          <cell r="BF64">
            <v>0</v>
          </cell>
          <cell r="BG64">
            <v>0</v>
          </cell>
          <cell r="BH64">
            <v>0</v>
          </cell>
          <cell r="BI64">
            <v>96</v>
          </cell>
          <cell r="BJ64">
            <v>1</v>
          </cell>
          <cell r="BK64">
            <v>5.6843418860808015E-14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</row>
        <row r="65">
          <cell r="H65" t="str">
            <v>C213087</v>
          </cell>
          <cell r="I65" t="str">
            <v xml:space="preserve">EQUILUX IFEC CABIN INSTL      </v>
          </cell>
          <cell r="J65" t="str">
            <v xml:space="preserve">21195                         </v>
          </cell>
          <cell r="K65" t="str">
            <v xml:space="preserve">AEROTEC </v>
          </cell>
          <cell r="L65" t="str">
            <v>PRO</v>
          </cell>
          <cell r="M65">
            <v>44580</v>
          </cell>
          <cell r="N65">
            <v>45022</v>
          </cell>
          <cell r="O65">
            <v>140740.31</v>
          </cell>
          <cell r="P65">
            <v>0</v>
          </cell>
          <cell r="Q65">
            <v>79441.739999999991</v>
          </cell>
          <cell r="R65">
            <v>79441.739999999991</v>
          </cell>
          <cell r="S65">
            <v>0.43554380404590565</v>
          </cell>
          <cell r="T65">
            <v>0.56425598323607495</v>
          </cell>
          <cell r="U65">
            <v>1369.2708333333333</v>
          </cell>
          <cell r="V65">
            <v>1821</v>
          </cell>
          <cell r="W65">
            <v>9</v>
          </cell>
          <cell r="X65">
            <v>0</v>
          </cell>
          <cell r="Y65">
            <v>0</v>
          </cell>
          <cell r="Z65">
            <v>0</v>
          </cell>
          <cell r="AA65">
            <v>131450</v>
          </cell>
          <cell r="AB65">
            <v>71451</v>
          </cell>
          <cell r="AC65">
            <v>0</v>
          </cell>
          <cell r="AD65">
            <v>0.45643971091669833</v>
          </cell>
          <cell r="AE65">
            <v>4323</v>
          </cell>
          <cell r="AF65">
            <v>4154.2300000000005</v>
          </cell>
          <cell r="AG65">
            <v>4154.2300000000005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3.9040018505667295E-2</v>
          </cell>
          <cell r="AS65">
            <v>4967.3100000000013</v>
          </cell>
          <cell r="AT65">
            <v>3836.51</v>
          </cell>
          <cell r="AU65">
            <v>0</v>
          </cell>
          <cell r="AV65">
            <v>0</v>
          </cell>
          <cell r="AW65">
            <v>507.57000000000016</v>
          </cell>
          <cell r="AX65">
            <v>0.22764836501043839</v>
          </cell>
          <cell r="AY65">
            <v>140740.31</v>
          </cell>
          <cell r="AZ65">
            <v>135238.97533714867</v>
          </cell>
          <cell r="BA65">
            <v>5501.3346628513245</v>
          </cell>
          <cell r="BB65">
            <v>79441.739999999991</v>
          </cell>
          <cell r="BC65">
            <v>0</v>
          </cell>
          <cell r="BD65">
            <v>1</v>
          </cell>
          <cell r="BE65">
            <v>1</v>
          </cell>
          <cell r="BF65">
            <v>0</v>
          </cell>
          <cell r="BG65">
            <v>0</v>
          </cell>
          <cell r="BH65">
            <v>0</v>
          </cell>
          <cell r="BI65">
            <v>96</v>
          </cell>
          <cell r="BJ65">
            <v>1</v>
          </cell>
          <cell r="BK65">
            <v>-3.637978807091713E-12</v>
          </cell>
          <cell r="BL65">
            <v>507.56999999999152</v>
          </cell>
          <cell r="BM65">
            <v>0</v>
          </cell>
          <cell r="BN65">
            <v>5501.3346628513245</v>
          </cell>
          <cell r="BO65">
            <v>6259.0099999999948</v>
          </cell>
          <cell r="BP65">
            <v>-757.67533714867022</v>
          </cell>
          <cell r="BQ65">
            <v>11566</v>
          </cell>
          <cell r="BR65">
            <v>0</v>
          </cell>
          <cell r="BS65">
            <v>507.56999999999243</v>
          </cell>
          <cell r="BT65">
            <v>-507.56999999999243</v>
          </cell>
          <cell r="BU65">
            <v>0</v>
          </cell>
          <cell r="BV65">
            <v>0</v>
          </cell>
          <cell r="BX65">
            <v>0</v>
          </cell>
          <cell r="BY65">
            <v>1830</v>
          </cell>
          <cell r="BZ65">
            <v>0</v>
          </cell>
          <cell r="CA65">
            <v>779.51000000000022</v>
          </cell>
        </row>
        <row r="66">
          <cell r="H66" t="str">
            <v>C213109</v>
          </cell>
          <cell r="I66" t="str">
            <v xml:space="preserve">Bambi Bucket Torrentula Phase </v>
          </cell>
          <cell r="J66" t="str">
            <v xml:space="preserve">21169-21170                   </v>
          </cell>
          <cell r="K66" t="str">
            <v>AIRTELIS</v>
          </cell>
          <cell r="L66" t="str">
            <v>TBI</v>
          </cell>
          <cell r="M66">
            <v>44495</v>
          </cell>
          <cell r="N66">
            <v>44858</v>
          </cell>
          <cell r="O66">
            <v>112964</v>
          </cell>
          <cell r="P66">
            <v>0</v>
          </cell>
          <cell r="Q66">
            <v>82156.575950999933</v>
          </cell>
          <cell r="R66">
            <v>82156.569999999963</v>
          </cell>
          <cell r="S66">
            <v>0.27271895514500255</v>
          </cell>
          <cell r="T66">
            <v>0.40619967423249881</v>
          </cell>
          <cell r="U66">
            <v>747</v>
          </cell>
          <cell r="V66">
            <v>229.99999999999994</v>
          </cell>
          <cell r="W66">
            <v>450.2499999999996</v>
          </cell>
          <cell r="X66">
            <v>0</v>
          </cell>
          <cell r="Y66">
            <v>0</v>
          </cell>
          <cell r="Z66">
            <v>0</v>
          </cell>
          <cell r="AA66">
            <v>59726</v>
          </cell>
          <cell r="AB66">
            <v>30581.999999999978</v>
          </cell>
          <cell r="AC66">
            <v>0</v>
          </cell>
          <cell r="AD66">
            <v>0.48796169172554704</v>
          </cell>
          <cell r="AE66">
            <v>52938</v>
          </cell>
          <cell r="AF66">
            <v>51386.265950999958</v>
          </cell>
          <cell r="AG66">
            <v>51386.259999999987</v>
          </cell>
          <cell r="AH66">
            <v>5.9509999700821936E-3</v>
          </cell>
          <cell r="AI66">
            <v>985.65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2.9312290774113903E-2</v>
          </cell>
          <cell r="AS66">
            <v>300</v>
          </cell>
          <cell r="AT66">
            <v>188.31</v>
          </cell>
          <cell r="AU66">
            <v>0</v>
          </cell>
          <cell r="AV66">
            <v>0</v>
          </cell>
          <cell r="AW66">
            <v>0</v>
          </cell>
          <cell r="AX66">
            <v>0.37229999999999996</v>
          </cell>
          <cell r="AY66">
            <v>112964</v>
          </cell>
          <cell r="AZ66">
            <v>112963.99182552008</v>
          </cell>
          <cell r="BA66">
            <v>-8.0514437286183238E-6</v>
          </cell>
          <cell r="BB66">
            <v>82156.569999999963</v>
          </cell>
          <cell r="BC66">
            <v>5.9509999700821936E-3</v>
          </cell>
          <cell r="BD66">
            <v>0.99999992756514133</v>
          </cell>
          <cell r="BE66">
            <v>1</v>
          </cell>
          <cell r="BF66">
            <v>-8.1825313744254835E-3</v>
          </cell>
          <cell r="BG66">
            <v>0</v>
          </cell>
          <cell r="BH66">
            <v>0</v>
          </cell>
          <cell r="BI66">
            <v>96.109275730622613</v>
          </cell>
          <cell r="BJ66">
            <v>0.99999992756514133</v>
          </cell>
          <cell r="BK66">
            <v>0</v>
          </cell>
          <cell r="BL66">
            <v>0</v>
          </cell>
          <cell r="BM66">
            <v>0</v>
          </cell>
          <cell r="BN66">
            <v>-8.0514437286183238E-6</v>
          </cell>
          <cell r="BO66">
            <v>-80.919999999998254</v>
          </cell>
          <cell r="BP66">
            <v>80.919991948554525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X66">
            <v>8.182531368220225E-3</v>
          </cell>
          <cell r="BY66">
            <v>680.24999999999955</v>
          </cell>
          <cell r="BZ66">
            <v>0</v>
          </cell>
          <cell r="CA66">
            <v>-80.919999999998254</v>
          </cell>
        </row>
        <row r="67">
          <cell r="H67" t="str">
            <v>C213126</v>
          </cell>
          <cell r="I67" t="str">
            <v>Camera treuil H160GN</v>
          </cell>
          <cell r="J67" t="str">
            <v xml:space="preserve">                              </v>
          </cell>
          <cell r="K67" t="str">
            <v xml:space="preserve">BABCOCK INTERNATIONAL FRANCE AVIATION </v>
          </cell>
          <cell r="L67" t="str">
            <v>LUD</v>
          </cell>
          <cell r="M67">
            <v>45085</v>
          </cell>
          <cell r="N67">
            <v>45159</v>
          </cell>
          <cell r="O67">
            <v>45900.05</v>
          </cell>
          <cell r="P67">
            <v>0</v>
          </cell>
          <cell r="Q67">
            <v>25984.949999999997</v>
          </cell>
          <cell r="R67">
            <v>25984.949999999997</v>
          </cell>
          <cell r="S67">
            <v>0.43387970165609846</v>
          </cell>
          <cell r="T67">
            <v>0.24248361385227249</v>
          </cell>
          <cell r="U67">
            <v>50</v>
          </cell>
          <cell r="V67">
            <v>51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5000</v>
          </cell>
          <cell r="AB67">
            <v>2193</v>
          </cell>
          <cell r="AC67">
            <v>0</v>
          </cell>
          <cell r="AD67">
            <v>0.56140000000000001</v>
          </cell>
          <cell r="AE67">
            <v>40900.050000000003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23791.949999999997</v>
          </cell>
          <cell r="AN67">
            <v>23791.949999999997</v>
          </cell>
          <cell r="AO67">
            <v>0</v>
          </cell>
          <cell r="AP67">
            <v>0</v>
          </cell>
          <cell r="AQ67">
            <v>0</v>
          </cell>
          <cell r="AR67">
            <v>0.4182904421877236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45900.049999999996</v>
          </cell>
          <cell r="AZ67">
            <v>0</v>
          </cell>
          <cell r="BA67">
            <v>45900.05</v>
          </cell>
          <cell r="BB67">
            <v>25984.949999999997</v>
          </cell>
          <cell r="BC67">
            <v>0</v>
          </cell>
          <cell r="BD67">
            <v>1</v>
          </cell>
          <cell r="BE67">
            <v>0.99999999999999989</v>
          </cell>
          <cell r="BF67">
            <v>0</v>
          </cell>
          <cell r="BG67">
            <v>5.095929234144592E-12</v>
          </cell>
          <cell r="BH67">
            <v>0</v>
          </cell>
          <cell r="BI67">
            <v>105</v>
          </cell>
          <cell r="BJ67">
            <v>1</v>
          </cell>
          <cell r="BK67">
            <v>0</v>
          </cell>
          <cell r="BL67">
            <v>43</v>
          </cell>
          <cell r="BM67">
            <v>0</v>
          </cell>
          <cell r="BN67">
            <v>45900.05</v>
          </cell>
          <cell r="BO67">
            <v>25984.949999999997</v>
          </cell>
          <cell r="BP67">
            <v>19915.100000000006</v>
          </cell>
          <cell r="BQ67">
            <v>45900.049999999996</v>
          </cell>
          <cell r="BR67">
            <v>0</v>
          </cell>
          <cell r="BS67">
            <v>43</v>
          </cell>
          <cell r="BT67">
            <v>-43</v>
          </cell>
          <cell r="BU67">
            <v>0</v>
          </cell>
          <cell r="BV67">
            <v>0</v>
          </cell>
          <cell r="BX67">
            <v>0</v>
          </cell>
          <cell r="BY67">
            <v>51</v>
          </cell>
          <cell r="BZ67">
            <v>0</v>
          </cell>
          <cell r="CA67">
            <v>0</v>
          </cell>
        </row>
        <row r="68">
          <cell r="H68" t="str">
            <v>C213165</v>
          </cell>
          <cell r="I68" t="str">
            <v>A320 UCS MEDEVAC CONFIGURATION</v>
          </cell>
          <cell r="J68" t="str">
            <v xml:space="preserve">                              </v>
          </cell>
          <cell r="K68" t="str">
            <v xml:space="preserve">UUDS AERO </v>
          </cell>
          <cell r="L68" t="str">
            <v>TPA</v>
          </cell>
          <cell r="M68">
            <v>44540</v>
          </cell>
          <cell r="N68">
            <v>45014</v>
          </cell>
          <cell r="O68">
            <v>29700</v>
          </cell>
          <cell r="P68">
            <v>0</v>
          </cell>
          <cell r="Q68">
            <v>24493.46</v>
          </cell>
          <cell r="R68">
            <v>24493.46</v>
          </cell>
          <cell r="S68">
            <v>0.17530437710437718</v>
          </cell>
          <cell r="T68">
            <v>0.37653527272727272</v>
          </cell>
          <cell r="U68">
            <v>140.04</v>
          </cell>
          <cell r="V68">
            <v>52</v>
          </cell>
          <cell r="W68">
            <v>135</v>
          </cell>
          <cell r="X68">
            <v>0</v>
          </cell>
          <cell r="Y68">
            <v>0</v>
          </cell>
          <cell r="Z68">
            <v>0</v>
          </cell>
          <cell r="AA68">
            <v>13443.84</v>
          </cell>
          <cell r="AB68">
            <v>8882</v>
          </cell>
          <cell r="AC68">
            <v>0</v>
          </cell>
          <cell r="AD68">
            <v>0.33932566885651716</v>
          </cell>
          <cell r="AE68">
            <v>16256.1</v>
          </cell>
          <cell r="AF68">
            <v>15611.46</v>
          </cell>
          <cell r="AG68">
            <v>15611.46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3.9655267868677013E-2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29700</v>
          </cell>
          <cell r="AZ68">
            <v>29700</v>
          </cell>
          <cell r="BA68">
            <v>0</v>
          </cell>
          <cell r="BB68">
            <v>24493.46</v>
          </cell>
          <cell r="BC68">
            <v>0</v>
          </cell>
          <cell r="BD68">
            <v>1</v>
          </cell>
          <cell r="BE68">
            <v>1</v>
          </cell>
          <cell r="BF68">
            <v>0</v>
          </cell>
          <cell r="BG68">
            <v>0</v>
          </cell>
          <cell r="BH68">
            <v>0</v>
          </cell>
          <cell r="BI68">
            <v>96</v>
          </cell>
          <cell r="BJ68">
            <v>1</v>
          </cell>
          <cell r="BK68">
            <v>5.9999999999490683E-2</v>
          </cell>
          <cell r="BL68">
            <v>0</v>
          </cell>
          <cell r="BM68">
            <v>0</v>
          </cell>
          <cell r="BN68">
            <v>0</v>
          </cell>
          <cell r="BO68">
            <v>3955.3099999999977</v>
          </cell>
          <cell r="BP68">
            <v>-3955.3099999999977</v>
          </cell>
          <cell r="BQ68">
            <v>14850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X68">
            <v>0</v>
          </cell>
          <cell r="BY68">
            <v>187</v>
          </cell>
          <cell r="BZ68">
            <v>0</v>
          </cell>
          <cell r="CA68">
            <v>3955.3099999999995</v>
          </cell>
        </row>
        <row r="69">
          <cell r="H69" t="str">
            <v>C213167</v>
          </cell>
          <cell r="I69" t="str">
            <v>B737 Windshield Installation -</v>
          </cell>
          <cell r="J69" t="str">
            <v xml:space="preserve">N/A                           </v>
          </cell>
          <cell r="K69" t="str">
            <v>SAINT GOBAIN SULLY</v>
          </cell>
          <cell r="L69" t="str">
            <v>PDA</v>
          </cell>
          <cell r="M69">
            <v>44530</v>
          </cell>
          <cell r="N69" t="str">
            <v/>
          </cell>
          <cell r="O69">
            <v>38100</v>
          </cell>
          <cell r="P69">
            <v>0</v>
          </cell>
          <cell r="Q69">
            <v>7338</v>
          </cell>
          <cell r="R69">
            <v>7338</v>
          </cell>
          <cell r="S69">
            <v>0.8024146981627297</v>
          </cell>
          <cell r="T69">
            <v>0.57976377919999988</v>
          </cell>
          <cell r="U69">
            <v>386.45833299999998</v>
          </cell>
          <cell r="V69">
            <v>182</v>
          </cell>
          <cell r="W69">
            <v>5</v>
          </cell>
          <cell r="X69">
            <v>4</v>
          </cell>
          <cell r="Y69">
            <v>17</v>
          </cell>
          <cell r="Z69">
            <v>0</v>
          </cell>
          <cell r="AA69">
            <v>37099.999967999996</v>
          </cell>
          <cell r="AB69">
            <v>7338</v>
          </cell>
          <cell r="AC69">
            <v>190</v>
          </cell>
          <cell r="AD69">
            <v>0.79708894861204438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1000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1</v>
          </cell>
          <cell r="AY69">
            <v>38100</v>
          </cell>
          <cell r="AZ69">
            <v>27704.365620736698</v>
          </cell>
          <cell r="BA69">
            <v>9434.0243898902954</v>
          </cell>
          <cell r="BB69">
            <v>7338</v>
          </cell>
          <cell r="BC69">
            <v>190</v>
          </cell>
          <cell r="BD69">
            <v>0.97476089266737509</v>
          </cell>
          <cell r="BE69">
            <v>1</v>
          </cell>
          <cell r="BF69">
            <v>-961.60998937300906</v>
          </cell>
          <cell r="BG69">
            <v>0</v>
          </cell>
          <cell r="BH69">
            <v>0</v>
          </cell>
          <cell r="BI69">
            <v>96</v>
          </cell>
          <cell r="BJ69">
            <v>0.97476089266737509</v>
          </cell>
          <cell r="BK69">
            <v>3.2000003557186574E-5</v>
          </cell>
          <cell r="BL69">
            <v>-617.5</v>
          </cell>
          <cell r="BM69">
            <v>7.3895384104364803E-2</v>
          </cell>
          <cell r="BN69">
            <v>9434.0243898902954</v>
          </cell>
          <cell r="BO69">
            <v>942</v>
          </cell>
          <cell r="BP69">
            <v>8492.0243898902954</v>
          </cell>
          <cell r="BQ69">
            <v>26670</v>
          </cell>
          <cell r="BR69">
            <v>2815.414134376304</v>
          </cell>
          <cell r="BS69">
            <v>0</v>
          </cell>
          <cell r="BT69">
            <v>2815.414134376304</v>
          </cell>
          <cell r="BU69">
            <v>7620</v>
          </cell>
          <cell r="BV69">
            <v>0</v>
          </cell>
          <cell r="BX69">
            <v>961.6099893730061</v>
          </cell>
          <cell r="BY69">
            <v>187</v>
          </cell>
          <cell r="BZ69">
            <v>5</v>
          </cell>
          <cell r="CA69">
            <v>0</v>
          </cell>
        </row>
        <row r="70">
          <cell r="H70" t="str">
            <v>C213178</v>
          </cell>
          <cell r="I70" t="str">
            <v xml:space="preserve">38-2 FLIGHT TEST CAMPAIGN     </v>
          </cell>
          <cell r="J70" t="str">
            <v xml:space="preserve">                              </v>
          </cell>
          <cell r="K70" t="str">
            <v xml:space="preserve">SAFRAN AIRCRAFT ENGINES </v>
          </cell>
          <cell r="L70" t="str">
            <v>BAZ</v>
          </cell>
          <cell r="M70">
            <v>44518</v>
          </cell>
          <cell r="O70">
            <v>1618531.9800000009</v>
          </cell>
          <cell r="P70">
            <v>0</v>
          </cell>
          <cell r="Q70">
            <v>1400678.4506839996</v>
          </cell>
          <cell r="R70">
            <v>1400678.44</v>
          </cell>
          <cell r="S70">
            <v>0.13459945926802208</v>
          </cell>
          <cell r="T70">
            <v>0.23125359711583721</v>
          </cell>
          <cell r="U70">
            <v>1340.08</v>
          </cell>
          <cell r="V70">
            <v>1340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129704.99082568807</v>
          </cell>
          <cell r="AB70">
            <v>52260</v>
          </cell>
          <cell r="AC70">
            <v>0</v>
          </cell>
          <cell r="AD70">
            <v>0.59708566596151436</v>
          </cell>
          <cell r="AE70">
            <v>1488826.9900000009</v>
          </cell>
          <cell r="AF70">
            <v>1348098.8706839995</v>
          </cell>
          <cell r="AG70">
            <v>1348098.8599999999</v>
          </cell>
          <cell r="AH70">
            <v>1.0683999629691243E-2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9.4522815788019354E-2</v>
          </cell>
          <cell r="AS70">
            <v>0</v>
          </cell>
          <cell r="AT70">
            <v>319.58000000000004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1618531.9600000021</v>
          </cell>
          <cell r="AZ70">
            <v>1320977.19825901</v>
          </cell>
          <cell r="BA70">
            <v>297554.76939526293</v>
          </cell>
          <cell r="BB70">
            <v>1400678.44</v>
          </cell>
          <cell r="BC70">
            <v>1.0683999629691243E-2</v>
          </cell>
          <cell r="BD70">
            <v>0.99999999237226811</v>
          </cell>
          <cell r="BE70">
            <v>0.99999998764312403</v>
          </cell>
          <cell r="BF70">
            <v>0</v>
          </cell>
          <cell r="BG70">
            <v>7.6542709255888108E-3</v>
          </cell>
          <cell r="BH70">
            <v>0</v>
          </cell>
          <cell r="BI70">
            <v>96.788990825688074</v>
          </cell>
          <cell r="BJ70">
            <v>0.99999999237226811</v>
          </cell>
          <cell r="BK70">
            <v>-8.2568801008164883E-4</v>
          </cell>
          <cell r="BL70">
            <v>0</v>
          </cell>
          <cell r="BM70">
            <v>0</v>
          </cell>
          <cell r="BN70">
            <v>297554.76939526293</v>
          </cell>
          <cell r="BO70">
            <v>132877.43999999994</v>
          </cell>
          <cell r="BP70">
            <v>164677.32939526299</v>
          </cell>
          <cell r="BQ70">
            <v>201368.25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X70">
            <v>1.2345727998763323E-2</v>
          </cell>
          <cell r="BY70">
            <v>1340</v>
          </cell>
          <cell r="BZ70">
            <v>0</v>
          </cell>
          <cell r="CA70">
            <v>86701.439999999944</v>
          </cell>
        </row>
        <row r="71">
          <cell r="H71" t="str">
            <v>C213189</v>
          </cell>
          <cell r="I71" t="str">
            <v>B737-300 MSN 29130 cabin recon</v>
          </cell>
          <cell r="J71" t="str">
            <v xml:space="preserve">21167                         </v>
          </cell>
          <cell r="K71" t="str">
            <v>AERO CABIN SOLUTIONS</v>
          </cell>
          <cell r="L71" t="str">
            <v>FDE</v>
          </cell>
          <cell r="M71">
            <v>44501</v>
          </cell>
          <cell r="N71" t="str">
            <v/>
          </cell>
          <cell r="O71">
            <v>12500</v>
          </cell>
          <cell r="P71">
            <v>0</v>
          </cell>
          <cell r="Q71">
            <v>8829</v>
          </cell>
          <cell r="R71">
            <v>8829</v>
          </cell>
          <cell r="S71">
            <v>0.29368000000000005</v>
          </cell>
          <cell r="T71">
            <v>0.37472</v>
          </cell>
          <cell r="U71">
            <v>79</v>
          </cell>
          <cell r="V71">
            <v>27</v>
          </cell>
          <cell r="W71">
            <v>37</v>
          </cell>
          <cell r="X71">
            <v>0</v>
          </cell>
          <cell r="Y71">
            <v>0</v>
          </cell>
          <cell r="Z71">
            <v>0</v>
          </cell>
          <cell r="AA71">
            <v>5600</v>
          </cell>
          <cell r="AB71">
            <v>2829</v>
          </cell>
          <cell r="AC71">
            <v>0</v>
          </cell>
          <cell r="AD71">
            <v>0.49482142857142852</v>
          </cell>
          <cell r="AE71">
            <v>6900</v>
          </cell>
          <cell r="AF71">
            <v>6000</v>
          </cell>
          <cell r="AG71">
            <v>6000</v>
          </cell>
          <cell r="AH71">
            <v>0</v>
          </cell>
          <cell r="AI71">
            <v>6000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0.13043478260869568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12495.601633678918</v>
          </cell>
          <cell r="BA71">
            <v>4.3983663210819941</v>
          </cell>
          <cell r="BB71">
            <v>8829</v>
          </cell>
          <cell r="BC71">
            <v>0</v>
          </cell>
          <cell r="BD71">
            <v>1</v>
          </cell>
          <cell r="BE71">
            <v>0</v>
          </cell>
          <cell r="BF71">
            <v>0</v>
          </cell>
          <cell r="BG71">
            <v>12500</v>
          </cell>
          <cell r="BH71">
            <v>0</v>
          </cell>
          <cell r="BI71">
            <v>96.202531645569621</v>
          </cell>
          <cell r="BJ71">
            <v>1</v>
          </cell>
          <cell r="BK71">
            <v>0</v>
          </cell>
          <cell r="BL71">
            <v>0</v>
          </cell>
          <cell r="BM71">
            <v>0</v>
          </cell>
          <cell r="BN71">
            <v>4.3983663210819941</v>
          </cell>
          <cell r="BO71">
            <v>600</v>
          </cell>
          <cell r="BP71">
            <v>-595.60163367891801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X71">
            <v>0</v>
          </cell>
          <cell r="BY71">
            <v>64</v>
          </cell>
          <cell r="BZ71">
            <v>0</v>
          </cell>
          <cell r="CA71">
            <v>600</v>
          </cell>
        </row>
        <row r="72">
          <cell r="H72" t="str">
            <v>C213190</v>
          </cell>
          <cell r="I72" t="str">
            <v xml:space="preserve">FAA STC approval - B777 Cargo </v>
          </cell>
          <cell r="J72" t="str">
            <v xml:space="preserve">N/A                           </v>
          </cell>
          <cell r="K72" t="str">
            <v xml:space="preserve">UUDS AERO </v>
          </cell>
          <cell r="L72" t="str">
            <v>TPA</v>
          </cell>
          <cell r="M72">
            <v>44510</v>
          </cell>
          <cell r="N72">
            <v>44848</v>
          </cell>
          <cell r="O72">
            <v>0</v>
          </cell>
          <cell r="P72">
            <v>0</v>
          </cell>
          <cell r="Q72">
            <v>624</v>
          </cell>
          <cell r="R72">
            <v>624</v>
          </cell>
          <cell r="S72">
            <v>0</v>
          </cell>
          <cell r="T72">
            <v>0</v>
          </cell>
          <cell r="U72">
            <v>0</v>
          </cell>
          <cell r="V72">
            <v>16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624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1336</v>
          </cell>
          <cell r="BA72">
            <v>-1336</v>
          </cell>
          <cell r="BB72">
            <v>624</v>
          </cell>
          <cell r="BC72">
            <v>0</v>
          </cell>
          <cell r="BD72">
            <v>1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96.610169491525426</v>
          </cell>
          <cell r="BJ72">
            <v>1</v>
          </cell>
          <cell r="BK72">
            <v>0</v>
          </cell>
          <cell r="BL72">
            <v>0</v>
          </cell>
          <cell r="BM72">
            <v>0</v>
          </cell>
          <cell r="BN72">
            <v>-1336</v>
          </cell>
          <cell r="BO72">
            <v>0</v>
          </cell>
          <cell r="BP72">
            <v>-1336</v>
          </cell>
          <cell r="BQ72">
            <v>-4350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X72">
            <v>0</v>
          </cell>
          <cell r="BY72">
            <v>16</v>
          </cell>
          <cell r="BZ72">
            <v>0</v>
          </cell>
          <cell r="CA72">
            <v>0</v>
          </cell>
        </row>
        <row r="73">
          <cell r="H73" t="str">
            <v>C213227</v>
          </cell>
          <cell r="I73" t="str">
            <v>Minor Changes to STC 19058 - M</v>
          </cell>
          <cell r="J73" t="str">
            <v xml:space="preserve">21182-21183-21184             </v>
          </cell>
          <cell r="K73" t="str">
            <v xml:space="preserve">UUDS AERO </v>
          </cell>
          <cell r="L73" t="str">
            <v>TPA</v>
          </cell>
          <cell r="M73">
            <v>44537</v>
          </cell>
          <cell r="N73">
            <v>44932</v>
          </cell>
          <cell r="O73">
            <v>15000</v>
          </cell>
          <cell r="P73">
            <v>0</v>
          </cell>
          <cell r="Q73">
            <v>10173</v>
          </cell>
          <cell r="R73">
            <v>10173</v>
          </cell>
          <cell r="S73">
            <v>0.32179999999999997</v>
          </cell>
          <cell r="T73">
            <v>0.59</v>
          </cell>
          <cell r="U73">
            <v>156</v>
          </cell>
          <cell r="V73">
            <v>75</v>
          </cell>
          <cell r="W73">
            <v>151</v>
          </cell>
          <cell r="X73">
            <v>0</v>
          </cell>
          <cell r="Y73">
            <v>0</v>
          </cell>
          <cell r="Z73">
            <v>0</v>
          </cell>
          <cell r="AA73">
            <v>15000</v>
          </cell>
          <cell r="AB73">
            <v>10173</v>
          </cell>
          <cell r="AC73">
            <v>0</v>
          </cell>
          <cell r="AD73">
            <v>0.32179999999999997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15000</v>
          </cell>
          <cell r="AZ73">
            <v>15000</v>
          </cell>
          <cell r="BA73">
            <v>0</v>
          </cell>
          <cell r="BB73">
            <v>10173</v>
          </cell>
          <cell r="BC73">
            <v>0</v>
          </cell>
          <cell r="BD73">
            <v>1</v>
          </cell>
          <cell r="BE73">
            <v>1</v>
          </cell>
          <cell r="BF73">
            <v>0</v>
          </cell>
          <cell r="BG73">
            <v>0</v>
          </cell>
          <cell r="BH73">
            <v>0</v>
          </cell>
          <cell r="BI73">
            <v>96</v>
          </cell>
          <cell r="BJ73">
            <v>1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X73">
            <v>0</v>
          </cell>
          <cell r="BY73">
            <v>226</v>
          </cell>
          <cell r="BZ73">
            <v>0</v>
          </cell>
          <cell r="CA73">
            <v>0</v>
          </cell>
        </row>
        <row r="74">
          <cell r="H74" t="str">
            <v>C220836</v>
          </cell>
          <cell r="I74" t="str">
            <v>B737 BBJ SEAT&amp;DIVAN UPHOLSTERY</v>
          </cell>
          <cell r="J74" t="str">
            <v xml:space="preserve">21188                         </v>
          </cell>
          <cell r="K74" t="str">
            <v>A.C.H.</v>
          </cell>
          <cell r="L74" t="str">
            <v>FDE</v>
          </cell>
          <cell r="M74">
            <v>44592</v>
          </cell>
          <cell r="N74">
            <v>44952</v>
          </cell>
          <cell r="O74">
            <v>8790</v>
          </cell>
          <cell r="P74">
            <v>0</v>
          </cell>
          <cell r="Q74">
            <v>4242</v>
          </cell>
          <cell r="R74">
            <v>4242</v>
          </cell>
          <cell r="S74">
            <v>0.51740614334470991</v>
          </cell>
          <cell r="T74">
            <v>0.59</v>
          </cell>
          <cell r="U74">
            <v>91.5625</v>
          </cell>
          <cell r="V74">
            <v>87</v>
          </cell>
          <cell r="W74">
            <v>13.5</v>
          </cell>
          <cell r="X74">
            <v>0</v>
          </cell>
          <cell r="Y74">
            <v>0</v>
          </cell>
          <cell r="Z74">
            <v>0</v>
          </cell>
          <cell r="AA74">
            <v>8790</v>
          </cell>
          <cell r="AB74">
            <v>4242</v>
          </cell>
          <cell r="AC74">
            <v>0</v>
          </cell>
          <cell r="AD74">
            <v>0.51740614334470991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8790</v>
          </cell>
          <cell r="AZ74">
            <v>8790</v>
          </cell>
          <cell r="BA74">
            <v>0</v>
          </cell>
          <cell r="BB74">
            <v>4242</v>
          </cell>
          <cell r="BC74">
            <v>0</v>
          </cell>
          <cell r="BD74">
            <v>1</v>
          </cell>
          <cell r="BE74">
            <v>1</v>
          </cell>
          <cell r="BF74">
            <v>0</v>
          </cell>
          <cell r="BG74">
            <v>0</v>
          </cell>
          <cell r="BH74">
            <v>0</v>
          </cell>
          <cell r="BI74">
            <v>96</v>
          </cell>
          <cell r="BJ74">
            <v>1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650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X74">
            <v>0</v>
          </cell>
          <cell r="BY74">
            <v>100.5</v>
          </cell>
          <cell r="BZ74">
            <v>0</v>
          </cell>
          <cell r="CA74">
            <v>0</v>
          </cell>
        </row>
        <row r="75">
          <cell r="H75" t="str">
            <v>C223290</v>
          </cell>
          <cell r="I75" t="str">
            <v xml:space="preserve">DOSSIER SKYTRAX               </v>
          </cell>
          <cell r="J75" t="str">
            <v xml:space="preserve">22016                         </v>
          </cell>
          <cell r="K75" t="str">
            <v>HBG FRANCE</v>
          </cell>
          <cell r="L75" t="str">
            <v>LJA</v>
          </cell>
          <cell r="M75">
            <v>44594</v>
          </cell>
          <cell r="N75">
            <v>45014</v>
          </cell>
          <cell r="O75">
            <v>4850</v>
          </cell>
          <cell r="P75">
            <v>0</v>
          </cell>
          <cell r="Q75">
            <v>3003.0000000000005</v>
          </cell>
          <cell r="R75">
            <v>3003.0000000000005</v>
          </cell>
          <cell r="S75">
            <v>0.38082474226804119</v>
          </cell>
          <cell r="T75">
            <v>0.59</v>
          </cell>
          <cell r="U75">
            <v>51</v>
          </cell>
          <cell r="V75">
            <v>13</v>
          </cell>
          <cell r="W75">
            <v>49.400000000000006</v>
          </cell>
          <cell r="X75">
            <v>0</v>
          </cell>
          <cell r="Y75">
            <v>0</v>
          </cell>
          <cell r="Z75">
            <v>0</v>
          </cell>
          <cell r="AA75">
            <v>4850</v>
          </cell>
          <cell r="AB75">
            <v>3003.0000000000005</v>
          </cell>
          <cell r="AC75">
            <v>0</v>
          </cell>
          <cell r="AD75">
            <v>0.38082474226804119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4850</v>
          </cell>
          <cell r="AZ75">
            <v>4672.6042428675937</v>
          </cell>
          <cell r="BA75">
            <v>177.39575713240629</v>
          </cell>
          <cell r="BB75">
            <v>3003.0000000000005</v>
          </cell>
          <cell r="BC75">
            <v>0</v>
          </cell>
          <cell r="BD75">
            <v>1</v>
          </cell>
          <cell r="BE75">
            <v>1</v>
          </cell>
          <cell r="BF75">
            <v>0</v>
          </cell>
          <cell r="BG75">
            <v>0</v>
          </cell>
          <cell r="BH75">
            <v>0</v>
          </cell>
          <cell r="BI75">
            <v>96</v>
          </cell>
          <cell r="BJ75">
            <v>1</v>
          </cell>
          <cell r="BK75">
            <v>0</v>
          </cell>
          <cell r="BL75">
            <v>0</v>
          </cell>
          <cell r="BM75">
            <v>0</v>
          </cell>
          <cell r="BN75">
            <v>177.39575713240629</v>
          </cell>
          <cell r="BO75">
            <v>369</v>
          </cell>
          <cell r="BP75">
            <v>-191.60424286759371</v>
          </cell>
          <cell r="BQ75">
            <v>4850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X75">
            <v>0</v>
          </cell>
          <cell r="BY75">
            <v>62.400000000000006</v>
          </cell>
          <cell r="BZ75">
            <v>0</v>
          </cell>
          <cell r="CA75">
            <v>0</v>
          </cell>
        </row>
        <row r="76">
          <cell r="H76" t="str">
            <v>C223298</v>
          </cell>
          <cell r="I76" t="str">
            <v xml:space="preserve">RECARO 3510A393 WEIGHT SAVING </v>
          </cell>
          <cell r="J76" t="str">
            <v xml:space="preserve">22032                         </v>
          </cell>
          <cell r="K76" t="str">
            <v>TRANSAVIA FRANCE</v>
          </cell>
          <cell r="L76" t="str">
            <v>VGA</v>
          </cell>
          <cell r="M76">
            <v>44615</v>
          </cell>
          <cell r="N76">
            <v>44868</v>
          </cell>
          <cell r="O76">
            <v>6250</v>
          </cell>
          <cell r="P76">
            <v>0</v>
          </cell>
          <cell r="Q76">
            <v>2501</v>
          </cell>
          <cell r="R76">
            <v>2501</v>
          </cell>
          <cell r="S76">
            <v>0.59983999999999993</v>
          </cell>
          <cell r="T76">
            <v>0.59</v>
          </cell>
          <cell r="U76">
            <v>61</v>
          </cell>
          <cell r="V76">
            <v>61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6250</v>
          </cell>
          <cell r="AB76">
            <v>2501</v>
          </cell>
          <cell r="AC76">
            <v>0</v>
          </cell>
          <cell r="AD76">
            <v>0.59983999999999993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6250</v>
          </cell>
          <cell r="AZ76">
            <v>6250</v>
          </cell>
          <cell r="BA76">
            <v>0</v>
          </cell>
          <cell r="BB76">
            <v>2501</v>
          </cell>
          <cell r="BC76">
            <v>0</v>
          </cell>
          <cell r="BD76">
            <v>1</v>
          </cell>
          <cell r="BE76">
            <v>1</v>
          </cell>
          <cell r="BF76">
            <v>0</v>
          </cell>
          <cell r="BG76">
            <v>0</v>
          </cell>
          <cell r="BH76">
            <v>0</v>
          </cell>
          <cell r="BI76">
            <v>96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X76">
            <v>0</v>
          </cell>
          <cell r="BY76">
            <v>61</v>
          </cell>
          <cell r="BZ76">
            <v>0</v>
          </cell>
          <cell r="CA76">
            <v>0</v>
          </cell>
        </row>
        <row r="77">
          <cell r="H77" t="str">
            <v>C223301</v>
          </cell>
          <cell r="I77" t="str">
            <v>DOSSIER DE DEFINITION &amp; CERTIF</v>
          </cell>
          <cell r="J77" t="str">
            <v xml:space="preserve">22019                         </v>
          </cell>
          <cell r="K77" t="str">
            <v>LMO FLY DYNAMICS DEVELOPMENT</v>
          </cell>
          <cell r="L77" t="str">
            <v>PRO</v>
          </cell>
          <cell r="M77">
            <v>44585</v>
          </cell>
          <cell r="N77">
            <v>45291</v>
          </cell>
          <cell r="O77">
            <v>1366914.3099999998</v>
          </cell>
          <cell r="P77">
            <v>0</v>
          </cell>
          <cell r="Q77">
            <v>1004300.6641989999</v>
          </cell>
          <cell r="R77">
            <v>1004300.66</v>
          </cell>
          <cell r="S77">
            <v>0.26527898870339572</v>
          </cell>
          <cell r="T77">
            <v>0.33079970609130571</v>
          </cell>
          <cell r="U77">
            <v>4775.4270833333321</v>
          </cell>
          <cell r="V77">
            <v>4171.8500000000004</v>
          </cell>
          <cell r="W77">
            <v>324.5</v>
          </cell>
          <cell r="X77">
            <v>0</v>
          </cell>
          <cell r="Y77">
            <v>18</v>
          </cell>
          <cell r="Z77">
            <v>8</v>
          </cell>
          <cell r="AA77">
            <v>458440.99999999988</v>
          </cell>
          <cell r="AB77">
            <v>187270.85</v>
          </cell>
          <cell r="AC77">
            <v>0</v>
          </cell>
          <cell r="AD77">
            <v>0.59150501373131981</v>
          </cell>
          <cell r="AE77">
            <v>907273.30999999994</v>
          </cell>
          <cell r="AF77">
            <v>815607.27419899986</v>
          </cell>
          <cell r="AG77">
            <v>815607.27</v>
          </cell>
          <cell r="AH77">
            <v>4.1989998426288366E-3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0.10103464390570471</v>
          </cell>
          <cell r="AS77">
            <v>1200</v>
          </cell>
          <cell r="AT77">
            <v>1422.54</v>
          </cell>
          <cell r="AU77">
            <v>0</v>
          </cell>
          <cell r="AV77">
            <v>0</v>
          </cell>
          <cell r="AW77">
            <v>0</v>
          </cell>
          <cell r="AX77">
            <v>-0.18544999999999989</v>
          </cell>
          <cell r="AY77">
            <v>1366914.3099999998</v>
          </cell>
          <cell r="AZ77">
            <v>1322532.0378279055</v>
          </cell>
          <cell r="BA77">
            <v>44382.266457000049</v>
          </cell>
          <cell r="BB77">
            <v>1004300.66</v>
          </cell>
          <cell r="BC77">
            <v>4.1989998426288366E-3</v>
          </cell>
          <cell r="BD77">
            <v>0.99999999581898136</v>
          </cell>
          <cell r="BE77">
            <v>1</v>
          </cell>
          <cell r="BF77">
            <v>-5.7150942126910154E-3</v>
          </cell>
          <cell r="BG77">
            <v>0</v>
          </cell>
          <cell r="BH77">
            <v>0</v>
          </cell>
          <cell r="BI77">
            <v>96</v>
          </cell>
          <cell r="BJ77">
            <v>0.99999999581898136</v>
          </cell>
          <cell r="BK77">
            <v>0</v>
          </cell>
          <cell r="BL77">
            <v>-527</v>
          </cell>
          <cell r="BM77">
            <v>8.5089217610090362E-4</v>
          </cell>
          <cell r="BN77">
            <v>44382.266457000049</v>
          </cell>
          <cell r="BO77">
            <v>15281.709999999963</v>
          </cell>
          <cell r="BP77">
            <v>29100.556457000086</v>
          </cell>
          <cell r="BQ77">
            <v>1774.309999999823</v>
          </cell>
          <cell r="BR77">
            <v>1163.0966917793266</v>
          </cell>
          <cell r="BS77">
            <v>328</v>
          </cell>
          <cell r="BT77">
            <v>835.09669177932665</v>
          </cell>
          <cell r="BU77">
            <v>0</v>
          </cell>
          <cell r="BV77">
            <v>0</v>
          </cell>
          <cell r="BX77">
            <v>5.7150942739099264E-3</v>
          </cell>
          <cell r="BY77">
            <v>4496.3500000000004</v>
          </cell>
          <cell r="BZ77">
            <v>0</v>
          </cell>
          <cell r="CA77">
            <v>-1651.2900000000373</v>
          </cell>
        </row>
        <row r="78">
          <cell r="H78" t="str">
            <v>C223303</v>
          </cell>
          <cell r="I78" t="str">
            <v xml:space="preserve">SYSTEMES IMSI CATCHER SUNERIS </v>
          </cell>
          <cell r="J78" t="str">
            <v xml:space="preserve">                              </v>
          </cell>
          <cell r="K78" t="str">
            <v>LMO FLY DYNAMICS DEVELOPMENT</v>
          </cell>
          <cell r="L78" t="str">
            <v>PRO</v>
          </cell>
          <cell r="M78">
            <v>44589</v>
          </cell>
          <cell r="N78">
            <v>45051</v>
          </cell>
          <cell r="O78">
            <v>401176</v>
          </cell>
          <cell r="P78">
            <v>0</v>
          </cell>
          <cell r="Q78">
            <v>341000</v>
          </cell>
          <cell r="R78">
            <v>341000</v>
          </cell>
          <cell r="S78">
            <v>0.14999900293138169</v>
          </cell>
          <cell r="T78">
            <v>0.2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401176</v>
          </cell>
          <cell r="AF78">
            <v>341000</v>
          </cell>
          <cell r="AG78">
            <v>341000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0.14999900293138169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401175.6</v>
          </cell>
          <cell r="AZ78">
            <v>320940.80000000005</v>
          </cell>
          <cell r="BA78">
            <v>80235.199999999953</v>
          </cell>
          <cell r="BB78">
            <v>341000</v>
          </cell>
          <cell r="BC78">
            <v>0</v>
          </cell>
          <cell r="BD78">
            <v>1</v>
          </cell>
          <cell r="BE78">
            <v>0.99999900293138166</v>
          </cell>
          <cell r="BF78">
            <v>0</v>
          </cell>
          <cell r="BG78">
            <v>0.40000000002948966</v>
          </cell>
          <cell r="BH78">
            <v>0</v>
          </cell>
          <cell r="BI78">
            <v>96</v>
          </cell>
          <cell r="BJ78">
            <v>1</v>
          </cell>
          <cell r="BK78">
            <v>0</v>
          </cell>
          <cell r="BL78">
            <v>0</v>
          </cell>
          <cell r="BM78">
            <v>0</v>
          </cell>
          <cell r="BN78">
            <v>80235.199999999953</v>
          </cell>
          <cell r="BO78">
            <v>68200</v>
          </cell>
          <cell r="BP78">
            <v>12035.199999999953</v>
          </cell>
          <cell r="BQ78">
            <v>160470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68200</v>
          </cell>
        </row>
        <row r="79">
          <cell r="H79" t="str">
            <v>C223304</v>
          </cell>
          <cell r="I79" t="str">
            <v xml:space="preserve">PICOSAR RADAR SYSTEM          </v>
          </cell>
          <cell r="J79" t="str">
            <v xml:space="preserve">                              </v>
          </cell>
          <cell r="K79" t="str">
            <v>LMO FLY DYNAMICS DEVELOPMENT</v>
          </cell>
          <cell r="L79" t="str">
            <v>PRO</v>
          </cell>
          <cell r="M79">
            <v>44596</v>
          </cell>
          <cell r="N79">
            <v>45237</v>
          </cell>
          <cell r="O79">
            <v>738641</v>
          </cell>
          <cell r="P79">
            <v>0</v>
          </cell>
          <cell r="Q79">
            <v>632025.98803799995</v>
          </cell>
          <cell r="R79">
            <v>632025.99000000011</v>
          </cell>
          <cell r="S79">
            <v>0.14433941787959248</v>
          </cell>
          <cell r="T79">
            <v>0.2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738641</v>
          </cell>
          <cell r="AF79">
            <v>632025.98803799995</v>
          </cell>
          <cell r="AG79">
            <v>632025.99000000011</v>
          </cell>
          <cell r="AH79">
            <v>-1.96200015489012E-3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0.14433941787959248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738641</v>
          </cell>
          <cell r="AZ79">
            <v>737622.87931587594</v>
          </cell>
          <cell r="BA79">
            <v>1018.1229770896025</v>
          </cell>
          <cell r="BB79">
            <v>632025.99000000011</v>
          </cell>
          <cell r="BC79">
            <v>-1.96200015489012E-3</v>
          </cell>
          <cell r="BD79">
            <v>1.000000003104303</v>
          </cell>
          <cell r="BE79">
            <v>1</v>
          </cell>
          <cell r="BF79">
            <v>0</v>
          </cell>
          <cell r="BG79">
            <v>2.2929654994414683E-3</v>
          </cell>
          <cell r="BH79">
            <v>0</v>
          </cell>
          <cell r="BI79">
            <v>96</v>
          </cell>
          <cell r="BJ79">
            <v>1.000000003104303</v>
          </cell>
          <cell r="BK79">
            <v>0</v>
          </cell>
          <cell r="BL79">
            <v>0</v>
          </cell>
          <cell r="BM79">
            <v>0</v>
          </cell>
          <cell r="BN79">
            <v>1018.1229770896025</v>
          </cell>
          <cell r="BO79">
            <v>181.1600000000326</v>
          </cell>
          <cell r="BP79">
            <v>836.9629770895699</v>
          </cell>
          <cell r="BQ79">
            <v>147728.20000000007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X79">
            <v>-2.2929655387997627E-3</v>
          </cell>
          <cell r="BY79">
            <v>0</v>
          </cell>
          <cell r="BZ79">
            <v>0</v>
          </cell>
          <cell r="CA79">
            <v>181.1600000000326</v>
          </cell>
        </row>
        <row r="80">
          <cell r="H80" t="str">
            <v>C223305</v>
          </cell>
          <cell r="I80" t="str">
            <v xml:space="preserve">K100 ISR ASMAN                </v>
          </cell>
          <cell r="J80" t="str">
            <v xml:space="preserve">                              </v>
          </cell>
          <cell r="K80" t="str">
            <v>LMO FLY DYNAMICS DEVELOPMENT</v>
          </cell>
          <cell r="L80" t="str">
            <v>PRO</v>
          </cell>
          <cell r="M80">
            <v>44594</v>
          </cell>
          <cell r="N80">
            <v>45237</v>
          </cell>
          <cell r="O80">
            <v>940000</v>
          </cell>
          <cell r="P80">
            <v>0</v>
          </cell>
          <cell r="Q80">
            <v>838700</v>
          </cell>
          <cell r="R80">
            <v>838700</v>
          </cell>
          <cell r="S80">
            <v>0.1077659574468085</v>
          </cell>
          <cell r="T80">
            <v>0.2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940000</v>
          </cell>
          <cell r="AF80">
            <v>838700</v>
          </cell>
          <cell r="AG80">
            <v>838700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0.1077659574468085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940000</v>
          </cell>
          <cell r="AZ80">
            <v>937290.19425079157</v>
          </cell>
          <cell r="BA80">
            <v>2709.8057492084336</v>
          </cell>
          <cell r="BB80">
            <v>838700</v>
          </cell>
          <cell r="BC80">
            <v>0</v>
          </cell>
          <cell r="BD80">
            <v>1</v>
          </cell>
          <cell r="BE80">
            <v>1</v>
          </cell>
          <cell r="BF80">
            <v>0</v>
          </cell>
          <cell r="BG80">
            <v>0</v>
          </cell>
          <cell r="BH80">
            <v>0</v>
          </cell>
          <cell r="BI80">
            <v>96</v>
          </cell>
          <cell r="BJ80">
            <v>1</v>
          </cell>
          <cell r="BK80">
            <v>0</v>
          </cell>
          <cell r="BL80">
            <v>0</v>
          </cell>
          <cell r="BM80">
            <v>0</v>
          </cell>
          <cell r="BN80">
            <v>2709.8057492084336</v>
          </cell>
          <cell r="BO80">
            <v>13098</v>
          </cell>
          <cell r="BP80">
            <v>-10388.194250791566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13098</v>
          </cell>
        </row>
        <row r="81">
          <cell r="H81" t="str">
            <v>C223307</v>
          </cell>
          <cell r="I81" t="str">
            <v xml:space="preserve">ENGINEERING SERVICES          </v>
          </cell>
          <cell r="J81" t="str">
            <v xml:space="preserve">                              </v>
          </cell>
          <cell r="K81" t="str">
            <v>LEONARDO S.P.A</v>
          </cell>
          <cell r="L81" t="str">
            <v>PDA</v>
          </cell>
          <cell r="M81">
            <v>44635</v>
          </cell>
          <cell r="N81">
            <v>45296</v>
          </cell>
          <cell r="O81">
            <v>6048.05</v>
          </cell>
          <cell r="P81">
            <v>-4504.05</v>
          </cell>
          <cell r="Q81">
            <v>8796.9820450000116</v>
          </cell>
          <cell r="R81">
            <v>8796.9800000000032</v>
          </cell>
          <cell r="S81">
            <v>-0.45451542976662096</v>
          </cell>
          <cell r="T81">
            <v>0.2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6048.05</v>
          </cell>
          <cell r="AF81">
            <v>8796.9820450000116</v>
          </cell>
          <cell r="AG81">
            <v>8796.9800000000032</v>
          </cell>
          <cell r="AH81">
            <v>2.045000008365605E-3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-0.45451542976662096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6048.0500000000029</v>
          </cell>
          <cell r="AZ81">
            <v>97953.403371535664</v>
          </cell>
          <cell r="BA81">
            <v>-91905.354777502187</v>
          </cell>
          <cell r="BB81">
            <v>8796.9800000000032</v>
          </cell>
          <cell r="BC81">
            <v>2.045000008365605E-3</v>
          </cell>
          <cell r="BD81">
            <v>0.99999976753391129</v>
          </cell>
          <cell r="BE81">
            <v>1.0000000000000004</v>
          </cell>
          <cell r="BF81">
            <v>-1.405966530520969E-3</v>
          </cell>
          <cell r="BG81">
            <v>0</v>
          </cell>
          <cell r="BH81">
            <v>0</v>
          </cell>
          <cell r="BI81">
            <v>96</v>
          </cell>
          <cell r="BJ81">
            <v>0.99999976753391129</v>
          </cell>
          <cell r="BK81">
            <v>0</v>
          </cell>
          <cell r="BL81">
            <v>0</v>
          </cell>
          <cell r="BM81">
            <v>0</v>
          </cell>
          <cell r="BN81">
            <v>-91905.354777502187</v>
          </cell>
          <cell r="BO81">
            <v>-107572.64665749998</v>
          </cell>
          <cell r="BP81">
            <v>15667.291879997792</v>
          </cell>
          <cell r="BQ81">
            <v>-81181.539999999994</v>
          </cell>
          <cell r="BR81">
            <v>-4504.0489529611077</v>
          </cell>
          <cell r="BS81">
            <v>0</v>
          </cell>
          <cell r="BT81">
            <v>-4504.0489529611077</v>
          </cell>
          <cell r="BU81">
            <v>0</v>
          </cell>
          <cell r="BV81">
            <v>0</v>
          </cell>
          <cell r="BX81">
            <v>1.405966526363045E-3</v>
          </cell>
          <cell r="BY81">
            <v>0</v>
          </cell>
          <cell r="BZ81">
            <v>0</v>
          </cell>
          <cell r="CA81">
            <v>-107572.64665749998</v>
          </cell>
        </row>
        <row r="82">
          <cell r="H82" t="str">
            <v>C223308</v>
          </cell>
          <cell r="I82" t="str">
            <v xml:space="preserve">MODS 21006 / 21007            </v>
          </cell>
          <cell r="J82" t="str">
            <v xml:space="preserve">                              </v>
          </cell>
          <cell r="K82" t="str">
            <v xml:space="preserve">ASTRONICS CSC </v>
          </cell>
          <cell r="L82" t="str">
            <v>VSE</v>
          </cell>
          <cell r="M82">
            <v>44735</v>
          </cell>
          <cell r="N82">
            <v>45203</v>
          </cell>
          <cell r="O82">
            <v>6900</v>
          </cell>
          <cell r="P82">
            <v>0</v>
          </cell>
          <cell r="Q82">
            <v>2296</v>
          </cell>
          <cell r="R82">
            <v>2296</v>
          </cell>
          <cell r="S82">
            <v>0.66724637681159416</v>
          </cell>
          <cell r="T82">
            <v>0.59</v>
          </cell>
          <cell r="U82">
            <v>71</v>
          </cell>
          <cell r="V82">
            <v>56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6900</v>
          </cell>
          <cell r="AB82">
            <v>2296</v>
          </cell>
          <cell r="AC82">
            <v>0</v>
          </cell>
          <cell r="AD82">
            <v>0.66724637681159416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6900</v>
          </cell>
          <cell r="AZ82">
            <v>3946.6074825618266</v>
          </cell>
          <cell r="BA82">
            <v>2953.3925174381734</v>
          </cell>
          <cell r="BB82">
            <v>2296</v>
          </cell>
          <cell r="BC82">
            <v>0</v>
          </cell>
          <cell r="BD82">
            <v>1</v>
          </cell>
          <cell r="BE82">
            <v>1</v>
          </cell>
          <cell r="BF82">
            <v>0</v>
          </cell>
          <cell r="BG82">
            <v>0</v>
          </cell>
          <cell r="BH82">
            <v>0</v>
          </cell>
          <cell r="BI82">
            <v>96</v>
          </cell>
          <cell r="BJ82">
            <v>1</v>
          </cell>
          <cell r="BK82">
            <v>0</v>
          </cell>
          <cell r="BL82">
            <v>0</v>
          </cell>
          <cell r="BM82">
            <v>0</v>
          </cell>
          <cell r="BN82">
            <v>2953.3925174381734</v>
          </cell>
          <cell r="BO82">
            <v>492</v>
          </cell>
          <cell r="BP82">
            <v>2461.3925174381734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X82">
            <v>0</v>
          </cell>
          <cell r="BY82">
            <v>56</v>
          </cell>
          <cell r="BZ82">
            <v>0</v>
          </cell>
          <cell r="CA82">
            <v>0</v>
          </cell>
        </row>
        <row r="83">
          <cell r="H83" t="str">
            <v>C223310</v>
          </cell>
          <cell r="I83" t="str">
            <v xml:space="preserve">LEGACY 500 REFURBISHMENT      </v>
          </cell>
          <cell r="J83" t="str">
            <v xml:space="preserve">22025                         </v>
          </cell>
          <cell r="K83" t="str">
            <v xml:space="preserve">SDA </v>
          </cell>
          <cell r="L83" t="str">
            <v>FDE</v>
          </cell>
          <cell r="M83">
            <v>44607</v>
          </cell>
          <cell r="N83" t="str">
            <v/>
          </cell>
          <cell r="O83">
            <v>4000</v>
          </cell>
          <cell r="P83">
            <v>0</v>
          </cell>
          <cell r="Q83">
            <v>902</v>
          </cell>
          <cell r="R83">
            <v>902</v>
          </cell>
          <cell r="S83">
            <v>0.56075000000000008</v>
          </cell>
          <cell r="T83">
            <v>0.59</v>
          </cell>
          <cell r="U83">
            <v>40</v>
          </cell>
          <cell r="V83">
            <v>22</v>
          </cell>
          <cell r="W83">
            <v>0</v>
          </cell>
          <cell r="X83">
            <v>18</v>
          </cell>
          <cell r="Y83">
            <v>18</v>
          </cell>
          <cell r="Z83">
            <v>0</v>
          </cell>
          <cell r="AA83">
            <v>4000</v>
          </cell>
          <cell r="AB83">
            <v>902</v>
          </cell>
          <cell r="AC83">
            <v>855</v>
          </cell>
          <cell r="AD83">
            <v>0.56075000000000008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2000</v>
          </cell>
          <cell r="AZ83">
            <v>2002.219755826859</v>
          </cell>
          <cell r="BA83">
            <v>51.280528749122823</v>
          </cell>
          <cell r="BB83">
            <v>902</v>
          </cell>
          <cell r="BC83">
            <v>855</v>
          </cell>
          <cell r="BD83">
            <v>0.5133750711439955</v>
          </cell>
          <cell r="BE83">
            <v>0.5</v>
          </cell>
          <cell r="BF83">
            <v>0</v>
          </cell>
          <cell r="BG83">
            <v>53.500284575981993</v>
          </cell>
          <cell r="BH83">
            <v>0</v>
          </cell>
          <cell r="BI83">
            <v>96</v>
          </cell>
          <cell r="BJ83">
            <v>0.5133750711439955</v>
          </cell>
          <cell r="BK83">
            <v>0</v>
          </cell>
          <cell r="BL83">
            <v>0</v>
          </cell>
          <cell r="BM83">
            <v>0</v>
          </cell>
          <cell r="BN83">
            <v>51.280528749122823</v>
          </cell>
          <cell r="BO83">
            <v>0</v>
          </cell>
          <cell r="BP83">
            <v>51.280528749122823</v>
          </cell>
          <cell r="BQ83">
            <v>2000</v>
          </cell>
          <cell r="BR83">
            <v>0</v>
          </cell>
          <cell r="BS83">
            <v>0</v>
          </cell>
          <cell r="BT83">
            <v>0</v>
          </cell>
          <cell r="BU83">
            <v>2000</v>
          </cell>
          <cell r="BV83">
            <v>0</v>
          </cell>
          <cell r="BX83">
            <v>1946.4997154240182</v>
          </cell>
          <cell r="BY83">
            <v>22</v>
          </cell>
          <cell r="BZ83">
            <v>0</v>
          </cell>
          <cell r="CA83">
            <v>0</v>
          </cell>
        </row>
        <row r="84">
          <cell r="H84" t="str">
            <v>C223330</v>
          </cell>
          <cell r="I84" t="str">
            <v xml:space="preserve">H160 - ETUDE AERODYNAMIQUE    </v>
          </cell>
          <cell r="J84" t="str">
            <v xml:space="preserve">                              </v>
          </cell>
          <cell r="K84" t="str">
            <v xml:space="preserve">BABCOCK INTERNATIONAL FRANCE AVIATION </v>
          </cell>
          <cell r="L84" t="str">
            <v>LUD</v>
          </cell>
          <cell r="M84">
            <v>44606</v>
          </cell>
          <cell r="N84">
            <v>45085</v>
          </cell>
          <cell r="O84">
            <v>48480</v>
          </cell>
          <cell r="P84">
            <v>0</v>
          </cell>
          <cell r="Q84">
            <v>7604.5</v>
          </cell>
          <cell r="R84">
            <v>7604.5</v>
          </cell>
          <cell r="S84">
            <v>0.84314150165016499</v>
          </cell>
          <cell r="T84">
            <v>0.59</v>
          </cell>
          <cell r="U84">
            <v>150</v>
          </cell>
          <cell r="V84">
            <v>124.5</v>
          </cell>
          <cell r="W84">
            <v>50</v>
          </cell>
          <cell r="X84">
            <v>0</v>
          </cell>
          <cell r="Y84">
            <v>0</v>
          </cell>
          <cell r="Z84">
            <v>0</v>
          </cell>
          <cell r="AA84">
            <v>48480</v>
          </cell>
          <cell r="AB84">
            <v>7604.5</v>
          </cell>
          <cell r="AC84">
            <v>0</v>
          </cell>
          <cell r="AD84">
            <v>0.84314150165016499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48480</v>
          </cell>
          <cell r="AZ84">
            <v>40246.061143110324</v>
          </cell>
          <cell r="BA84">
            <v>8233.9388568896757</v>
          </cell>
          <cell r="BB84">
            <v>7604.5</v>
          </cell>
          <cell r="BC84">
            <v>0</v>
          </cell>
          <cell r="BD84">
            <v>1</v>
          </cell>
          <cell r="BE84">
            <v>1</v>
          </cell>
          <cell r="BF84">
            <v>0</v>
          </cell>
          <cell r="BG84">
            <v>0</v>
          </cell>
          <cell r="BH84">
            <v>0</v>
          </cell>
          <cell r="BI84">
            <v>96</v>
          </cell>
          <cell r="BJ84">
            <v>1</v>
          </cell>
          <cell r="BK84">
            <v>0</v>
          </cell>
          <cell r="BL84">
            <v>0</v>
          </cell>
          <cell r="BM84">
            <v>0</v>
          </cell>
          <cell r="BN84">
            <v>8233.9388568896757</v>
          </cell>
          <cell r="BO84">
            <v>1983.5</v>
          </cell>
          <cell r="BP84">
            <v>6250.4388568896757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X84">
            <v>0</v>
          </cell>
          <cell r="BY84">
            <v>174.5</v>
          </cell>
          <cell r="BZ84">
            <v>4</v>
          </cell>
          <cell r="CA84">
            <v>0</v>
          </cell>
        </row>
        <row r="85">
          <cell r="H85" t="str">
            <v>C223331</v>
          </cell>
          <cell r="I85" t="str">
            <v xml:space="preserve">DEVELOPMENT OF SB FOR         </v>
          </cell>
          <cell r="J85" t="str">
            <v xml:space="preserve">22029                         </v>
          </cell>
          <cell r="K85" t="str">
            <v xml:space="preserve">DASSAULT AVIATION BUSINESS SERVICES </v>
          </cell>
          <cell r="L85" t="str">
            <v>VGA</v>
          </cell>
          <cell r="M85">
            <v>44613</v>
          </cell>
          <cell r="N85">
            <v>44704</v>
          </cell>
          <cell r="O85">
            <v>2800</v>
          </cell>
          <cell r="P85">
            <v>0</v>
          </cell>
          <cell r="Q85">
            <v>656</v>
          </cell>
          <cell r="R85">
            <v>656</v>
          </cell>
          <cell r="S85">
            <v>0.76571428571428568</v>
          </cell>
          <cell r="T85">
            <v>0.59</v>
          </cell>
          <cell r="U85">
            <v>19</v>
          </cell>
          <cell r="V85">
            <v>16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2800</v>
          </cell>
          <cell r="AB85">
            <v>656</v>
          </cell>
          <cell r="AC85">
            <v>0</v>
          </cell>
          <cell r="AD85">
            <v>0.76571428571428568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2800</v>
          </cell>
          <cell r="AZ85">
            <v>2800</v>
          </cell>
          <cell r="BA85">
            <v>0</v>
          </cell>
          <cell r="BB85">
            <v>656</v>
          </cell>
          <cell r="BC85">
            <v>0</v>
          </cell>
          <cell r="BD85">
            <v>1</v>
          </cell>
          <cell r="BE85">
            <v>1</v>
          </cell>
          <cell r="BF85">
            <v>0</v>
          </cell>
          <cell r="BG85">
            <v>0</v>
          </cell>
          <cell r="BH85">
            <v>0</v>
          </cell>
          <cell r="BI85">
            <v>96</v>
          </cell>
          <cell r="BJ85">
            <v>1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-800</v>
          </cell>
          <cell r="BP85">
            <v>800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X85">
            <v>0</v>
          </cell>
          <cell r="BY85">
            <v>16</v>
          </cell>
          <cell r="BZ85">
            <v>0</v>
          </cell>
          <cell r="CA85">
            <v>-800</v>
          </cell>
        </row>
        <row r="86">
          <cell r="H86" t="str">
            <v>C223346</v>
          </cell>
          <cell r="I86" t="str">
            <v xml:space="preserve">MODIF A/C DE MISSION          </v>
          </cell>
          <cell r="J86" t="str">
            <v xml:space="preserve">                              </v>
          </cell>
          <cell r="K86" t="str">
            <v xml:space="preserve">DAHER AEROSPACE </v>
          </cell>
          <cell r="L86" t="str">
            <v>BAZ</v>
          </cell>
          <cell r="M86">
            <v>44746</v>
          </cell>
          <cell r="N86" t="str">
            <v/>
          </cell>
          <cell r="O86">
            <v>3550409</v>
          </cell>
          <cell r="P86">
            <v>14250</v>
          </cell>
          <cell r="Q86">
            <v>1372292.9765427003</v>
          </cell>
          <cell r="R86">
            <v>1342510.4851849999</v>
          </cell>
          <cell r="S86">
            <v>0.54529809734351742</v>
          </cell>
          <cell r="T86">
            <v>0.27995430103968305</v>
          </cell>
          <cell r="U86">
            <v>7582.010416666667</v>
          </cell>
          <cell r="V86">
            <v>3647.42</v>
          </cell>
          <cell r="W86">
            <v>1735</v>
          </cell>
          <cell r="X86">
            <v>636</v>
          </cell>
          <cell r="Y86">
            <v>796.32999999999993</v>
          </cell>
          <cell r="Z86">
            <v>160</v>
          </cell>
          <cell r="AA86">
            <v>727873</v>
          </cell>
          <cell r="AB86">
            <v>236294.22</v>
          </cell>
          <cell r="AC86">
            <v>30210</v>
          </cell>
          <cell r="AD86">
            <v>0.63385890120941424</v>
          </cell>
          <cell r="AE86">
            <v>2622536</v>
          </cell>
          <cell r="AF86">
            <v>499332.09654270019</v>
          </cell>
          <cell r="AG86">
            <v>499301.00518500002</v>
          </cell>
          <cell r="AH86">
            <v>31.091357700177468</v>
          </cell>
          <cell r="AI86">
            <v>32409.145184999998</v>
          </cell>
          <cell r="AJ86">
            <v>43597.930965999491</v>
          </cell>
          <cell r="AK86">
            <v>51728.073436999694</v>
          </cell>
          <cell r="AL86">
            <v>8130.1424710002029</v>
          </cell>
          <cell r="AM86">
            <v>632443.4800000001</v>
          </cell>
          <cell r="AN86">
            <v>602692.07999999996</v>
          </cell>
          <cell r="AO86">
            <v>0</v>
          </cell>
          <cell r="AP86">
            <v>0</v>
          </cell>
          <cell r="AQ86">
            <v>0</v>
          </cell>
          <cell r="AR86">
            <v>0.55181797027430712</v>
          </cell>
          <cell r="AS86">
            <v>50000</v>
          </cell>
          <cell r="AT86">
            <v>4223.1799999999994</v>
          </cell>
          <cell r="AU86">
            <v>38276.82</v>
          </cell>
          <cell r="AV86">
            <v>38276.82</v>
          </cell>
          <cell r="AW86">
            <v>0</v>
          </cell>
          <cell r="AX86">
            <v>0.15000000000000002</v>
          </cell>
          <cell r="AY86">
            <v>2652120.0099999993</v>
          </cell>
          <cell r="AZ86">
            <v>420466.18716332939</v>
          </cell>
          <cell r="BA86">
            <v>2532040.6691786316</v>
          </cell>
          <cell r="BB86">
            <v>1342510.4851849999</v>
          </cell>
          <cell r="BC86">
            <v>271867.24232369981</v>
          </cell>
          <cell r="BD86">
            <v>0.83159626294941258</v>
          </cell>
          <cell r="BE86">
            <v>0.74698999749042982</v>
          </cell>
          <cell r="BF86">
            <v>0</v>
          </cell>
          <cell r="BG86">
            <v>300386.84634196153</v>
          </cell>
          <cell r="BH86">
            <v>130000</v>
          </cell>
          <cell r="BI86">
            <v>96</v>
          </cell>
          <cell r="BJ86">
            <v>0.83159626294941258</v>
          </cell>
          <cell r="BK86">
            <v>20000</v>
          </cell>
          <cell r="BL86">
            <v>-80587.675000000047</v>
          </cell>
          <cell r="BM86">
            <v>0.14683460595090481</v>
          </cell>
          <cell r="BN86">
            <v>2532040.6691786316</v>
          </cell>
          <cell r="BO86">
            <v>1066646.8655803921</v>
          </cell>
          <cell r="BP86">
            <v>1465393.8035982396</v>
          </cell>
          <cell r="BQ86">
            <v>1237656.0099999993</v>
          </cell>
          <cell r="BR86">
            <v>531080.76009177486</v>
          </cell>
          <cell r="BS86">
            <v>181863.16760799987</v>
          </cell>
          <cell r="BT86">
            <v>349217.59248377499</v>
          </cell>
          <cell r="BU86">
            <v>0</v>
          </cell>
          <cell r="BV86">
            <v>0</v>
          </cell>
          <cell r="BX86">
            <v>597902.14365803916</v>
          </cell>
          <cell r="BY86">
            <v>5357.42</v>
          </cell>
          <cell r="BZ86">
            <v>1496</v>
          </cell>
          <cell r="CA86">
            <v>273948.06558039214</v>
          </cell>
        </row>
        <row r="87">
          <cell r="H87" t="str">
            <v>C223349</v>
          </cell>
          <cell r="I87" t="str">
            <v xml:space="preserve">INSTALLATION OF               </v>
          </cell>
          <cell r="J87" t="str">
            <v xml:space="preserve">                              </v>
          </cell>
          <cell r="K87" t="str">
            <v xml:space="preserve">CORPORATE AIRCRAFT SA </v>
          </cell>
          <cell r="L87" t="str">
            <v>BAZ</v>
          </cell>
          <cell r="M87">
            <v>44630</v>
          </cell>
          <cell r="N87">
            <v>45051</v>
          </cell>
          <cell r="O87">
            <v>438294.24</v>
          </cell>
          <cell r="P87">
            <v>0</v>
          </cell>
          <cell r="Q87">
            <v>423922.31</v>
          </cell>
          <cell r="R87">
            <v>423922.31</v>
          </cell>
          <cell r="S87">
            <v>3.2790597476252459E-2</v>
          </cell>
          <cell r="T87">
            <v>0.22224532998654056</v>
          </cell>
          <cell r="U87">
            <v>260.41666666666669</v>
          </cell>
          <cell r="V87">
            <v>260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25000</v>
          </cell>
          <cell r="AB87">
            <v>10660</v>
          </cell>
          <cell r="AC87">
            <v>0</v>
          </cell>
          <cell r="AD87">
            <v>0.5736</v>
          </cell>
          <cell r="AE87">
            <v>413294.24</v>
          </cell>
          <cell r="AF87">
            <v>413094.24</v>
          </cell>
          <cell r="AG87">
            <v>413094.24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4.8391673689907044E-4</v>
          </cell>
          <cell r="AS87">
            <v>0</v>
          </cell>
          <cell r="AT87">
            <v>168.07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438294.24</v>
          </cell>
          <cell r="AZ87">
            <v>438293.72298516374</v>
          </cell>
          <cell r="BA87">
            <v>0.51701483625220135</v>
          </cell>
          <cell r="BB87">
            <v>423922.31</v>
          </cell>
          <cell r="BC87">
            <v>0</v>
          </cell>
          <cell r="BD87">
            <v>1</v>
          </cell>
          <cell r="BE87">
            <v>1</v>
          </cell>
          <cell r="BF87">
            <v>0</v>
          </cell>
          <cell r="BG87">
            <v>0</v>
          </cell>
          <cell r="BH87">
            <v>0</v>
          </cell>
          <cell r="BI87">
            <v>96</v>
          </cell>
          <cell r="BJ87">
            <v>1</v>
          </cell>
          <cell r="BK87">
            <v>0</v>
          </cell>
          <cell r="BL87">
            <v>0</v>
          </cell>
          <cell r="BM87">
            <v>0</v>
          </cell>
          <cell r="BN87">
            <v>0.51701483625220135</v>
          </cell>
          <cell r="BO87">
            <v>52.729999999981374</v>
          </cell>
          <cell r="BP87">
            <v>-52.212985163729172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X87">
            <v>0</v>
          </cell>
          <cell r="BY87">
            <v>260</v>
          </cell>
          <cell r="BZ87">
            <v>0</v>
          </cell>
          <cell r="CA87">
            <v>52.729999999981374</v>
          </cell>
        </row>
        <row r="88">
          <cell r="H88" t="str">
            <v>C223378</v>
          </cell>
          <cell r="I88" t="str">
            <v xml:space="preserve">NRC                           </v>
          </cell>
          <cell r="J88" t="str">
            <v xml:space="preserve">                              </v>
          </cell>
          <cell r="K88" t="str">
            <v xml:space="preserve">EQUILUX AERO IBERIA SLU </v>
          </cell>
          <cell r="L88" t="str">
            <v>PRO</v>
          </cell>
          <cell r="M88">
            <v>44916</v>
          </cell>
          <cell r="N88" t="str">
            <v/>
          </cell>
          <cell r="O88">
            <v>851667</v>
          </cell>
          <cell r="P88">
            <v>26100</v>
          </cell>
          <cell r="Q88">
            <v>502469.49</v>
          </cell>
          <cell r="R88">
            <v>339944.99</v>
          </cell>
          <cell r="S88">
            <v>0.37301552132464921</v>
          </cell>
          <cell r="T88">
            <v>0.30711196981918987</v>
          </cell>
          <cell r="U88">
            <v>1752.87</v>
          </cell>
          <cell r="V88">
            <v>2315</v>
          </cell>
          <cell r="W88">
            <v>99</v>
          </cell>
          <cell r="X88">
            <v>95</v>
          </cell>
          <cell r="Y88">
            <v>3</v>
          </cell>
          <cell r="Z88">
            <v>44</v>
          </cell>
          <cell r="AA88">
            <v>233907</v>
          </cell>
          <cell r="AB88">
            <v>99865</v>
          </cell>
          <cell r="AC88">
            <v>4512.5</v>
          </cell>
          <cell r="AD88">
            <v>0.5537649578678705</v>
          </cell>
          <cell r="AE88">
            <v>604260</v>
          </cell>
          <cell r="AF88">
            <v>13347.839999999967</v>
          </cell>
          <cell r="AG88">
            <v>13347.840000000002</v>
          </cell>
          <cell r="AH88">
            <v>-3.4560798667371273E-11</v>
          </cell>
          <cell r="AI88">
            <v>77</v>
          </cell>
          <cell r="AJ88">
            <v>0</v>
          </cell>
          <cell r="AK88">
            <v>0</v>
          </cell>
          <cell r="AL88">
            <v>0</v>
          </cell>
          <cell r="AM88">
            <v>389256.65</v>
          </cell>
          <cell r="AN88">
            <v>226732.15</v>
          </cell>
          <cell r="AO88">
            <v>13500</v>
          </cell>
          <cell r="AP88">
            <v>13500</v>
          </cell>
          <cell r="AQ88">
            <v>0</v>
          </cell>
          <cell r="AR88">
            <v>0.31138170655016051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366993</v>
          </cell>
          <cell r="AZ88">
            <v>0</v>
          </cell>
          <cell r="BA88">
            <v>542190.4394159998</v>
          </cell>
          <cell r="BB88">
            <v>339944.99</v>
          </cell>
          <cell r="BC88">
            <v>194036.99999999997</v>
          </cell>
          <cell r="BD88">
            <v>0.63662257597863925</v>
          </cell>
          <cell r="BE88">
            <v>0.4309113773340989</v>
          </cell>
          <cell r="BF88">
            <v>0</v>
          </cell>
          <cell r="BG88">
            <v>175197.43941599975</v>
          </cell>
          <cell r="BH88">
            <v>13500</v>
          </cell>
          <cell r="BI88">
            <v>96</v>
          </cell>
          <cell r="BJ88">
            <v>0.63662257597863925</v>
          </cell>
          <cell r="BK88">
            <v>0</v>
          </cell>
          <cell r="BL88">
            <v>6174.0000000000291</v>
          </cell>
          <cell r="BM88">
            <v>4.2046146773768722E-2</v>
          </cell>
          <cell r="BN88">
            <v>542190.4394159998</v>
          </cell>
          <cell r="BO88">
            <v>339944.99</v>
          </cell>
          <cell r="BP88">
            <v>202245.44941599981</v>
          </cell>
          <cell r="BQ88">
            <v>366993</v>
          </cell>
          <cell r="BR88">
            <v>51327.760486622457</v>
          </cell>
          <cell r="BS88">
            <v>26122.799999999988</v>
          </cell>
          <cell r="BT88">
            <v>25204.960486622469</v>
          </cell>
          <cell r="BU88">
            <v>40120</v>
          </cell>
          <cell r="BV88">
            <v>0</v>
          </cell>
          <cell r="BX88">
            <v>309476.5605840002</v>
          </cell>
          <cell r="BY88">
            <v>2414</v>
          </cell>
          <cell r="BZ88">
            <v>99</v>
          </cell>
          <cell r="CA88">
            <v>13347.840000000002</v>
          </cell>
        </row>
        <row r="89">
          <cell r="H89" t="str">
            <v>C223378-M</v>
          </cell>
          <cell r="I89" t="str">
            <v>Missions pour Equilux TUI</v>
          </cell>
          <cell r="J89" t="str">
            <v xml:space="preserve">                              </v>
          </cell>
          <cell r="K89" t="str">
            <v xml:space="preserve">EQUILUX AERO IBERIA SLU </v>
          </cell>
          <cell r="L89" t="str">
            <v>PRO</v>
          </cell>
          <cell r="M89">
            <v>44986</v>
          </cell>
          <cell r="N89" t="str">
            <v/>
          </cell>
          <cell r="O89">
            <v>35264.449999999997</v>
          </cell>
          <cell r="P89">
            <v>0</v>
          </cell>
          <cell r="Q89">
            <v>17283.560000000001</v>
          </cell>
          <cell r="R89">
            <v>17283.560000000001</v>
          </cell>
          <cell r="S89">
            <v>0.50988715264239193</v>
          </cell>
          <cell r="T89">
            <v>0.27962693307282549</v>
          </cell>
          <cell r="U89">
            <v>68.571428571428569</v>
          </cell>
          <cell r="V89">
            <v>173.3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7200</v>
          </cell>
          <cell r="AB89">
            <v>7451.9000000000005</v>
          </cell>
          <cell r="AC89">
            <v>0</v>
          </cell>
          <cell r="AD89">
            <v>-3.4986111111111162E-2</v>
          </cell>
          <cell r="AE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28064.45</v>
          </cell>
          <cell r="AT89">
            <v>9831.66</v>
          </cell>
          <cell r="AU89">
            <v>0</v>
          </cell>
          <cell r="AV89">
            <v>0</v>
          </cell>
          <cell r="AW89">
            <v>1076.9799999999996</v>
          </cell>
          <cell r="AX89">
            <v>0.64967565728172127</v>
          </cell>
          <cell r="AY89">
            <v>35264.449999999997</v>
          </cell>
          <cell r="AZ89">
            <v>0</v>
          </cell>
          <cell r="BA89">
            <v>35264.449999999997</v>
          </cell>
          <cell r="BB89">
            <v>17283.560000000001</v>
          </cell>
          <cell r="BC89">
            <v>0</v>
          </cell>
          <cell r="BD89">
            <v>1</v>
          </cell>
          <cell r="BE89">
            <v>1</v>
          </cell>
          <cell r="BF89">
            <v>0</v>
          </cell>
          <cell r="BG89">
            <v>0</v>
          </cell>
          <cell r="BH89">
            <v>0</v>
          </cell>
          <cell r="BI89">
            <v>100</v>
          </cell>
          <cell r="BJ89">
            <v>1</v>
          </cell>
          <cell r="BK89">
            <v>-3.637978807091713E-12</v>
          </cell>
          <cell r="BL89">
            <v>1076.9799999999996</v>
          </cell>
          <cell r="BM89">
            <v>0</v>
          </cell>
          <cell r="BN89">
            <v>35264.449999999997</v>
          </cell>
          <cell r="BO89">
            <v>17283.560000000001</v>
          </cell>
          <cell r="BP89">
            <v>17980.889999999996</v>
          </cell>
          <cell r="BQ89">
            <v>35264.449999999997</v>
          </cell>
          <cell r="BR89">
            <v>0</v>
          </cell>
          <cell r="BS89">
            <v>1076.9799999999996</v>
          </cell>
          <cell r="BT89">
            <v>-1076.9799999999996</v>
          </cell>
          <cell r="BU89">
            <v>0</v>
          </cell>
          <cell r="BV89">
            <v>0</v>
          </cell>
          <cell r="BX89">
            <v>0</v>
          </cell>
          <cell r="BY89">
            <v>173.3</v>
          </cell>
          <cell r="BZ89">
            <v>0</v>
          </cell>
          <cell r="CA89">
            <v>9831.66</v>
          </cell>
        </row>
        <row r="90">
          <cell r="H90" t="str">
            <v>C223389</v>
          </cell>
          <cell r="I90" t="str">
            <v xml:space="preserve">NRC FOR LRU QUALIFACATION     </v>
          </cell>
          <cell r="J90" t="str">
            <v xml:space="preserve">                              </v>
          </cell>
          <cell r="K90" t="str">
            <v xml:space="preserve">ASTRONICS CSC </v>
          </cell>
          <cell r="L90" t="str">
            <v>VSE</v>
          </cell>
          <cell r="M90">
            <v>44677</v>
          </cell>
          <cell r="N90">
            <v>44952</v>
          </cell>
          <cell r="O90">
            <v>10500</v>
          </cell>
          <cell r="P90">
            <v>0</v>
          </cell>
          <cell r="Q90">
            <v>3977</v>
          </cell>
          <cell r="R90">
            <v>3977</v>
          </cell>
          <cell r="S90">
            <v>0.62123809523809526</v>
          </cell>
          <cell r="T90">
            <v>0.59</v>
          </cell>
          <cell r="U90">
            <v>109.375</v>
          </cell>
          <cell r="V90">
            <v>97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10500</v>
          </cell>
          <cell r="AB90">
            <v>3977</v>
          </cell>
          <cell r="AC90">
            <v>0</v>
          </cell>
          <cell r="AD90">
            <v>0.62123809523809526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10500</v>
          </cell>
          <cell r="AZ90">
            <v>10500</v>
          </cell>
          <cell r="BA90">
            <v>0</v>
          </cell>
          <cell r="BB90">
            <v>3977</v>
          </cell>
          <cell r="BC90">
            <v>0</v>
          </cell>
          <cell r="BD90">
            <v>1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96</v>
          </cell>
          <cell r="BJ90">
            <v>1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5250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X90">
            <v>0</v>
          </cell>
          <cell r="BY90">
            <v>97</v>
          </cell>
          <cell r="BZ90">
            <v>0</v>
          </cell>
          <cell r="CA90">
            <v>0</v>
          </cell>
        </row>
        <row r="91">
          <cell r="H91" t="str">
            <v>C223394</v>
          </cell>
          <cell r="I91" t="str">
            <v xml:space="preserve">FM INSTALLATION ON R66        </v>
          </cell>
          <cell r="J91" t="str">
            <v xml:space="preserve">21124                         </v>
          </cell>
          <cell r="K91" t="str">
            <v>HELI INVEST SERVICES</v>
          </cell>
          <cell r="L91" t="str">
            <v>LJA</v>
          </cell>
          <cell r="M91">
            <v>44887</v>
          </cell>
          <cell r="N91" t="str">
            <v/>
          </cell>
          <cell r="O91">
            <v>4800</v>
          </cell>
          <cell r="P91">
            <v>0</v>
          </cell>
          <cell r="Q91">
            <v>1878.9999999999998</v>
          </cell>
          <cell r="R91">
            <v>1878.9999999999998</v>
          </cell>
          <cell r="S91">
            <v>0.50958333333333328</v>
          </cell>
          <cell r="T91">
            <v>0.59</v>
          </cell>
          <cell r="U91">
            <v>50</v>
          </cell>
          <cell r="V91">
            <v>9</v>
          </cell>
          <cell r="W91">
            <v>30.199999999999996</v>
          </cell>
          <cell r="X91">
            <v>10</v>
          </cell>
          <cell r="Y91">
            <v>10</v>
          </cell>
          <cell r="Z91">
            <v>0</v>
          </cell>
          <cell r="AA91">
            <v>4800</v>
          </cell>
          <cell r="AB91">
            <v>1878.9999999999998</v>
          </cell>
          <cell r="AC91">
            <v>475</v>
          </cell>
          <cell r="AD91">
            <v>0.50958333333333328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4800</v>
          </cell>
          <cell r="AZ91">
            <v>1933.443163097199</v>
          </cell>
          <cell r="BA91">
            <v>1897.9926907685608</v>
          </cell>
          <cell r="BB91">
            <v>1878.9999999999998</v>
          </cell>
          <cell r="BC91">
            <v>475</v>
          </cell>
          <cell r="BD91">
            <v>0.79821580288869998</v>
          </cell>
          <cell r="BE91">
            <v>1</v>
          </cell>
          <cell r="BF91">
            <v>-968.5641461342401</v>
          </cell>
          <cell r="BG91">
            <v>0</v>
          </cell>
          <cell r="BH91">
            <v>0</v>
          </cell>
          <cell r="BI91">
            <v>96</v>
          </cell>
          <cell r="BJ91">
            <v>0.79821580288869998</v>
          </cell>
          <cell r="BK91">
            <v>0</v>
          </cell>
          <cell r="BL91">
            <v>0</v>
          </cell>
          <cell r="BM91">
            <v>0</v>
          </cell>
          <cell r="BN91">
            <v>1897.9926907685608</v>
          </cell>
          <cell r="BO91">
            <v>900.99999999999989</v>
          </cell>
          <cell r="BP91">
            <v>996.99269076856092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X91">
            <v>968.56414613424022</v>
          </cell>
          <cell r="BY91">
            <v>39.199999999999996</v>
          </cell>
          <cell r="BZ91">
            <v>13.099999999999998</v>
          </cell>
          <cell r="CA91">
            <v>0</v>
          </cell>
        </row>
        <row r="92">
          <cell r="H92" t="str">
            <v>C223395</v>
          </cell>
          <cell r="I92" t="str">
            <v xml:space="preserve">FLIGHTCELL DZMX               </v>
          </cell>
          <cell r="J92" t="str">
            <v xml:space="preserve">22124                         </v>
          </cell>
          <cell r="K92" t="str">
            <v>HELI INVEST SERVICES</v>
          </cell>
          <cell r="L92" t="str">
            <v>LJA</v>
          </cell>
          <cell r="M92">
            <v>44887</v>
          </cell>
          <cell r="N92">
            <v>45044</v>
          </cell>
          <cell r="O92">
            <v>5850</v>
          </cell>
          <cell r="P92">
            <v>0</v>
          </cell>
          <cell r="Q92">
            <v>3364.0000000000005</v>
          </cell>
          <cell r="R92">
            <v>3364.0000000000005</v>
          </cell>
          <cell r="S92">
            <v>0.42495726495726482</v>
          </cell>
          <cell r="T92">
            <v>0.59</v>
          </cell>
          <cell r="U92">
            <v>60.9375</v>
          </cell>
          <cell r="V92">
            <v>24</v>
          </cell>
          <cell r="W92">
            <v>47.600000000000009</v>
          </cell>
          <cell r="X92">
            <v>0</v>
          </cell>
          <cell r="Y92">
            <v>0</v>
          </cell>
          <cell r="Z92">
            <v>0</v>
          </cell>
          <cell r="AA92">
            <v>5850</v>
          </cell>
          <cell r="AB92">
            <v>3364.0000000000005</v>
          </cell>
          <cell r="AC92">
            <v>0</v>
          </cell>
          <cell r="AD92">
            <v>0.42495726495726482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5850</v>
          </cell>
          <cell r="AZ92">
            <v>2092.7999999999997</v>
          </cell>
          <cell r="BA92">
            <v>3757.2000000000003</v>
          </cell>
          <cell r="BB92">
            <v>3364.0000000000005</v>
          </cell>
          <cell r="BC92">
            <v>0</v>
          </cell>
          <cell r="BD92">
            <v>1</v>
          </cell>
          <cell r="BE92">
            <v>1</v>
          </cell>
          <cell r="BF92">
            <v>0</v>
          </cell>
          <cell r="BG92">
            <v>0</v>
          </cell>
          <cell r="BH92">
            <v>0</v>
          </cell>
          <cell r="BI92">
            <v>96</v>
          </cell>
          <cell r="BJ92">
            <v>1</v>
          </cell>
          <cell r="BK92">
            <v>0</v>
          </cell>
          <cell r="BL92">
            <v>0</v>
          </cell>
          <cell r="BM92">
            <v>0</v>
          </cell>
          <cell r="BN92">
            <v>3757.2000000000003</v>
          </cell>
          <cell r="BO92">
            <v>2274.0000000000005</v>
          </cell>
          <cell r="BP92">
            <v>1483.1999999999998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X92">
            <v>0</v>
          </cell>
          <cell r="BY92">
            <v>71.600000000000009</v>
          </cell>
          <cell r="BZ92">
            <v>25.800000000000008</v>
          </cell>
          <cell r="CA92">
            <v>0</v>
          </cell>
        </row>
        <row r="93">
          <cell r="H93" t="str">
            <v>C223404</v>
          </cell>
          <cell r="I93" t="str">
            <v xml:space="preserve">F900 MEDEVAC STC              </v>
          </cell>
          <cell r="J93" t="str">
            <v xml:space="preserve">                              </v>
          </cell>
          <cell r="K93" t="str">
            <v xml:space="preserve">UUDS AERO </v>
          </cell>
          <cell r="L93" t="str">
            <v>TPA</v>
          </cell>
          <cell r="M93">
            <v>44742</v>
          </cell>
          <cell r="N93">
            <v>44959</v>
          </cell>
          <cell r="O93">
            <v>4800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0.59</v>
          </cell>
          <cell r="U93">
            <v>50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4800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4800</v>
          </cell>
          <cell r="AZ93">
            <v>0</v>
          </cell>
          <cell r="BA93">
            <v>4800</v>
          </cell>
          <cell r="BB93">
            <v>0</v>
          </cell>
          <cell r="BC93">
            <v>0</v>
          </cell>
          <cell r="BD93">
            <v>1</v>
          </cell>
          <cell r="BE93">
            <v>1</v>
          </cell>
          <cell r="BF93">
            <v>0</v>
          </cell>
          <cell r="BG93">
            <v>0</v>
          </cell>
          <cell r="BH93">
            <v>0</v>
          </cell>
          <cell r="BI93">
            <v>96</v>
          </cell>
          <cell r="BJ93">
            <v>1</v>
          </cell>
          <cell r="BK93">
            <v>0</v>
          </cell>
          <cell r="BL93">
            <v>0</v>
          </cell>
          <cell r="BM93">
            <v>0</v>
          </cell>
          <cell r="BN93">
            <v>4800</v>
          </cell>
          <cell r="BO93">
            <v>0</v>
          </cell>
          <cell r="BP93">
            <v>4800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</row>
        <row r="94">
          <cell r="H94" t="str">
            <v>C223406</v>
          </cell>
          <cell r="I94" t="str">
            <v xml:space="preserve">SB CABIN SEATS SWAP A320-3125 </v>
          </cell>
          <cell r="J94" t="str">
            <v xml:space="preserve">22053                         </v>
          </cell>
          <cell r="K94" t="str">
            <v>AERO CABIN SOLUTIONS</v>
          </cell>
          <cell r="L94" t="str">
            <v>VGA</v>
          </cell>
          <cell r="M94">
            <v>44746</v>
          </cell>
          <cell r="N94">
            <v>44841</v>
          </cell>
          <cell r="O94">
            <v>13700</v>
          </cell>
          <cell r="P94">
            <v>0</v>
          </cell>
          <cell r="Q94">
            <v>9392.869999999999</v>
          </cell>
          <cell r="R94">
            <v>9392.869999999999</v>
          </cell>
          <cell r="S94">
            <v>0.31438905109489057</v>
          </cell>
          <cell r="T94">
            <v>0.33664233576642333</v>
          </cell>
          <cell r="U94">
            <v>56</v>
          </cell>
          <cell r="V94">
            <v>56.5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4800</v>
          </cell>
          <cell r="AB94">
            <v>2316.5</v>
          </cell>
          <cell r="AC94">
            <v>0</v>
          </cell>
          <cell r="AD94">
            <v>0.51739583333333328</v>
          </cell>
          <cell r="AE94">
            <v>8900</v>
          </cell>
          <cell r="AF94">
            <v>7076.37</v>
          </cell>
          <cell r="AG94">
            <v>7076.37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0.20490224719101124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13700</v>
          </cell>
          <cell r="AZ94">
            <v>13700</v>
          </cell>
          <cell r="BA94">
            <v>0</v>
          </cell>
          <cell r="BB94">
            <v>9392.869999999999</v>
          </cell>
          <cell r="BC94">
            <v>0</v>
          </cell>
          <cell r="BD94">
            <v>1</v>
          </cell>
          <cell r="BE94">
            <v>1</v>
          </cell>
          <cell r="BF94">
            <v>0</v>
          </cell>
          <cell r="BG94">
            <v>0</v>
          </cell>
          <cell r="BH94">
            <v>0</v>
          </cell>
          <cell r="BI94">
            <v>96</v>
          </cell>
          <cell r="BJ94">
            <v>1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X94">
            <v>0</v>
          </cell>
          <cell r="BY94">
            <v>56.5</v>
          </cell>
          <cell r="BZ94">
            <v>0</v>
          </cell>
          <cell r="CA94">
            <v>0</v>
          </cell>
        </row>
        <row r="95">
          <cell r="H95" t="str">
            <v>C223418</v>
          </cell>
          <cell r="I95" t="str">
            <v xml:space="preserve">DO-293A QTP                   </v>
          </cell>
          <cell r="J95" t="str">
            <v xml:space="preserve">                              </v>
          </cell>
          <cell r="K95" t="str">
            <v>OTONOMY AVIATION</v>
          </cell>
          <cell r="L95" t="str">
            <v>VSE</v>
          </cell>
          <cell r="M95">
            <v>44706</v>
          </cell>
          <cell r="N95" t="str">
            <v/>
          </cell>
          <cell r="O95">
            <v>10100</v>
          </cell>
          <cell r="P95">
            <v>0</v>
          </cell>
          <cell r="Q95">
            <v>1681</v>
          </cell>
          <cell r="R95">
            <v>1681</v>
          </cell>
          <cell r="S95">
            <v>0.5325742574257426</v>
          </cell>
          <cell r="T95">
            <v>0.59</v>
          </cell>
          <cell r="U95">
            <v>105</v>
          </cell>
          <cell r="V95">
            <v>41</v>
          </cell>
          <cell r="W95">
            <v>0</v>
          </cell>
          <cell r="X95">
            <v>64</v>
          </cell>
          <cell r="Y95">
            <v>64</v>
          </cell>
          <cell r="Z95">
            <v>0</v>
          </cell>
          <cell r="AA95">
            <v>10100</v>
          </cell>
          <cell r="AB95">
            <v>1681</v>
          </cell>
          <cell r="AC95">
            <v>3040</v>
          </cell>
          <cell r="AD95">
            <v>0.5325742574257426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5050</v>
          </cell>
          <cell r="AZ95">
            <v>3470.9985178118136</v>
          </cell>
          <cell r="BA95">
            <v>125.29464041737538</v>
          </cell>
          <cell r="BB95">
            <v>1681</v>
          </cell>
          <cell r="BC95">
            <v>3040</v>
          </cell>
          <cell r="BD95">
            <v>0.35606862952764246</v>
          </cell>
          <cell r="BE95">
            <v>0.5</v>
          </cell>
          <cell r="BF95">
            <v>-1453.7068417708113</v>
          </cell>
          <cell r="BG95">
            <v>0</v>
          </cell>
          <cell r="BH95">
            <v>0</v>
          </cell>
          <cell r="BI95">
            <v>96</v>
          </cell>
          <cell r="BJ95">
            <v>0.35606862952764246</v>
          </cell>
          <cell r="BK95">
            <v>0</v>
          </cell>
          <cell r="BL95">
            <v>0</v>
          </cell>
          <cell r="BM95">
            <v>0</v>
          </cell>
          <cell r="BN95">
            <v>125.29464041737538</v>
          </cell>
          <cell r="BO95">
            <v>0</v>
          </cell>
          <cell r="BP95">
            <v>125.29464041737538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X95">
            <v>6503.7068417708115</v>
          </cell>
          <cell r="BY95">
            <v>41</v>
          </cell>
          <cell r="BZ95">
            <v>0</v>
          </cell>
          <cell r="CA95">
            <v>0</v>
          </cell>
        </row>
        <row r="96">
          <cell r="H96" t="str">
            <v>C223431</v>
          </cell>
          <cell r="I96" t="str">
            <v>ECM 1946 SIMPLIFICATION RESEAU</v>
          </cell>
          <cell r="J96" t="str">
            <v xml:space="preserve">                              </v>
          </cell>
          <cell r="K96" t="str">
            <v xml:space="preserve">SAFRAN AIRCRAFT ENGINES </v>
          </cell>
          <cell r="L96" t="str">
            <v>BAZ</v>
          </cell>
          <cell r="M96">
            <v>44811</v>
          </cell>
          <cell r="N96">
            <v>45051</v>
          </cell>
          <cell r="O96">
            <v>8000</v>
          </cell>
          <cell r="P96">
            <v>0</v>
          </cell>
          <cell r="Q96">
            <v>3198</v>
          </cell>
          <cell r="R96">
            <v>3198</v>
          </cell>
          <cell r="S96">
            <v>0.60024999999999995</v>
          </cell>
          <cell r="T96">
            <v>0.59</v>
          </cell>
          <cell r="U96">
            <v>80</v>
          </cell>
          <cell r="V96">
            <v>78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8000</v>
          </cell>
          <cell r="AB96">
            <v>3198</v>
          </cell>
          <cell r="AC96">
            <v>0</v>
          </cell>
          <cell r="AD96">
            <v>0.60024999999999995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8000</v>
          </cell>
          <cell r="AZ96">
            <v>7384.2601500865885</v>
          </cell>
          <cell r="BA96">
            <v>615.73984991341149</v>
          </cell>
          <cell r="BB96">
            <v>3198</v>
          </cell>
          <cell r="BC96">
            <v>0</v>
          </cell>
          <cell r="BD96">
            <v>1</v>
          </cell>
          <cell r="BE96">
            <v>1</v>
          </cell>
          <cell r="BF96">
            <v>0</v>
          </cell>
          <cell r="BG96">
            <v>0</v>
          </cell>
          <cell r="BH96">
            <v>0</v>
          </cell>
          <cell r="BI96">
            <v>96</v>
          </cell>
          <cell r="BJ96">
            <v>1</v>
          </cell>
          <cell r="BK96">
            <v>0</v>
          </cell>
          <cell r="BL96">
            <v>0</v>
          </cell>
          <cell r="BM96">
            <v>0</v>
          </cell>
          <cell r="BN96">
            <v>615.73984991341149</v>
          </cell>
          <cell r="BO96">
            <v>0</v>
          </cell>
          <cell r="BP96">
            <v>615.73984991341149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X96">
            <v>0</v>
          </cell>
          <cell r="BY96">
            <v>78</v>
          </cell>
          <cell r="BZ96">
            <v>0</v>
          </cell>
          <cell r="CA96">
            <v>0</v>
          </cell>
        </row>
        <row r="97">
          <cell r="H97" t="str">
            <v>C223436</v>
          </cell>
          <cell r="I97" t="str">
            <v xml:space="preserve">SCOPE A - ULPHOSTERY SEATS    </v>
          </cell>
          <cell r="J97" t="str">
            <v xml:space="preserve">                              </v>
          </cell>
          <cell r="K97" t="str">
            <v xml:space="preserve">DASSAULT AVIATION BUSINESS SERVICES </v>
          </cell>
          <cell r="L97" t="str">
            <v>VGA</v>
          </cell>
          <cell r="M97">
            <v>44735</v>
          </cell>
          <cell r="N97">
            <v>45014</v>
          </cell>
          <cell r="O97">
            <v>41400</v>
          </cell>
          <cell r="P97">
            <v>0</v>
          </cell>
          <cell r="Q97">
            <v>17261</v>
          </cell>
          <cell r="R97">
            <v>17261</v>
          </cell>
          <cell r="S97">
            <v>0.58306763285024155</v>
          </cell>
          <cell r="T97">
            <v>0.59</v>
          </cell>
          <cell r="U97">
            <v>420</v>
          </cell>
          <cell r="V97">
            <v>421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41400</v>
          </cell>
          <cell r="AB97">
            <v>17261</v>
          </cell>
          <cell r="AC97">
            <v>0</v>
          </cell>
          <cell r="AD97">
            <v>0.58306763285024155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41400</v>
          </cell>
          <cell r="AZ97">
            <v>37673.312892064474</v>
          </cell>
          <cell r="BA97">
            <v>3726.687107935526</v>
          </cell>
          <cell r="BB97">
            <v>17261</v>
          </cell>
          <cell r="BC97">
            <v>0</v>
          </cell>
          <cell r="BD97">
            <v>1</v>
          </cell>
          <cell r="BE97">
            <v>1</v>
          </cell>
          <cell r="BF97">
            <v>0</v>
          </cell>
          <cell r="BG97">
            <v>0</v>
          </cell>
          <cell r="BH97">
            <v>0</v>
          </cell>
          <cell r="BI97">
            <v>96</v>
          </cell>
          <cell r="BJ97">
            <v>1</v>
          </cell>
          <cell r="BK97">
            <v>0</v>
          </cell>
          <cell r="BL97">
            <v>0</v>
          </cell>
          <cell r="BM97">
            <v>0</v>
          </cell>
          <cell r="BN97">
            <v>3726.687107935526</v>
          </cell>
          <cell r="BO97">
            <v>1086.5</v>
          </cell>
          <cell r="BP97">
            <v>2640.187107935526</v>
          </cell>
          <cell r="BQ97">
            <v>21600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X97">
            <v>0</v>
          </cell>
          <cell r="BY97">
            <v>421</v>
          </cell>
          <cell r="BZ97">
            <v>0</v>
          </cell>
          <cell r="CA97">
            <v>0</v>
          </cell>
        </row>
        <row r="98">
          <cell r="H98" t="str">
            <v>C223444</v>
          </cell>
          <cell r="I98" t="str">
            <v xml:space="preserve">SUIVI PGM UPNEXT              </v>
          </cell>
          <cell r="J98" t="str">
            <v xml:space="preserve">                              </v>
          </cell>
          <cell r="K98" t="str">
            <v xml:space="preserve">AEROTEC BLAGNAC </v>
          </cell>
          <cell r="L98" t="str">
            <v>BAZ</v>
          </cell>
          <cell r="M98">
            <v>44729</v>
          </cell>
          <cell r="N98">
            <v>45022</v>
          </cell>
          <cell r="O98">
            <v>40864.799999999996</v>
          </cell>
          <cell r="P98">
            <v>0</v>
          </cell>
          <cell r="Q98">
            <v>17466</v>
          </cell>
          <cell r="R98">
            <v>17466</v>
          </cell>
          <cell r="S98">
            <v>0.57259059141363711</v>
          </cell>
          <cell r="T98">
            <v>0.59</v>
          </cell>
          <cell r="U98">
            <v>425.67499999999995</v>
          </cell>
          <cell r="V98">
            <v>426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40864.799999999996</v>
          </cell>
          <cell r="AB98">
            <v>17466</v>
          </cell>
          <cell r="AC98">
            <v>0</v>
          </cell>
          <cell r="AD98">
            <v>0.57259059141363711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40864.799999999996</v>
          </cell>
          <cell r="AZ98">
            <v>40864.799999999996</v>
          </cell>
          <cell r="BA98">
            <v>0</v>
          </cell>
          <cell r="BB98">
            <v>17466</v>
          </cell>
          <cell r="BC98">
            <v>0</v>
          </cell>
          <cell r="BD98">
            <v>1</v>
          </cell>
          <cell r="BE98">
            <v>1</v>
          </cell>
          <cell r="BF98">
            <v>0</v>
          </cell>
          <cell r="BG98">
            <v>0</v>
          </cell>
          <cell r="BH98">
            <v>0</v>
          </cell>
          <cell r="BI98">
            <v>96</v>
          </cell>
          <cell r="BJ98">
            <v>1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X98">
            <v>0</v>
          </cell>
          <cell r="BY98">
            <v>426</v>
          </cell>
          <cell r="BZ98">
            <v>0</v>
          </cell>
          <cell r="CA98">
            <v>0</v>
          </cell>
        </row>
        <row r="99">
          <cell r="H99" t="str">
            <v>C223451</v>
          </cell>
          <cell r="I99" t="str">
            <v xml:space="preserve">SB CHANGE OF CARPET           </v>
          </cell>
          <cell r="J99" t="str">
            <v xml:space="preserve">                              </v>
          </cell>
          <cell r="K99" t="str">
            <v>JAPA AERO DESIGN</v>
          </cell>
          <cell r="L99" t="str">
            <v>VGA</v>
          </cell>
          <cell r="M99">
            <v>44735</v>
          </cell>
          <cell r="N99">
            <v>44812</v>
          </cell>
          <cell r="O99">
            <v>2800</v>
          </cell>
          <cell r="P99">
            <v>0</v>
          </cell>
          <cell r="Q99">
            <v>984</v>
          </cell>
          <cell r="R99">
            <v>984</v>
          </cell>
          <cell r="S99">
            <v>0.64857142857142858</v>
          </cell>
          <cell r="T99">
            <v>0.59</v>
          </cell>
          <cell r="U99">
            <v>29</v>
          </cell>
          <cell r="V99">
            <v>24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2800</v>
          </cell>
          <cell r="AB99">
            <v>984</v>
          </cell>
          <cell r="AC99">
            <v>0</v>
          </cell>
          <cell r="AD99">
            <v>0.64857142857142858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2800</v>
          </cell>
          <cell r="BA99">
            <v>0</v>
          </cell>
          <cell r="BB99">
            <v>984</v>
          </cell>
          <cell r="BC99">
            <v>0</v>
          </cell>
          <cell r="BD99">
            <v>1</v>
          </cell>
          <cell r="BE99">
            <v>0</v>
          </cell>
          <cell r="BF99">
            <v>0</v>
          </cell>
          <cell r="BG99">
            <v>2800</v>
          </cell>
          <cell r="BH99">
            <v>0</v>
          </cell>
          <cell r="BI99">
            <v>96</v>
          </cell>
          <cell r="BJ99">
            <v>1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X99">
            <v>0</v>
          </cell>
          <cell r="BY99">
            <v>24</v>
          </cell>
          <cell r="BZ99">
            <v>0</v>
          </cell>
          <cell r="CA99">
            <v>0</v>
          </cell>
        </row>
        <row r="100">
          <cell r="H100" t="str">
            <v>C223453</v>
          </cell>
          <cell r="I100" t="str">
            <v xml:space="preserve">ETUDE PART LIST MSN 40253     </v>
          </cell>
          <cell r="J100" t="str">
            <v xml:space="preserve">                              </v>
          </cell>
          <cell r="K100" t="str">
            <v>AERO CABIN SOLUTIONS</v>
          </cell>
          <cell r="L100" t="str">
            <v>FDE</v>
          </cell>
          <cell r="M100">
            <v>44889</v>
          </cell>
          <cell r="N100" t="str">
            <v/>
          </cell>
          <cell r="O100">
            <v>66000</v>
          </cell>
          <cell r="P100">
            <v>0</v>
          </cell>
          <cell r="Q100">
            <v>42821.850000000006</v>
          </cell>
          <cell r="R100">
            <v>42821.850000000006</v>
          </cell>
          <cell r="S100">
            <v>0.35118409090909086</v>
          </cell>
          <cell r="T100">
            <v>0.49840909090909091</v>
          </cell>
          <cell r="U100">
            <v>526.04166666666663</v>
          </cell>
          <cell r="V100">
            <v>688.03000000000009</v>
          </cell>
          <cell r="W100">
            <v>24</v>
          </cell>
          <cell r="X100">
            <v>0</v>
          </cell>
          <cell r="Y100">
            <v>0</v>
          </cell>
          <cell r="Z100">
            <v>43</v>
          </cell>
          <cell r="AA100">
            <v>50500</v>
          </cell>
          <cell r="AB100">
            <v>29409.230000000003</v>
          </cell>
          <cell r="AC100">
            <v>0</v>
          </cell>
          <cell r="AD100">
            <v>0.41763900990099001</v>
          </cell>
          <cell r="AE100">
            <v>15500</v>
          </cell>
          <cell r="AF100">
            <v>13412.62</v>
          </cell>
          <cell r="AG100">
            <v>13412.62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0.13466967741935476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33000</v>
          </cell>
          <cell r="AZ100">
            <v>34481.597737228803</v>
          </cell>
          <cell r="BA100">
            <v>31518.402262771197</v>
          </cell>
          <cell r="BB100">
            <v>42821.850000000006</v>
          </cell>
          <cell r="BC100">
            <v>0</v>
          </cell>
          <cell r="BD100">
            <v>1</v>
          </cell>
          <cell r="BE100">
            <v>0.5</v>
          </cell>
          <cell r="BF100">
            <v>0</v>
          </cell>
          <cell r="BG100">
            <v>33000</v>
          </cell>
          <cell r="BH100">
            <v>0</v>
          </cell>
          <cell r="BI100">
            <v>96</v>
          </cell>
          <cell r="BJ100">
            <v>1</v>
          </cell>
          <cell r="BK100">
            <v>0</v>
          </cell>
          <cell r="BL100">
            <v>1763</v>
          </cell>
          <cell r="BM100">
            <v>0</v>
          </cell>
          <cell r="BN100">
            <v>31518.402262771197</v>
          </cell>
          <cell r="BO100">
            <v>22828.730000000003</v>
          </cell>
          <cell r="BP100">
            <v>8689.6722627711933</v>
          </cell>
          <cell r="BQ100">
            <v>0</v>
          </cell>
          <cell r="BR100">
            <v>0</v>
          </cell>
          <cell r="BS100">
            <v>1763</v>
          </cell>
          <cell r="BT100">
            <v>-1763</v>
          </cell>
          <cell r="BU100">
            <v>0</v>
          </cell>
          <cell r="BV100">
            <v>0</v>
          </cell>
          <cell r="BX100">
            <v>0</v>
          </cell>
          <cell r="BY100">
            <v>705.03000000000009</v>
          </cell>
          <cell r="BZ100">
            <v>24</v>
          </cell>
          <cell r="CA100">
            <v>0</v>
          </cell>
        </row>
        <row r="101">
          <cell r="H101" t="str">
            <v>C223455</v>
          </cell>
          <cell r="I101" t="str">
            <v xml:space="preserve">DOSSIER COVER PROTECTION      </v>
          </cell>
          <cell r="J101" t="str">
            <v xml:space="preserve">                              </v>
          </cell>
          <cell r="K101" t="str">
            <v xml:space="preserve">HELIDAX </v>
          </cell>
          <cell r="L101" t="str">
            <v>LJA</v>
          </cell>
          <cell r="M101">
            <v>44886</v>
          </cell>
          <cell r="N101">
            <v>44942</v>
          </cell>
          <cell r="O101">
            <v>3200</v>
          </cell>
          <cell r="P101">
            <v>0</v>
          </cell>
          <cell r="Q101">
            <v>1759.86</v>
          </cell>
          <cell r="R101">
            <v>1759.86</v>
          </cell>
          <cell r="S101">
            <v>0.45004375000000008</v>
          </cell>
          <cell r="T101">
            <v>0.59</v>
          </cell>
          <cell r="U101">
            <v>33.333333333333336</v>
          </cell>
          <cell r="V101">
            <v>0</v>
          </cell>
          <cell r="W101">
            <v>34.4</v>
          </cell>
          <cell r="X101">
            <v>0</v>
          </cell>
          <cell r="Y101">
            <v>0</v>
          </cell>
          <cell r="Z101">
            <v>0</v>
          </cell>
          <cell r="AA101">
            <v>3200</v>
          </cell>
          <cell r="AB101">
            <v>1720</v>
          </cell>
          <cell r="AC101">
            <v>0</v>
          </cell>
          <cell r="AD101">
            <v>0.46250000000000002</v>
          </cell>
          <cell r="AE101">
            <v>0</v>
          </cell>
          <cell r="AF101">
            <v>39.86</v>
          </cell>
          <cell r="AG101">
            <v>39.86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3200</v>
          </cell>
          <cell r="AZ101">
            <v>3155.1785574218707</v>
          </cell>
          <cell r="BA101">
            <v>44.821442578129336</v>
          </cell>
          <cell r="BB101">
            <v>1759.86</v>
          </cell>
          <cell r="BC101">
            <v>0</v>
          </cell>
          <cell r="BD101">
            <v>1</v>
          </cell>
          <cell r="BE101">
            <v>1</v>
          </cell>
          <cell r="BF101">
            <v>0</v>
          </cell>
          <cell r="BG101">
            <v>0</v>
          </cell>
          <cell r="BH101">
            <v>0</v>
          </cell>
          <cell r="BI101">
            <v>96</v>
          </cell>
          <cell r="BJ101">
            <v>1</v>
          </cell>
          <cell r="BK101">
            <v>0</v>
          </cell>
          <cell r="BL101">
            <v>0</v>
          </cell>
          <cell r="BM101">
            <v>0</v>
          </cell>
          <cell r="BN101">
            <v>44.821442578129336</v>
          </cell>
          <cell r="BO101">
            <v>0</v>
          </cell>
          <cell r="BP101">
            <v>44.821442578129336</v>
          </cell>
          <cell r="BQ101">
            <v>3200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X101">
            <v>0</v>
          </cell>
          <cell r="BY101">
            <v>34.4</v>
          </cell>
          <cell r="BZ101">
            <v>0</v>
          </cell>
          <cell r="CA101">
            <v>0</v>
          </cell>
        </row>
        <row r="102">
          <cell r="H102" t="str">
            <v>C223457</v>
          </cell>
          <cell r="I102" t="str">
            <v xml:space="preserve">1949-ECM-2022                 </v>
          </cell>
          <cell r="J102" t="str">
            <v xml:space="preserve">                              </v>
          </cell>
          <cell r="K102" t="str">
            <v xml:space="preserve">SAFRAN AIRCRAFT ENGINES </v>
          </cell>
          <cell r="L102" t="str">
            <v>BAZ</v>
          </cell>
          <cell r="M102">
            <v>44868</v>
          </cell>
          <cell r="N102">
            <v>45051</v>
          </cell>
          <cell r="O102">
            <v>5000</v>
          </cell>
          <cell r="P102">
            <v>0</v>
          </cell>
          <cell r="Q102">
            <v>1599</v>
          </cell>
          <cell r="R102">
            <v>1599</v>
          </cell>
          <cell r="S102">
            <v>0.68020000000000003</v>
          </cell>
          <cell r="T102">
            <v>0.59</v>
          </cell>
          <cell r="U102">
            <v>50</v>
          </cell>
          <cell r="V102">
            <v>39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5000</v>
          </cell>
          <cell r="AB102">
            <v>1599</v>
          </cell>
          <cell r="AC102">
            <v>0</v>
          </cell>
          <cell r="AD102">
            <v>0.68020000000000003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5000</v>
          </cell>
          <cell r="AZ102">
            <v>0</v>
          </cell>
          <cell r="BA102">
            <v>5000</v>
          </cell>
          <cell r="BB102">
            <v>1599</v>
          </cell>
          <cell r="BC102">
            <v>0</v>
          </cell>
          <cell r="BD102">
            <v>1</v>
          </cell>
          <cell r="BE102">
            <v>1</v>
          </cell>
          <cell r="BF102">
            <v>0</v>
          </cell>
          <cell r="BG102">
            <v>0</v>
          </cell>
          <cell r="BH102">
            <v>0</v>
          </cell>
          <cell r="BI102">
            <v>96</v>
          </cell>
          <cell r="BJ102">
            <v>1</v>
          </cell>
          <cell r="BK102">
            <v>0</v>
          </cell>
          <cell r="BL102">
            <v>0</v>
          </cell>
          <cell r="BM102">
            <v>0</v>
          </cell>
          <cell r="BN102">
            <v>5000</v>
          </cell>
          <cell r="BO102">
            <v>1599</v>
          </cell>
          <cell r="BP102">
            <v>3401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X102">
            <v>0</v>
          </cell>
          <cell r="BY102">
            <v>39</v>
          </cell>
          <cell r="BZ102">
            <v>0</v>
          </cell>
          <cell r="CA102">
            <v>0</v>
          </cell>
        </row>
        <row r="103">
          <cell r="H103" t="str">
            <v>C223459</v>
          </cell>
          <cell r="I103" t="str">
            <v xml:space="preserve">ERJ 170-200LR SAL LIVERY      </v>
          </cell>
          <cell r="J103" t="str">
            <v xml:space="preserve">                              </v>
          </cell>
          <cell r="K103" t="str">
            <v xml:space="preserve">REGIO LEASE </v>
          </cell>
          <cell r="L103" t="str">
            <v>VGA</v>
          </cell>
          <cell r="M103">
            <v>44775</v>
          </cell>
          <cell r="N103">
            <v>45237</v>
          </cell>
          <cell r="O103">
            <v>4500</v>
          </cell>
          <cell r="P103">
            <v>0</v>
          </cell>
          <cell r="Q103">
            <v>1865.5</v>
          </cell>
          <cell r="R103">
            <v>1865.5</v>
          </cell>
          <cell r="S103">
            <v>0.58544444444444443</v>
          </cell>
          <cell r="T103">
            <v>0.59</v>
          </cell>
          <cell r="U103">
            <v>46</v>
          </cell>
          <cell r="V103">
            <v>45.5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4500</v>
          </cell>
          <cell r="AB103">
            <v>1865.5</v>
          </cell>
          <cell r="AC103">
            <v>0</v>
          </cell>
          <cell r="AD103">
            <v>0.58544444444444443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4500</v>
          </cell>
          <cell r="AZ103">
            <v>2371.695367450885</v>
          </cell>
          <cell r="BA103">
            <v>2128.304632549115</v>
          </cell>
          <cell r="BB103">
            <v>1865.5</v>
          </cell>
          <cell r="BC103">
            <v>0</v>
          </cell>
          <cell r="BD103">
            <v>1</v>
          </cell>
          <cell r="BE103">
            <v>1</v>
          </cell>
          <cell r="BF103">
            <v>0</v>
          </cell>
          <cell r="BG103">
            <v>0</v>
          </cell>
          <cell r="BH103">
            <v>0</v>
          </cell>
          <cell r="BI103">
            <v>96</v>
          </cell>
          <cell r="BJ103">
            <v>1</v>
          </cell>
          <cell r="BK103">
            <v>0</v>
          </cell>
          <cell r="BL103">
            <v>0</v>
          </cell>
          <cell r="BM103">
            <v>0</v>
          </cell>
          <cell r="BN103">
            <v>2128.304632549115</v>
          </cell>
          <cell r="BO103">
            <v>779</v>
          </cell>
          <cell r="BP103">
            <v>1349.304632549115</v>
          </cell>
          <cell r="BQ103">
            <v>4500</v>
          </cell>
          <cell r="BR103">
            <v>0</v>
          </cell>
          <cell r="BS103">
            <v>0</v>
          </cell>
          <cell r="BT103">
            <v>0</v>
          </cell>
          <cell r="BU103">
            <v>4500</v>
          </cell>
          <cell r="BV103">
            <v>0</v>
          </cell>
          <cell r="BX103">
            <v>0</v>
          </cell>
          <cell r="BY103">
            <v>45.5</v>
          </cell>
          <cell r="BZ103">
            <v>0</v>
          </cell>
          <cell r="CA103">
            <v>0</v>
          </cell>
        </row>
        <row r="104">
          <cell r="H104" t="str">
            <v>C223469</v>
          </cell>
          <cell r="I104" t="str">
            <v>1 MOIS DE SOUTIEN OPERATIONNEL</v>
          </cell>
          <cell r="J104" t="str">
            <v xml:space="preserve">                              </v>
          </cell>
          <cell r="K104" t="str">
            <v>LMO FLY DYNAMICS DEVELOPMENT</v>
          </cell>
          <cell r="L104" t="str">
            <v>PRO</v>
          </cell>
          <cell r="M104">
            <v>44774</v>
          </cell>
          <cell r="N104">
            <v>45051</v>
          </cell>
          <cell r="O104">
            <v>62365</v>
          </cell>
          <cell r="P104">
            <v>0</v>
          </cell>
          <cell r="Q104">
            <v>62365</v>
          </cell>
          <cell r="R104">
            <v>62365</v>
          </cell>
          <cell r="S104">
            <v>0</v>
          </cell>
          <cell r="T104">
            <v>0.2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62365</v>
          </cell>
          <cell r="AF104">
            <v>62365</v>
          </cell>
          <cell r="AG104">
            <v>62365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62365</v>
          </cell>
          <cell r="AZ104">
            <v>38565</v>
          </cell>
          <cell r="BA104">
            <v>23800</v>
          </cell>
          <cell r="BB104">
            <v>62365</v>
          </cell>
          <cell r="BC104">
            <v>0</v>
          </cell>
          <cell r="BD104">
            <v>1</v>
          </cell>
          <cell r="BE104">
            <v>1</v>
          </cell>
          <cell r="BF104">
            <v>0</v>
          </cell>
          <cell r="BG104">
            <v>0</v>
          </cell>
          <cell r="BH104">
            <v>0</v>
          </cell>
          <cell r="BI104">
            <v>96</v>
          </cell>
          <cell r="BJ104">
            <v>1</v>
          </cell>
          <cell r="BK104">
            <v>0</v>
          </cell>
          <cell r="BL104">
            <v>0</v>
          </cell>
          <cell r="BM104">
            <v>0</v>
          </cell>
          <cell r="BN104">
            <v>23800</v>
          </cell>
          <cell r="BO104">
            <v>23800</v>
          </cell>
          <cell r="BP104">
            <v>0</v>
          </cell>
          <cell r="BQ104">
            <v>23800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23800</v>
          </cell>
        </row>
        <row r="105">
          <cell r="H105" t="str">
            <v>C223472</v>
          </cell>
          <cell r="I105" t="str">
            <v xml:space="preserve">H160 FI SAR - QUALIF HOUSSES  </v>
          </cell>
          <cell r="J105" t="str">
            <v xml:space="preserve">22108                         </v>
          </cell>
          <cell r="K105" t="str">
            <v xml:space="preserve">BABCOCK INTERNATIONAL FRANCE AVIATION </v>
          </cell>
          <cell r="L105" t="str">
            <v>LUD</v>
          </cell>
          <cell r="M105">
            <v>44824</v>
          </cell>
          <cell r="N105">
            <v>44951</v>
          </cell>
          <cell r="O105">
            <v>9000</v>
          </cell>
          <cell r="P105">
            <v>0</v>
          </cell>
          <cell r="Q105">
            <v>7666.9</v>
          </cell>
          <cell r="R105">
            <v>7666.9</v>
          </cell>
          <cell r="S105">
            <v>0.14812222222222227</v>
          </cell>
          <cell r="T105">
            <v>0.54666666666666663</v>
          </cell>
          <cell r="U105">
            <v>83.333333333333329</v>
          </cell>
          <cell r="V105">
            <v>82.5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8000</v>
          </cell>
          <cell r="AB105">
            <v>3382.5</v>
          </cell>
          <cell r="AC105">
            <v>0</v>
          </cell>
          <cell r="AD105">
            <v>0.57718749999999996</v>
          </cell>
          <cell r="AE105">
            <v>1000</v>
          </cell>
          <cell r="AF105">
            <v>881.24999999999955</v>
          </cell>
          <cell r="AG105">
            <v>881.25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3403.15</v>
          </cell>
          <cell r="AN105">
            <v>3403.15</v>
          </cell>
          <cell r="AO105">
            <v>0</v>
          </cell>
          <cell r="AP105">
            <v>0</v>
          </cell>
          <cell r="AQ105">
            <v>0</v>
          </cell>
          <cell r="AR105">
            <v>-3.2843999999999998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9000</v>
          </cell>
          <cell r="AZ105">
            <v>3752.2076531977518</v>
          </cell>
          <cell r="BA105">
            <v>5247.7923468022482</v>
          </cell>
          <cell r="BB105">
            <v>7666.9</v>
          </cell>
          <cell r="BC105">
            <v>-4.5474735088646412E-13</v>
          </cell>
          <cell r="BD105">
            <v>1</v>
          </cell>
          <cell r="BE105">
            <v>1</v>
          </cell>
          <cell r="BF105">
            <v>0</v>
          </cell>
          <cell r="BG105">
            <v>0</v>
          </cell>
          <cell r="BH105">
            <v>0</v>
          </cell>
          <cell r="BI105">
            <v>96</v>
          </cell>
          <cell r="BJ105">
            <v>1</v>
          </cell>
          <cell r="BK105">
            <v>0</v>
          </cell>
          <cell r="BL105">
            <v>4.5474735088646412E-13</v>
          </cell>
          <cell r="BM105">
            <v>0</v>
          </cell>
          <cell r="BN105">
            <v>5247.7923468022482</v>
          </cell>
          <cell r="BO105">
            <v>5329.9</v>
          </cell>
          <cell r="BP105">
            <v>-82.107653197751461</v>
          </cell>
          <cell r="BQ105">
            <v>9000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X105">
            <v>0</v>
          </cell>
          <cell r="BY105">
            <v>82.5</v>
          </cell>
          <cell r="BZ105">
            <v>0</v>
          </cell>
          <cell r="CA105">
            <v>881.25</v>
          </cell>
        </row>
        <row r="106">
          <cell r="H106" t="str">
            <v>C223473</v>
          </cell>
          <cell r="I106" t="str">
            <v xml:space="preserve">MISE A JOUR DOSSIER           </v>
          </cell>
          <cell r="J106" t="str">
            <v xml:space="preserve">                              </v>
          </cell>
          <cell r="K106" t="str">
            <v>TRANSACO SAS</v>
          </cell>
          <cell r="L106" t="str">
            <v>LUD</v>
          </cell>
          <cell r="M106">
            <v>44860</v>
          </cell>
          <cell r="N106">
            <v>45085</v>
          </cell>
          <cell r="O106">
            <v>9540</v>
          </cell>
          <cell r="P106">
            <v>0</v>
          </cell>
          <cell r="Q106">
            <v>4694.5</v>
          </cell>
          <cell r="R106">
            <v>4694.5</v>
          </cell>
          <cell r="S106">
            <v>0.5079140461215933</v>
          </cell>
          <cell r="T106">
            <v>0.59</v>
          </cell>
          <cell r="U106">
            <v>188</v>
          </cell>
          <cell r="V106">
            <v>114.5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9540</v>
          </cell>
          <cell r="AB106">
            <v>4694.5</v>
          </cell>
          <cell r="AC106">
            <v>0</v>
          </cell>
          <cell r="AD106">
            <v>0.5079140461215933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9540</v>
          </cell>
          <cell r="AZ106">
            <v>8640</v>
          </cell>
          <cell r="BA106">
            <v>900</v>
          </cell>
          <cell r="BB106">
            <v>4694.5</v>
          </cell>
          <cell r="BC106">
            <v>0</v>
          </cell>
          <cell r="BD106">
            <v>1</v>
          </cell>
          <cell r="BE106">
            <v>1</v>
          </cell>
          <cell r="BF106">
            <v>0</v>
          </cell>
          <cell r="BG106">
            <v>0</v>
          </cell>
          <cell r="BH106">
            <v>0</v>
          </cell>
          <cell r="BI106">
            <v>96</v>
          </cell>
          <cell r="BJ106">
            <v>1</v>
          </cell>
          <cell r="BK106">
            <v>0</v>
          </cell>
          <cell r="BL106">
            <v>0</v>
          </cell>
          <cell r="BM106">
            <v>0</v>
          </cell>
          <cell r="BN106">
            <v>900</v>
          </cell>
          <cell r="BO106">
            <v>123</v>
          </cell>
          <cell r="BP106">
            <v>777</v>
          </cell>
          <cell r="BQ106">
            <v>900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X106">
            <v>0</v>
          </cell>
          <cell r="BY106">
            <v>114.5</v>
          </cell>
          <cell r="BZ106">
            <v>0</v>
          </cell>
          <cell r="CA106">
            <v>0</v>
          </cell>
        </row>
        <row r="107">
          <cell r="H107" t="str">
            <v>C223474</v>
          </cell>
          <cell r="I107" t="str">
            <v xml:space="preserve">DEVELOPEMENT OF A SB COVERING </v>
          </cell>
          <cell r="J107" t="str">
            <v xml:space="preserve">                              </v>
          </cell>
          <cell r="K107" t="str">
            <v xml:space="preserve">DASSAULT AVIATION BUSINESS SERVICES </v>
          </cell>
          <cell r="L107" t="str">
            <v>VGA</v>
          </cell>
          <cell r="M107">
            <v>44797</v>
          </cell>
          <cell r="N107">
            <v>44868</v>
          </cell>
          <cell r="O107">
            <v>2500</v>
          </cell>
          <cell r="P107">
            <v>0</v>
          </cell>
          <cell r="Q107">
            <v>1066</v>
          </cell>
          <cell r="R107">
            <v>1066</v>
          </cell>
          <cell r="S107">
            <v>0.5736</v>
          </cell>
          <cell r="T107">
            <v>0.59</v>
          </cell>
          <cell r="U107">
            <v>26.041666666666668</v>
          </cell>
          <cell r="V107">
            <v>26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2500</v>
          </cell>
          <cell r="AB107">
            <v>1066</v>
          </cell>
          <cell r="AC107">
            <v>0</v>
          </cell>
          <cell r="AD107">
            <v>0.5736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2500</v>
          </cell>
          <cell r="AZ107">
            <v>2495.1236638839041</v>
          </cell>
          <cell r="BA107">
            <v>4.8763361160958993</v>
          </cell>
          <cell r="BB107">
            <v>1066</v>
          </cell>
          <cell r="BC107">
            <v>0</v>
          </cell>
          <cell r="BD107">
            <v>1</v>
          </cell>
          <cell r="BE107">
            <v>1</v>
          </cell>
          <cell r="BF107">
            <v>0</v>
          </cell>
          <cell r="BG107">
            <v>0</v>
          </cell>
          <cell r="BH107">
            <v>0</v>
          </cell>
          <cell r="BI107">
            <v>96</v>
          </cell>
          <cell r="BJ107">
            <v>1</v>
          </cell>
          <cell r="BK107">
            <v>0</v>
          </cell>
          <cell r="BL107">
            <v>0</v>
          </cell>
          <cell r="BM107">
            <v>0</v>
          </cell>
          <cell r="BN107">
            <v>4.8763361160958993</v>
          </cell>
          <cell r="BO107">
            <v>0</v>
          </cell>
          <cell r="BP107">
            <v>4.8763361160958993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X107">
            <v>0</v>
          </cell>
          <cell r="BY107">
            <v>26</v>
          </cell>
          <cell r="BZ107">
            <v>0</v>
          </cell>
          <cell r="CA107">
            <v>0</v>
          </cell>
        </row>
        <row r="108">
          <cell r="H108" t="str">
            <v>C223477</v>
          </cell>
          <cell r="I108" t="str">
            <v xml:space="preserve">A320 MSN 1637                 </v>
          </cell>
          <cell r="J108" t="str">
            <v xml:space="preserve">                              </v>
          </cell>
          <cell r="K108" t="str">
            <v xml:space="preserve">EOLE AERO </v>
          </cell>
          <cell r="L108" t="str">
            <v>VGA</v>
          </cell>
          <cell r="M108">
            <v>44783</v>
          </cell>
          <cell r="N108">
            <v>44868</v>
          </cell>
          <cell r="O108">
            <v>5370</v>
          </cell>
          <cell r="P108">
            <v>0</v>
          </cell>
          <cell r="Q108">
            <v>3190</v>
          </cell>
          <cell r="R108">
            <v>3190</v>
          </cell>
          <cell r="S108">
            <v>0.4059590316573557</v>
          </cell>
          <cell r="T108">
            <v>0.51483240223463689</v>
          </cell>
          <cell r="U108">
            <v>45.15625</v>
          </cell>
          <cell r="V108">
            <v>50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4335</v>
          </cell>
          <cell r="AB108">
            <v>2050</v>
          </cell>
          <cell r="AC108">
            <v>0</v>
          </cell>
          <cell r="AD108">
            <v>0.5271049596309112</v>
          </cell>
          <cell r="AE108">
            <v>1035</v>
          </cell>
          <cell r="AF108">
            <v>1140</v>
          </cell>
          <cell r="AG108">
            <v>1140</v>
          </cell>
          <cell r="AH108">
            <v>0</v>
          </cell>
          <cell r="AI108">
            <v>240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-0.10144927536231885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5370</v>
          </cell>
          <cell r="AZ108">
            <v>5370</v>
          </cell>
          <cell r="BA108">
            <v>0</v>
          </cell>
          <cell r="BB108">
            <v>3190</v>
          </cell>
          <cell r="BC108">
            <v>0</v>
          </cell>
          <cell r="BD108">
            <v>1</v>
          </cell>
          <cell r="BE108">
            <v>1</v>
          </cell>
          <cell r="BF108">
            <v>0</v>
          </cell>
          <cell r="BG108">
            <v>0</v>
          </cell>
          <cell r="BH108">
            <v>0</v>
          </cell>
          <cell r="BI108">
            <v>96</v>
          </cell>
          <cell r="BJ108">
            <v>1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X108">
            <v>0</v>
          </cell>
          <cell r="BY108">
            <v>50</v>
          </cell>
          <cell r="BZ108">
            <v>0</v>
          </cell>
          <cell r="CA108">
            <v>0</v>
          </cell>
        </row>
        <row r="109">
          <cell r="H109" t="str">
            <v>C223493</v>
          </cell>
          <cell r="I109" t="str">
            <v xml:space="preserve">APPROVED SERVICE BULLETIN     </v>
          </cell>
          <cell r="J109" t="str">
            <v xml:space="preserve">                              </v>
          </cell>
          <cell r="K109" t="str">
            <v>GLOBAL JD HOLDINGS INC</v>
          </cell>
          <cell r="L109" t="str">
            <v>JFA</v>
          </cell>
          <cell r="M109">
            <v>44821</v>
          </cell>
          <cell r="N109" t="str">
            <v/>
          </cell>
          <cell r="O109">
            <v>32995</v>
          </cell>
          <cell r="P109">
            <v>0</v>
          </cell>
          <cell r="Q109">
            <v>15560</v>
          </cell>
          <cell r="R109">
            <v>15560</v>
          </cell>
          <cell r="S109">
            <v>0.52841339596908621</v>
          </cell>
          <cell r="T109">
            <v>0.56016638884679504</v>
          </cell>
          <cell r="U109">
            <v>304.70999999999998</v>
          </cell>
          <cell r="V109">
            <v>360</v>
          </cell>
          <cell r="W109">
            <v>16</v>
          </cell>
          <cell r="X109">
            <v>0</v>
          </cell>
          <cell r="Y109">
            <v>0</v>
          </cell>
          <cell r="Z109">
            <v>0</v>
          </cell>
          <cell r="AA109">
            <v>30471</v>
          </cell>
          <cell r="AB109">
            <v>15560</v>
          </cell>
          <cell r="AC109">
            <v>0</v>
          </cell>
          <cell r="AD109">
            <v>0.48935053001214268</v>
          </cell>
          <cell r="AE109">
            <v>2524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1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20050</v>
          </cell>
          <cell r="AZ109">
            <v>4038.2607439276944</v>
          </cell>
          <cell r="BA109">
            <v>28956.739256072306</v>
          </cell>
          <cell r="BB109">
            <v>15560</v>
          </cell>
          <cell r="BC109">
            <v>0</v>
          </cell>
          <cell r="BD109">
            <v>1</v>
          </cell>
          <cell r="BE109">
            <v>0.60766782845885736</v>
          </cell>
          <cell r="BF109">
            <v>0</v>
          </cell>
          <cell r="BG109">
            <v>12945.000000000002</v>
          </cell>
          <cell r="BH109">
            <v>0</v>
          </cell>
          <cell r="BI109">
            <v>96</v>
          </cell>
          <cell r="BJ109">
            <v>1</v>
          </cell>
          <cell r="BK109">
            <v>0</v>
          </cell>
          <cell r="BL109">
            <v>0</v>
          </cell>
          <cell r="BM109">
            <v>0</v>
          </cell>
          <cell r="BN109">
            <v>28956.739256072306</v>
          </cell>
          <cell r="BO109">
            <v>13469</v>
          </cell>
          <cell r="BP109">
            <v>15487.739256072306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X109">
            <v>0</v>
          </cell>
          <cell r="BY109">
            <v>376</v>
          </cell>
          <cell r="BZ109">
            <v>16</v>
          </cell>
          <cell r="CA109">
            <v>0</v>
          </cell>
        </row>
        <row r="110">
          <cell r="H110" t="str">
            <v>C223495</v>
          </cell>
          <cell r="I110" t="str">
            <v>ANTENNA INST. STC MODIFICATION</v>
          </cell>
          <cell r="J110" t="str">
            <v xml:space="preserve">                              </v>
          </cell>
          <cell r="K110" t="str">
            <v>ASIQ PTY LTD</v>
          </cell>
          <cell r="L110" t="str">
            <v>JFA</v>
          </cell>
          <cell r="M110">
            <v>44951</v>
          </cell>
          <cell r="N110">
            <v>45107</v>
          </cell>
          <cell r="O110">
            <v>44322</v>
          </cell>
          <cell r="P110">
            <v>0</v>
          </cell>
          <cell r="Q110">
            <v>19012.559999999998</v>
          </cell>
          <cell r="R110">
            <v>19012.559999999998</v>
          </cell>
          <cell r="S110">
            <v>0.57103560308650336</v>
          </cell>
          <cell r="T110">
            <v>0.45297820495465008</v>
          </cell>
          <cell r="U110">
            <v>287.5</v>
          </cell>
          <cell r="V110">
            <v>59</v>
          </cell>
          <cell r="W110">
            <v>109</v>
          </cell>
          <cell r="X110">
            <v>0</v>
          </cell>
          <cell r="Y110">
            <v>0</v>
          </cell>
          <cell r="Z110">
            <v>0</v>
          </cell>
          <cell r="AA110">
            <v>28750</v>
          </cell>
          <cell r="AB110">
            <v>8205</v>
          </cell>
          <cell r="AC110">
            <v>0</v>
          </cell>
          <cell r="AD110">
            <v>0.71460869565217389</v>
          </cell>
          <cell r="AE110">
            <v>15572</v>
          </cell>
          <cell r="AF110">
            <v>685</v>
          </cell>
          <cell r="AG110">
            <v>685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10061.299999999999</v>
          </cell>
          <cell r="AN110">
            <v>10061.299999999999</v>
          </cell>
          <cell r="AO110">
            <v>0</v>
          </cell>
          <cell r="AP110">
            <v>0</v>
          </cell>
          <cell r="AQ110">
            <v>0</v>
          </cell>
          <cell r="AR110">
            <v>0.30989596712047274</v>
          </cell>
          <cell r="AS110">
            <v>0</v>
          </cell>
          <cell r="AT110">
            <v>61.26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44322</v>
          </cell>
          <cell r="AZ110">
            <v>0</v>
          </cell>
          <cell r="BA110">
            <v>44322</v>
          </cell>
          <cell r="BB110">
            <v>19012.559999999998</v>
          </cell>
          <cell r="BC110">
            <v>0</v>
          </cell>
          <cell r="BD110">
            <v>1</v>
          </cell>
          <cell r="BE110">
            <v>1</v>
          </cell>
          <cell r="BF110">
            <v>0</v>
          </cell>
          <cell r="BG110">
            <v>0</v>
          </cell>
          <cell r="BH110">
            <v>0</v>
          </cell>
          <cell r="BI110">
            <v>96</v>
          </cell>
          <cell r="BJ110">
            <v>1</v>
          </cell>
          <cell r="BK110">
            <v>0</v>
          </cell>
          <cell r="BL110">
            <v>0</v>
          </cell>
          <cell r="BM110">
            <v>0</v>
          </cell>
          <cell r="BN110">
            <v>44322</v>
          </cell>
          <cell r="BO110">
            <v>19012.559999999998</v>
          </cell>
          <cell r="BP110">
            <v>25309.440000000002</v>
          </cell>
          <cell r="BQ110">
            <v>44322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X110">
            <v>0</v>
          </cell>
          <cell r="BY110">
            <v>168</v>
          </cell>
          <cell r="BZ110">
            <v>109</v>
          </cell>
          <cell r="CA110">
            <v>746.26</v>
          </cell>
        </row>
        <row r="111">
          <cell r="H111" t="str">
            <v>C223496</v>
          </cell>
          <cell r="I111" t="str">
            <v xml:space="preserve">DEVELOPMENT OF A318 SB        </v>
          </cell>
          <cell r="J111" t="str">
            <v xml:space="preserve">                              </v>
          </cell>
          <cell r="K111" t="str">
            <v>AIRBUS SAS</v>
          </cell>
          <cell r="L111" t="str">
            <v>VSE</v>
          </cell>
          <cell r="M111">
            <v>44917</v>
          </cell>
          <cell r="N111">
            <v>45016</v>
          </cell>
          <cell r="O111">
            <v>8318.5982349999995</v>
          </cell>
          <cell r="P111">
            <v>0</v>
          </cell>
          <cell r="Q111">
            <v>3336.5</v>
          </cell>
          <cell r="R111">
            <v>3336.5</v>
          </cell>
          <cell r="S111">
            <v>0.59891078932483144</v>
          </cell>
          <cell r="T111">
            <v>0.59</v>
          </cell>
          <cell r="U111">
            <v>83</v>
          </cell>
          <cell r="V111">
            <v>76.5</v>
          </cell>
          <cell r="W111">
            <v>4</v>
          </cell>
          <cell r="X111">
            <v>0</v>
          </cell>
          <cell r="Y111">
            <v>0</v>
          </cell>
          <cell r="Z111">
            <v>0</v>
          </cell>
          <cell r="AA111">
            <v>8318.5982349999995</v>
          </cell>
          <cell r="AB111">
            <v>3336.5</v>
          </cell>
          <cell r="AC111">
            <v>0</v>
          </cell>
          <cell r="AD111">
            <v>0.59891078932483144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8104.9100000000008</v>
          </cell>
          <cell r="AZ111">
            <v>0</v>
          </cell>
          <cell r="BA111">
            <v>8318.5982349999995</v>
          </cell>
          <cell r="BB111">
            <v>3336.5</v>
          </cell>
          <cell r="BC111">
            <v>0</v>
          </cell>
          <cell r="BD111">
            <v>1</v>
          </cell>
          <cell r="BE111">
            <v>0.97431198995752455</v>
          </cell>
          <cell r="BF111">
            <v>0</v>
          </cell>
          <cell r="BG111">
            <v>213.68823499999854</v>
          </cell>
          <cell r="BH111">
            <v>0</v>
          </cell>
          <cell r="BI111">
            <v>96</v>
          </cell>
          <cell r="BJ111">
            <v>1</v>
          </cell>
          <cell r="BK111">
            <v>0</v>
          </cell>
          <cell r="BL111">
            <v>0</v>
          </cell>
          <cell r="BM111">
            <v>0</v>
          </cell>
          <cell r="BN111">
            <v>8318.5982349999995</v>
          </cell>
          <cell r="BO111">
            <v>3336.5</v>
          </cell>
          <cell r="BP111">
            <v>4982.0982349999995</v>
          </cell>
          <cell r="BQ111">
            <v>6297.34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X111">
            <v>0</v>
          </cell>
          <cell r="BY111">
            <v>80.5</v>
          </cell>
          <cell r="BZ111">
            <v>4</v>
          </cell>
          <cell r="CA111">
            <v>0</v>
          </cell>
        </row>
        <row r="112">
          <cell r="H112" t="str">
            <v>C223504</v>
          </cell>
          <cell r="I112" t="str">
            <v xml:space="preserve">PRÉ-ETUDE                     </v>
          </cell>
          <cell r="J112" t="str">
            <v xml:space="preserve">                              </v>
          </cell>
          <cell r="K112" t="str">
            <v xml:space="preserve">HELIDAX </v>
          </cell>
          <cell r="L112" t="str">
            <v>LJA</v>
          </cell>
          <cell r="M112">
            <v>44817</v>
          </cell>
          <cell r="N112">
            <v>44932</v>
          </cell>
          <cell r="O112">
            <v>1200</v>
          </cell>
          <cell r="P112">
            <v>0</v>
          </cell>
          <cell r="Q112">
            <v>164</v>
          </cell>
          <cell r="R112">
            <v>164</v>
          </cell>
          <cell r="S112">
            <v>0.86333333333333329</v>
          </cell>
          <cell r="T112">
            <v>0.59</v>
          </cell>
          <cell r="U112">
            <v>12.5</v>
          </cell>
          <cell r="V112">
            <v>4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1200</v>
          </cell>
          <cell r="AB112">
            <v>164</v>
          </cell>
          <cell r="AC112">
            <v>0</v>
          </cell>
          <cell r="AD112">
            <v>0.86333333333333329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1200</v>
          </cell>
          <cell r="AZ112">
            <v>1200</v>
          </cell>
          <cell r="BA112">
            <v>0</v>
          </cell>
          <cell r="BB112">
            <v>164</v>
          </cell>
          <cell r="BC112">
            <v>0</v>
          </cell>
          <cell r="BD112">
            <v>1</v>
          </cell>
          <cell r="BE112">
            <v>1</v>
          </cell>
          <cell r="BF112">
            <v>0</v>
          </cell>
          <cell r="BG112">
            <v>0</v>
          </cell>
          <cell r="BH112">
            <v>0</v>
          </cell>
          <cell r="BI112">
            <v>96</v>
          </cell>
          <cell r="BJ112">
            <v>1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X112">
            <v>0</v>
          </cell>
          <cell r="BY112">
            <v>4</v>
          </cell>
          <cell r="BZ112">
            <v>0</v>
          </cell>
          <cell r="CA112">
            <v>0</v>
          </cell>
        </row>
        <row r="113">
          <cell r="H113" t="str">
            <v>C223508</v>
          </cell>
          <cell r="I113" t="str">
            <v xml:space="preserve">DOSSIER MODIFIVCATION NACELLE </v>
          </cell>
          <cell r="J113" t="str">
            <v xml:space="preserve">                              </v>
          </cell>
          <cell r="K113" t="str">
            <v xml:space="preserve">RESEAUX TRANSPORT ELECTRICITE </v>
          </cell>
          <cell r="L113" t="str">
            <v>LJA</v>
          </cell>
          <cell r="M113">
            <v>44880</v>
          </cell>
          <cell r="N113">
            <v>44915</v>
          </cell>
          <cell r="O113">
            <v>21241.200000000001</v>
          </cell>
          <cell r="P113">
            <v>0</v>
          </cell>
          <cell r="Q113">
            <v>12402.42</v>
          </cell>
          <cell r="R113">
            <v>12402.42</v>
          </cell>
          <cell r="S113">
            <v>0.4161149087622168</v>
          </cell>
          <cell r="T113">
            <v>0.38033726908084287</v>
          </cell>
          <cell r="U113">
            <v>102.3125</v>
          </cell>
          <cell r="V113">
            <v>102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9822</v>
          </cell>
          <cell r="AB113">
            <v>4182</v>
          </cell>
          <cell r="AC113">
            <v>0</v>
          </cell>
          <cell r="AD113">
            <v>0.57422113622480153</v>
          </cell>
          <cell r="AE113">
            <v>11419.2</v>
          </cell>
          <cell r="AF113">
            <v>8220.42</v>
          </cell>
          <cell r="AG113">
            <v>8220.42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0.2801229508196722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21241.200000000001</v>
          </cell>
          <cell r="AZ113">
            <v>14116.598483204853</v>
          </cell>
          <cell r="BA113">
            <v>7124.6015167951482</v>
          </cell>
          <cell r="BB113">
            <v>12402.42</v>
          </cell>
          <cell r="BC113">
            <v>0</v>
          </cell>
          <cell r="BD113">
            <v>1</v>
          </cell>
          <cell r="BE113">
            <v>1</v>
          </cell>
          <cell r="BF113">
            <v>0</v>
          </cell>
          <cell r="BG113">
            <v>0</v>
          </cell>
          <cell r="BH113">
            <v>0</v>
          </cell>
          <cell r="BI113">
            <v>96</v>
          </cell>
          <cell r="BJ113">
            <v>1</v>
          </cell>
          <cell r="BK113">
            <v>0</v>
          </cell>
          <cell r="BL113">
            <v>0</v>
          </cell>
          <cell r="BM113">
            <v>0</v>
          </cell>
          <cell r="BN113">
            <v>7124.6015167951482</v>
          </cell>
          <cell r="BO113">
            <v>4107.34</v>
          </cell>
          <cell r="BP113">
            <v>3017.2615167951481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X113">
            <v>0</v>
          </cell>
          <cell r="BY113">
            <v>102</v>
          </cell>
          <cell r="BZ113">
            <v>0</v>
          </cell>
          <cell r="CA113">
            <v>4107.34</v>
          </cell>
        </row>
        <row r="114">
          <cell r="H114" t="str">
            <v>C223511</v>
          </cell>
          <cell r="I114" t="str">
            <v xml:space="preserve">MODIFICATION : DEACTIVATION   </v>
          </cell>
          <cell r="J114" t="str">
            <v xml:space="preserve">                              </v>
          </cell>
          <cell r="K114" t="str">
            <v>AIR ASTANA</v>
          </cell>
          <cell r="L114" t="str">
            <v>VSE</v>
          </cell>
          <cell r="M114">
            <v>44887</v>
          </cell>
          <cell r="N114">
            <v>44959</v>
          </cell>
          <cell r="O114">
            <v>4700</v>
          </cell>
          <cell r="P114">
            <v>0</v>
          </cell>
          <cell r="Q114">
            <v>1066</v>
          </cell>
          <cell r="R114">
            <v>1066</v>
          </cell>
          <cell r="S114">
            <v>0.77319148936170212</v>
          </cell>
          <cell r="T114">
            <v>0.59</v>
          </cell>
          <cell r="U114">
            <v>48.958333333333336</v>
          </cell>
          <cell r="V114">
            <v>26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4700</v>
          </cell>
          <cell r="AB114">
            <v>1066</v>
          </cell>
          <cell r="AC114">
            <v>0</v>
          </cell>
          <cell r="AD114">
            <v>0.77319148936170212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4700</v>
          </cell>
          <cell r="AZ114">
            <v>0</v>
          </cell>
          <cell r="BA114">
            <v>4700</v>
          </cell>
          <cell r="BB114">
            <v>1066</v>
          </cell>
          <cell r="BC114">
            <v>0</v>
          </cell>
          <cell r="BD114">
            <v>1</v>
          </cell>
          <cell r="BE114">
            <v>1</v>
          </cell>
          <cell r="BF114">
            <v>0</v>
          </cell>
          <cell r="BG114">
            <v>0</v>
          </cell>
          <cell r="BH114">
            <v>0</v>
          </cell>
          <cell r="BI114">
            <v>96</v>
          </cell>
          <cell r="BJ114">
            <v>1</v>
          </cell>
          <cell r="BK114">
            <v>0</v>
          </cell>
          <cell r="BL114">
            <v>0</v>
          </cell>
          <cell r="BM114">
            <v>0</v>
          </cell>
          <cell r="BN114">
            <v>4700</v>
          </cell>
          <cell r="BO114">
            <v>1066</v>
          </cell>
          <cell r="BP114">
            <v>3634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X114">
            <v>0</v>
          </cell>
          <cell r="BY114">
            <v>26</v>
          </cell>
          <cell r="BZ114">
            <v>0</v>
          </cell>
          <cell r="CA114">
            <v>0</v>
          </cell>
        </row>
        <row r="115">
          <cell r="H115" t="str">
            <v>C223521</v>
          </cell>
          <cell r="I115" t="str">
            <v xml:space="preserve">SB LIVERY A350 THY            </v>
          </cell>
          <cell r="J115" t="str">
            <v xml:space="preserve">                              </v>
          </cell>
          <cell r="K115" t="str">
            <v>AIRBUS SAS</v>
          </cell>
          <cell r="L115" t="str">
            <v>JFA</v>
          </cell>
          <cell r="M115">
            <v>44855</v>
          </cell>
          <cell r="N115">
            <v>44959</v>
          </cell>
          <cell r="O115">
            <v>177196.26000000004</v>
          </cell>
          <cell r="P115">
            <v>-3532.9979999999923</v>
          </cell>
          <cell r="Q115">
            <v>156687.90525399998</v>
          </cell>
          <cell r="R115">
            <v>156687.9</v>
          </cell>
          <cell r="S115">
            <v>0.11573807904297784</v>
          </cell>
          <cell r="T115">
            <v>0.20455110409745678</v>
          </cell>
          <cell r="U115">
            <v>206</v>
          </cell>
          <cell r="V115">
            <v>201.5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2067.7913460000418</v>
          </cell>
          <cell r="AB115">
            <v>8261.5</v>
          </cell>
          <cell r="AC115">
            <v>0</v>
          </cell>
          <cell r="AD115">
            <v>-2.9953257450182948</v>
          </cell>
          <cell r="AE115">
            <v>175128.468654</v>
          </cell>
          <cell r="AF115">
            <v>148426.40525399998</v>
          </cell>
          <cell r="AG115">
            <v>148426.4</v>
          </cell>
          <cell r="AH115">
            <v>5.2539999887812883E-3</v>
          </cell>
          <cell r="AI115">
            <v>6429.4900000000016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0.15247128924969411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177196.26000000004</v>
          </cell>
          <cell r="AZ115">
            <v>194861.24728561105</v>
          </cell>
          <cell r="BA115">
            <v>-17664.993227289437</v>
          </cell>
          <cell r="BB115">
            <v>156687.9</v>
          </cell>
          <cell r="BC115">
            <v>5.2539999887812883E-3</v>
          </cell>
          <cell r="BD115">
            <v>0.99999996646837563</v>
          </cell>
          <cell r="BE115">
            <v>1</v>
          </cell>
          <cell r="BF115">
            <v>-5.9416784293861696E-3</v>
          </cell>
          <cell r="BG115">
            <v>0</v>
          </cell>
          <cell r="BH115">
            <v>0</v>
          </cell>
          <cell r="BI115">
            <v>96</v>
          </cell>
          <cell r="BJ115">
            <v>0.99999996646837563</v>
          </cell>
          <cell r="BK115">
            <v>0</v>
          </cell>
          <cell r="BL115">
            <v>0</v>
          </cell>
          <cell r="BM115">
            <v>0</v>
          </cell>
          <cell r="BN115">
            <v>-17664.993227289437</v>
          </cell>
          <cell r="BO115">
            <v>820</v>
          </cell>
          <cell r="BP115">
            <v>-18484.993227289437</v>
          </cell>
          <cell r="BQ115">
            <v>118737.88000000003</v>
          </cell>
          <cell r="BR115">
            <v>-3532.9978815328213</v>
          </cell>
          <cell r="BS115">
            <v>0</v>
          </cell>
          <cell r="BT115">
            <v>-3532.9978815328213</v>
          </cell>
          <cell r="BU115">
            <v>0</v>
          </cell>
          <cell r="BV115">
            <v>0</v>
          </cell>
          <cell r="BX115">
            <v>5.9416784206405282E-3</v>
          </cell>
          <cell r="BY115">
            <v>201.5</v>
          </cell>
          <cell r="BZ115">
            <v>0</v>
          </cell>
          <cell r="CA115">
            <v>0</v>
          </cell>
        </row>
        <row r="116">
          <cell r="H116" t="str">
            <v>C223526</v>
          </cell>
          <cell r="I116" t="str">
            <v xml:space="preserve">F7X cabin refurbishment       </v>
          </cell>
          <cell r="J116" t="str">
            <v xml:space="preserve">                              </v>
          </cell>
          <cell r="K116" t="str">
            <v xml:space="preserve">JV AEROSERVICES </v>
          </cell>
          <cell r="L116" t="str">
            <v>FDE</v>
          </cell>
          <cell r="M116">
            <v>44852</v>
          </cell>
          <cell r="N116">
            <v>45007</v>
          </cell>
          <cell r="O116">
            <v>33300</v>
          </cell>
          <cell r="P116">
            <v>0</v>
          </cell>
          <cell r="Q116">
            <v>15435.25</v>
          </cell>
          <cell r="R116">
            <v>15435.25</v>
          </cell>
          <cell r="S116">
            <v>0.536478978978979</v>
          </cell>
          <cell r="T116">
            <v>0.59</v>
          </cell>
          <cell r="U116">
            <v>338.5</v>
          </cell>
          <cell r="V116">
            <v>375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33300</v>
          </cell>
          <cell r="AB116">
            <v>15375</v>
          </cell>
          <cell r="AC116">
            <v>0</v>
          </cell>
          <cell r="AD116">
            <v>0.53828828828828823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60.25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33300</v>
          </cell>
          <cell r="AZ116">
            <v>26381.238312902558</v>
          </cell>
          <cell r="BA116">
            <v>6918.7616870974416</v>
          </cell>
          <cell r="BB116">
            <v>15435.25</v>
          </cell>
          <cell r="BC116">
            <v>0</v>
          </cell>
          <cell r="BD116">
            <v>1</v>
          </cell>
          <cell r="BE116">
            <v>1</v>
          </cell>
          <cell r="BF116">
            <v>0</v>
          </cell>
          <cell r="BG116">
            <v>0</v>
          </cell>
          <cell r="BH116">
            <v>0</v>
          </cell>
          <cell r="BI116">
            <v>96</v>
          </cell>
          <cell r="BJ116">
            <v>1</v>
          </cell>
          <cell r="BK116">
            <v>0</v>
          </cell>
          <cell r="BL116">
            <v>0</v>
          </cell>
          <cell r="BM116">
            <v>0</v>
          </cell>
          <cell r="BN116">
            <v>6918.7616870974416</v>
          </cell>
          <cell r="BO116">
            <v>3996.25</v>
          </cell>
          <cell r="BP116">
            <v>2922.5116870974416</v>
          </cell>
          <cell r="BQ116">
            <v>16650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X116">
            <v>0</v>
          </cell>
          <cell r="BY116">
            <v>375</v>
          </cell>
          <cell r="BZ116">
            <v>0</v>
          </cell>
          <cell r="CA116">
            <v>60.25</v>
          </cell>
        </row>
        <row r="117">
          <cell r="H117" t="str">
            <v>C223527</v>
          </cell>
          <cell r="I117" t="str">
            <v xml:space="preserve">MSN 35137 (F-HUYR)            </v>
          </cell>
          <cell r="J117" t="str">
            <v xml:space="preserve">                              </v>
          </cell>
          <cell r="K117" t="str">
            <v>TRANSAVIA FRANCE</v>
          </cell>
          <cell r="L117" t="str">
            <v>VGA</v>
          </cell>
          <cell r="M117">
            <v>44833</v>
          </cell>
          <cell r="N117">
            <v>44952</v>
          </cell>
          <cell r="O117">
            <v>10450</v>
          </cell>
          <cell r="P117">
            <v>0</v>
          </cell>
          <cell r="Q117">
            <v>5270</v>
          </cell>
          <cell r="R117">
            <v>5270</v>
          </cell>
          <cell r="S117">
            <v>0.49569377990430619</v>
          </cell>
          <cell r="T117">
            <v>0.59</v>
          </cell>
          <cell r="U117">
            <v>109</v>
          </cell>
          <cell r="V117">
            <v>120</v>
          </cell>
          <cell r="W117">
            <v>7</v>
          </cell>
          <cell r="X117">
            <v>0</v>
          </cell>
          <cell r="Y117">
            <v>0</v>
          </cell>
          <cell r="Z117">
            <v>0</v>
          </cell>
          <cell r="AA117">
            <v>10450</v>
          </cell>
          <cell r="AB117">
            <v>5270</v>
          </cell>
          <cell r="AC117">
            <v>0</v>
          </cell>
          <cell r="AD117">
            <v>0.49569377990430619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10450</v>
          </cell>
          <cell r="AZ117">
            <v>10450</v>
          </cell>
          <cell r="BA117">
            <v>0</v>
          </cell>
          <cell r="BB117">
            <v>5270</v>
          </cell>
          <cell r="BC117">
            <v>0</v>
          </cell>
          <cell r="BD117">
            <v>1</v>
          </cell>
          <cell r="BE117">
            <v>1</v>
          </cell>
          <cell r="BF117">
            <v>0</v>
          </cell>
          <cell r="BG117">
            <v>0</v>
          </cell>
          <cell r="BH117">
            <v>0</v>
          </cell>
          <cell r="BI117">
            <v>96</v>
          </cell>
          <cell r="BJ117">
            <v>1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10450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X117">
            <v>0</v>
          </cell>
          <cell r="BY117">
            <v>127</v>
          </cell>
          <cell r="BZ117">
            <v>0</v>
          </cell>
          <cell r="CA117">
            <v>0</v>
          </cell>
        </row>
        <row r="118">
          <cell r="H118" t="str">
            <v>C223531</v>
          </cell>
          <cell r="I118" t="str">
            <v xml:space="preserve">INSTALLATION IP501 ICOM       </v>
          </cell>
          <cell r="J118" t="str">
            <v xml:space="preserve">22101                         </v>
          </cell>
          <cell r="K118" t="str">
            <v>ROTOR TEAM</v>
          </cell>
          <cell r="L118" t="str">
            <v>LJA</v>
          </cell>
          <cell r="M118">
            <v>44827</v>
          </cell>
          <cell r="N118" t="str">
            <v/>
          </cell>
          <cell r="O118">
            <v>17895</v>
          </cell>
          <cell r="P118">
            <v>0</v>
          </cell>
          <cell r="Q118">
            <v>15032.420000000002</v>
          </cell>
          <cell r="R118">
            <v>15032.420000000002</v>
          </cell>
          <cell r="S118">
            <v>0.15996535345068441</v>
          </cell>
          <cell r="T118">
            <v>0.35255658005029339</v>
          </cell>
          <cell r="U118">
            <v>73</v>
          </cell>
          <cell r="V118">
            <v>13</v>
          </cell>
          <cell r="W118">
            <v>72.100000000000023</v>
          </cell>
          <cell r="X118">
            <v>0</v>
          </cell>
          <cell r="Y118">
            <v>3</v>
          </cell>
          <cell r="Z118">
            <v>0</v>
          </cell>
          <cell r="AA118">
            <v>7000</v>
          </cell>
          <cell r="AB118">
            <v>4138.0000000000009</v>
          </cell>
          <cell r="AC118">
            <v>0</v>
          </cell>
          <cell r="AD118">
            <v>0.4088571428571427</v>
          </cell>
          <cell r="AE118">
            <v>10895</v>
          </cell>
          <cell r="AF118">
            <v>10894.42</v>
          </cell>
          <cell r="AG118">
            <v>10894.42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5.3235429095854769E-5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17588.797303568273</v>
          </cell>
          <cell r="BA118">
            <v>306.20269643172651</v>
          </cell>
          <cell r="BB118">
            <v>15032.420000000002</v>
          </cell>
          <cell r="BC118">
            <v>0</v>
          </cell>
          <cell r="BD118">
            <v>1</v>
          </cell>
          <cell r="BE118">
            <v>0</v>
          </cell>
          <cell r="BF118">
            <v>0</v>
          </cell>
          <cell r="BG118">
            <v>17895</v>
          </cell>
          <cell r="BH118">
            <v>0</v>
          </cell>
          <cell r="BI118">
            <v>96</v>
          </cell>
          <cell r="BJ118">
            <v>1</v>
          </cell>
          <cell r="BK118">
            <v>0</v>
          </cell>
          <cell r="BL118">
            <v>-142.5</v>
          </cell>
          <cell r="BM118">
            <v>0</v>
          </cell>
          <cell r="BN118">
            <v>306.20269643172651</v>
          </cell>
          <cell r="BO118">
            <v>672</v>
          </cell>
          <cell r="BP118">
            <v>-365.79730356827349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X118">
            <v>0</v>
          </cell>
          <cell r="BY118">
            <v>85.100000000000023</v>
          </cell>
          <cell r="BZ118">
            <v>7.7000000000000028</v>
          </cell>
          <cell r="CA118">
            <v>0</v>
          </cell>
        </row>
        <row r="119">
          <cell r="H119" t="str">
            <v>C223535</v>
          </cell>
          <cell r="I119" t="str">
            <v xml:space="preserve">SB FOR J11 PROJECT            </v>
          </cell>
          <cell r="J119" t="str">
            <v xml:space="preserve">                              </v>
          </cell>
          <cell r="K119" t="str">
            <v xml:space="preserve">SAFRAN CABIN FRANCE </v>
          </cell>
          <cell r="L119" t="str">
            <v>VGA</v>
          </cell>
          <cell r="M119">
            <v>44848</v>
          </cell>
          <cell r="N119">
            <v>44952</v>
          </cell>
          <cell r="O119">
            <v>14700</v>
          </cell>
          <cell r="P119">
            <v>0</v>
          </cell>
          <cell r="Q119">
            <v>6252.5</v>
          </cell>
          <cell r="R119">
            <v>6252.5</v>
          </cell>
          <cell r="S119">
            <v>0.57465986394557822</v>
          </cell>
          <cell r="T119">
            <v>0.59</v>
          </cell>
          <cell r="U119">
            <v>151</v>
          </cell>
          <cell r="V119">
            <v>152.5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14700</v>
          </cell>
          <cell r="AB119">
            <v>6252.5</v>
          </cell>
          <cell r="AC119">
            <v>0</v>
          </cell>
          <cell r="AD119">
            <v>0.57465986394557822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14700</v>
          </cell>
          <cell r="AZ119">
            <v>14700</v>
          </cell>
          <cell r="BA119">
            <v>0</v>
          </cell>
          <cell r="BB119">
            <v>6252.5</v>
          </cell>
          <cell r="BC119">
            <v>0</v>
          </cell>
          <cell r="BD119">
            <v>1</v>
          </cell>
          <cell r="BE119">
            <v>1</v>
          </cell>
          <cell r="BF119">
            <v>0</v>
          </cell>
          <cell r="BG119">
            <v>0</v>
          </cell>
          <cell r="BH119">
            <v>0</v>
          </cell>
          <cell r="BI119">
            <v>96</v>
          </cell>
          <cell r="BJ119">
            <v>1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7350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X119">
            <v>0</v>
          </cell>
          <cell r="BY119">
            <v>152.5</v>
          </cell>
          <cell r="BZ119">
            <v>0</v>
          </cell>
          <cell r="CA119">
            <v>0</v>
          </cell>
        </row>
        <row r="120">
          <cell r="H120" t="str">
            <v>C223542</v>
          </cell>
          <cell r="I120" t="str">
            <v xml:space="preserve">REPAIR MANUAL RADOME KODIAK   </v>
          </cell>
          <cell r="J120" t="str">
            <v xml:space="preserve">                              </v>
          </cell>
          <cell r="K120" t="str">
            <v>LMO FLY DYNAMICS DEVELOPMENT</v>
          </cell>
          <cell r="L120" t="str">
            <v>PRO</v>
          </cell>
          <cell r="M120">
            <v>44939</v>
          </cell>
          <cell r="N120">
            <v>45203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1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96</v>
          </cell>
          <cell r="BJ120">
            <v>1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</row>
        <row r="121">
          <cell r="H121" t="str">
            <v>C223547</v>
          </cell>
          <cell r="I121" t="str">
            <v xml:space="preserve">HEURES                        </v>
          </cell>
          <cell r="J121" t="str">
            <v xml:space="preserve">                              </v>
          </cell>
          <cell r="K121" t="str">
            <v>DGAC</v>
          </cell>
          <cell r="L121" t="str">
            <v>JFA</v>
          </cell>
          <cell r="M121">
            <v>45082</v>
          </cell>
          <cell r="N121" t="str">
            <v/>
          </cell>
          <cell r="O121">
            <v>254655.337813327</v>
          </cell>
          <cell r="P121">
            <v>15764.418559999991</v>
          </cell>
          <cell r="Q121">
            <v>395403.83495400002</v>
          </cell>
          <cell r="R121">
            <v>380413.99</v>
          </cell>
          <cell r="S121">
            <v>-0.55270193175313498</v>
          </cell>
          <cell r="T121">
            <v>0.48092448511403679</v>
          </cell>
          <cell r="U121">
            <v>6063.38</v>
          </cell>
          <cell r="V121">
            <v>5692.38</v>
          </cell>
          <cell r="W121">
            <v>371</v>
          </cell>
          <cell r="X121">
            <v>0</v>
          </cell>
          <cell r="Y121">
            <v>0</v>
          </cell>
          <cell r="Z121">
            <v>359.40999999999985</v>
          </cell>
          <cell r="AA121">
            <v>183433.12732500001</v>
          </cell>
          <cell r="AB121">
            <v>251937.58000000002</v>
          </cell>
          <cell r="AC121">
            <v>0</v>
          </cell>
          <cell r="AD121">
            <v>-0.37345736658366158</v>
          </cell>
          <cell r="AE121">
            <v>65363.400478327007</v>
          </cell>
          <cell r="AF121">
            <v>124383.25495400002</v>
          </cell>
          <cell r="AG121">
            <v>109875.65</v>
          </cell>
          <cell r="AH121">
            <v>14507.604954000024</v>
          </cell>
          <cell r="AI121">
            <v>17093.72</v>
          </cell>
          <cell r="AJ121">
            <v>0</v>
          </cell>
          <cell r="AK121">
            <v>0</v>
          </cell>
          <cell r="AL121">
            <v>7517.9499999999825</v>
          </cell>
          <cell r="AM121">
            <v>7933.9800000000014</v>
          </cell>
          <cell r="AN121">
            <v>7451.74</v>
          </cell>
          <cell r="AO121">
            <v>0</v>
          </cell>
          <cell r="AP121">
            <v>0</v>
          </cell>
          <cell r="AQ121">
            <v>0</v>
          </cell>
          <cell r="AR121">
            <v>-1.0243321795639035</v>
          </cell>
          <cell r="AS121">
            <v>5858.8100099999983</v>
          </cell>
          <cell r="AT121">
            <v>11149.019999999997</v>
          </cell>
          <cell r="AU121">
            <v>0</v>
          </cell>
          <cell r="AV121">
            <v>0</v>
          </cell>
          <cell r="AW121">
            <v>1940.5699999999997</v>
          </cell>
          <cell r="AX121">
            <v>-0.90294957183634628</v>
          </cell>
          <cell r="AY121">
            <v>145010.10999999999</v>
          </cell>
          <cell r="AZ121">
            <v>243.04</v>
          </cell>
          <cell r="BA121">
            <v>244758.25884586386</v>
          </cell>
          <cell r="BB121">
            <v>380413.99</v>
          </cell>
          <cell r="BC121">
            <v>14989.844954000027</v>
          </cell>
          <cell r="BD121">
            <v>0.96208978358607999</v>
          </cell>
          <cell r="BE121">
            <v>0.56943675811067607</v>
          </cell>
          <cell r="BF121">
            <v>0</v>
          </cell>
          <cell r="BG121">
            <v>99991.188845863886</v>
          </cell>
          <cell r="BH121">
            <v>0</v>
          </cell>
          <cell r="BI121">
            <v>96</v>
          </cell>
          <cell r="BJ121">
            <v>0.96208978358607999</v>
          </cell>
          <cell r="BK121">
            <v>-1.1823431123048067E-11</v>
          </cell>
          <cell r="BL121">
            <v>24734.329999999965</v>
          </cell>
          <cell r="BM121">
            <v>2.1157186383936599E-2</v>
          </cell>
          <cell r="BN121">
            <v>244758.25884586386</v>
          </cell>
          <cell r="BO121">
            <v>380085.99</v>
          </cell>
          <cell r="BP121">
            <v>-135327.73115413613</v>
          </cell>
          <cell r="BQ121">
            <v>145010.10999999999</v>
          </cell>
          <cell r="BR121">
            <v>20221.045744823379</v>
          </cell>
          <cell r="BS121">
            <v>31638.969999999972</v>
          </cell>
          <cell r="BT121">
            <v>-11417.924255176593</v>
          </cell>
          <cell r="BU121">
            <v>145010.10999999999</v>
          </cell>
          <cell r="BV121">
            <v>0</v>
          </cell>
          <cell r="BX121">
            <v>9654.0389674631297</v>
          </cell>
          <cell r="BY121">
            <v>5908.47</v>
          </cell>
          <cell r="BZ121">
            <v>371</v>
          </cell>
          <cell r="CA121">
            <v>121024.66999999998</v>
          </cell>
        </row>
        <row r="122">
          <cell r="H122" t="str">
            <v>C223549</v>
          </cell>
          <cell r="I122" t="str">
            <v xml:space="preserve">DEVELOPMENT OF A MINOR MOD    </v>
          </cell>
          <cell r="J122" t="str">
            <v xml:space="preserve">23019                         </v>
          </cell>
          <cell r="K122" t="str">
            <v xml:space="preserve">AIR CORSICA </v>
          </cell>
          <cell r="L122" t="str">
            <v>VGA</v>
          </cell>
          <cell r="M122">
            <v>44984</v>
          </cell>
          <cell r="N122">
            <v>45044</v>
          </cell>
          <cell r="O122">
            <v>8200</v>
          </cell>
          <cell r="P122">
            <v>0</v>
          </cell>
          <cell r="Q122">
            <v>3886</v>
          </cell>
          <cell r="R122">
            <v>3886</v>
          </cell>
          <cell r="S122">
            <v>0.52609756097560978</v>
          </cell>
          <cell r="T122">
            <v>0.59</v>
          </cell>
          <cell r="U122">
            <v>82</v>
          </cell>
          <cell r="V122">
            <v>42</v>
          </cell>
          <cell r="W122">
            <v>40</v>
          </cell>
          <cell r="X122">
            <v>0</v>
          </cell>
          <cell r="Y122">
            <v>0</v>
          </cell>
          <cell r="Z122">
            <v>0</v>
          </cell>
          <cell r="AA122">
            <v>8200</v>
          </cell>
          <cell r="AB122">
            <v>3886</v>
          </cell>
          <cell r="AC122">
            <v>0</v>
          </cell>
          <cell r="AD122">
            <v>0.52609756097560978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8200</v>
          </cell>
          <cell r="AZ122">
            <v>0</v>
          </cell>
          <cell r="BA122">
            <v>8200</v>
          </cell>
          <cell r="BB122">
            <v>3886</v>
          </cell>
          <cell r="BC122">
            <v>0</v>
          </cell>
          <cell r="BD122">
            <v>1</v>
          </cell>
          <cell r="BE122">
            <v>1</v>
          </cell>
          <cell r="BF122">
            <v>0</v>
          </cell>
          <cell r="BG122">
            <v>0</v>
          </cell>
          <cell r="BH122">
            <v>0</v>
          </cell>
          <cell r="BI122">
            <v>100</v>
          </cell>
          <cell r="BJ122">
            <v>1</v>
          </cell>
          <cell r="BK122">
            <v>0</v>
          </cell>
          <cell r="BL122">
            <v>0</v>
          </cell>
          <cell r="BM122">
            <v>0</v>
          </cell>
          <cell r="BN122">
            <v>8200</v>
          </cell>
          <cell r="BO122">
            <v>3886</v>
          </cell>
          <cell r="BP122">
            <v>4314</v>
          </cell>
          <cell r="BQ122">
            <v>8200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X122">
            <v>0</v>
          </cell>
          <cell r="BY122">
            <v>82</v>
          </cell>
          <cell r="BZ122">
            <v>40</v>
          </cell>
          <cell r="CA122">
            <v>0</v>
          </cell>
        </row>
        <row r="123">
          <cell r="H123" t="str">
            <v>C223556</v>
          </cell>
          <cell r="I123" t="str">
            <v xml:space="preserve">AJOUT D'APPLICABILITÉ         </v>
          </cell>
          <cell r="J123" t="str">
            <v xml:space="preserve">19087                         </v>
          </cell>
          <cell r="K123" t="str">
            <v xml:space="preserve">LUVIAIR LIMITED </v>
          </cell>
          <cell r="L123" t="str">
            <v>LJA</v>
          </cell>
          <cell r="M123">
            <v>44854</v>
          </cell>
          <cell r="N123">
            <v>44952</v>
          </cell>
          <cell r="O123">
            <v>1800</v>
          </cell>
          <cell r="P123">
            <v>0</v>
          </cell>
          <cell r="Q123">
            <v>874.99999999999989</v>
          </cell>
          <cell r="R123">
            <v>874.99999999999989</v>
          </cell>
          <cell r="S123">
            <v>0.51388888888888895</v>
          </cell>
          <cell r="T123">
            <v>0.59</v>
          </cell>
          <cell r="U123">
            <v>18.5</v>
          </cell>
          <cell r="V123">
            <v>4.9999999999999982</v>
          </cell>
          <cell r="W123">
            <v>13.4</v>
          </cell>
          <cell r="X123">
            <v>0</v>
          </cell>
          <cell r="Y123">
            <v>0</v>
          </cell>
          <cell r="Z123">
            <v>0</v>
          </cell>
          <cell r="AA123">
            <v>1800</v>
          </cell>
          <cell r="AB123">
            <v>874.99999999999989</v>
          </cell>
          <cell r="AC123">
            <v>0</v>
          </cell>
          <cell r="AD123">
            <v>0.51388888888888895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1800</v>
          </cell>
          <cell r="AZ123">
            <v>1800</v>
          </cell>
          <cell r="BA123">
            <v>0</v>
          </cell>
          <cell r="BB123">
            <v>874.99999999999989</v>
          </cell>
          <cell r="BC123">
            <v>0</v>
          </cell>
          <cell r="BD123">
            <v>1</v>
          </cell>
          <cell r="BE123">
            <v>1</v>
          </cell>
          <cell r="BF123">
            <v>0</v>
          </cell>
          <cell r="BG123">
            <v>0</v>
          </cell>
          <cell r="BH123">
            <v>0</v>
          </cell>
          <cell r="BI123">
            <v>96</v>
          </cell>
          <cell r="BJ123">
            <v>1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X123">
            <v>0</v>
          </cell>
          <cell r="BY123">
            <v>18.399999999999999</v>
          </cell>
          <cell r="BZ123">
            <v>0</v>
          </cell>
          <cell r="CA123">
            <v>0</v>
          </cell>
        </row>
        <row r="124">
          <cell r="H124" t="str">
            <v>C223566</v>
          </cell>
          <cell r="I124" t="str">
            <v xml:space="preserve">MOD AE20060 EFFECTIVITY       </v>
          </cell>
          <cell r="J124" t="str">
            <v xml:space="preserve">20060                         </v>
          </cell>
          <cell r="K124" t="str">
            <v xml:space="preserve">DASSAULT AVIATION BUSINESS SERVICES </v>
          </cell>
          <cell r="L124" t="str">
            <v>VGA</v>
          </cell>
          <cell r="M124">
            <v>45008</v>
          </cell>
          <cell r="N124">
            <v>45016</v>
          </cell>
          <cell r="O124">
            <v>800</v>
          </cell>
          <cell r="P124">
            <v>0</v>
          </cell>
          <cell r="Q124">
            <v>344</v>
          </cell>
          <cell r="R124">
            <v>344</v>
          </cell>
          <cell r="S124">
            <v>0.57000000000000006</v>
          </cell>
          <cell r="T124">
            <v>0.59</v>
          </cell>
          <cell r="U124">
            <v>8</v>
          </cell>
          <cell r="V124">
            <v>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800</v>
          </cell>
          <cell r="AB124">
            <v>344</v>
          </cell>
          <cell r="AC124">
            <v>0</v>
          </cell>
          <cell r="AD124">
            <v>0.57000000000000006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800</v>
          </cell>
          <cell r="AZ124">
            <v>0</v>
          </cell>
          <cell r="BA124">
            <v>800</v>
          </cell>
          <cell r="BB124">
            <v>344</v>
          </cell>
          <cell r="BC124">
            <v>0</v>
          </cell>
          <cell r="BD124">
            <v>1</v>
          </cell>
          <cell r="BE124">
            <v>1</v>
          </cell>
          <cell r="BF124">
            <v>0</v>
          </cell>
          <cell r="BG124">
            <v>0</v>
          </cell>
          <cell r="BH124">
            <v>0</v>
          </cell>
          <cell r="BI124">
            <v>100</v>
          </cell>
          <cell r="BJ124">
            <v>1</v>
          </cell>
          <cell r="BK124">
            <v>0</v>
          </cell>
          <cell r="BL124">
            <v>0</v>
          </cell>
          <cell r="BM124">
            <v>0</v>
          </cell>
          <cell r="BN124">
            <v>800</v>
          </cell>
          <cell r="BO124">
            <v>344</v>
          </cell>
          <cell r="BP124">
            <v>456</v>
          </cell>
          <cell r="BQ124">
            <v>800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X124">
            <v>0</v>
          </cell>
          <cell r="BY124">
            <v>8</v>
          </cell>
          <cell r="BZ124">
            <v>0</v>
          </cell>
          <cell r="CA124">
            <v>0</v>
          </cell>
        </row>
        <row r="125">
          <cell r="H125" t="str">
            <v>C223567</v>
          </cell>
          <cell r="I125" t="str">
            <v xml:space="preserve">DOSSIER DE CERTIFICATION A330 </v>
          </cell>
          <cell r="J125" t="str">
            <v xml:space="preserve">                              </v>
          </cell>
          <cell r="K125" t="str">
            <v>ARESIA</v>
          </cell>
          <cell r="L125" t="str">
            <v>VGA</v>
          </cell>
          <cell r="M125">
            <v>44883</v>
          </cell>
          <cell r="N125">
            <v>45014</v>
          </cell>
          <cell r="O125">
            <v>7600</v>
          </cell>
          <cell r="P125">
            <v>0</v>
          </cell>
          <cell r="Q125">
            <v>4346</v>
          </cell>
          <cell r="R125">
            <v>4346</v>
          </cell>
          <cell r="S125">
            <v>0.42815789473684207</v>
          </cell>
          <cell r="T125">
            <v>0.59</v>
          </cell>
          <cell r="U125">
            <v>79.166666666666671</v>
          </cell>
          <cell r="V125">
            <v>106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7600</v>
          </cell>
          <cell r="AB125">
            <v>4346</v>
          </cell>
          <cell r="AC125">
            <v>0</v>
          </cell>
          <cell r="AD125">
            <v>0.42815789473684207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7600</v>
          </cell>
          <cell r="AZ125">
            <v>7209.254498714653</v>
          </cell>
          <cell r="BA125">
            <v>390.74550128534702</v>
          </cell>
          <cell r="BB125">
            <v>4346</v>
          </cell>
          <cell r="BC125">
            <v>0</v>
          </cell>
          <cell r="BD125">
            <v>1</v>
          </cell>
          <cell r="BE125">
            <v>1</v>
          </cell>
          <cell r="BF125">
            <v>0</v>
          </cell>
          <cell r="BG125">
            <v>0</v>
          </cell>
          <cell r="BH125">
            <v>0</v>
          </cell>
          <cell r="BI125">
            <v>96</v>
          </cell>
          <cell r="BJ125">
            <v>1</v>
          </cell>
          <cell r="BK125">
            <v>0</v>
          </cell>
          <cell r="BL125">
            <v>0</v>
          </cell>
          <cell r="BM125">
            <v>0</v>
          </cell>
          <cell r="BN125">
            <v>390.74550128534702</v>
          </cell>
          <cell r="BO125">
            <v>656</v>
          </cell>
          <cell r="BP125">
            <v>-265.25449871465298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X125">
            <v>0</v>
          </cell>
          <cell r="BY125">
            <v>106</v>
          </cell>
          <cell r="BZ125">
            <v>0</v>
          </cell>
          <cell r="CA125">
            <v>0</v>
          </cell>
        </row>
        <row r="126">
          <cell r="H126" t="str">
            <v>C223578</v>
          </cell>
          <cell r="I126" t="str">
            <v xml:space="preserve">SEAT MODIFICATION KIT         </v>
          </cell>
          <cell r="J126" t="str">
            <v xml:space="preserve">                              </v>
          </cell>
          <cell r="K126" t="str">
            <v>TRANSAVIA FRANCE</v>
          </cell>
          <cell r="L126" t="str">
            <v>VGA</v>
          </cell>
          <cell r="M126">
            <v>44879</v>
          </cell>
          <cell r="N126">
            <v>44977</v>
          </cell>
          <cell r="O126">
            <v>5080</v>
          </cell>
          <cell r="P126">
            <v>0</v>
          </cell>
          <cell r="Q126">
            <v>5516.87</v>
          </cell>
          <cell r="R126">
            <v>5516.87</v>
          </cell>
          <cell r="S126">
            <v>-8.5998031496062888E-2</v>
          </cell>
          <cell r="T126">
            <v>0.2</v>
          </cell>
          <cell r="U126">
            <v>2</v>
          </cell>
          <cell r="V126">
            <v>1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41</v>
          </cell>
          <cell r="AC126">
            <v>0</v>
          </cell>
          <cell r="AD126">
            <v>0</v>
          </cell>
          <cell r="AE126">
            <v>5080</v>
          </cell>
          <cell r="AF126">
            <v>5475.87</v>
          </cell>
          <cell r="AG126">
            <v>5475.87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-7.7927165354330752E-2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5080</v>
          </cell>
          <cell r="AZ126">
            <v>5080</v>
          </cell>
          <cell r="BA126">
            <v>0</v>
          </cell>
          <cell r="BB126">
            <v>5516.87</v>
          </cell>
          <cell r="BC126">
            <v>0</v>
          </cell>
          <cell r="BD126">
            <v>1</v>
          </cell>
          <cell r="BE126">
            <v>1</v>
          </cell>
          <cell r="BF126">
            <v>0</v>
          </cell>
          <cell r="BG126">
            <v>0</v>
          </cell>
          <cell r="BH126">
            <v>0</v>
          </cell>
          <cell r="BI126">
            <v>96</v>
          </cell>
          <cell r="BJ126">
            <v>1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1107.8699999999999</v>
          </cell>
          <cell r="BP126">
            <v>-1107.8699999999999</v>
          </cell>
          <cell r="BQ126">
            <v>5080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X126">
            <v>0</v>
          </cell>
          <cell r="BY126">
            <v>1</v>
          </cell>
          <cell r="BZ126">
            <v>0</v>
          </cell>
          <cell r="CA126">
            <v>1066.8699999999999</v>
          </cell>
        </row>
        <row r="127">
          <cell r="H127" t="str">
            <v>C223579</v>
          </cell>
          <cell r="I127" t="str">
            <v xml:space="preserve">DEVELOPPEMENT SB PEINTURE     </v>
          </cell>
          <cell r="J127" t="str">
            <v xml:space="preserve">                              </v>
          </cell>
          <cell r="K127" t="str">
            <v xml:space="preserve">JG AVIATION </v>
          </cell>
          <cell r="L127" t="str">
            <v>VGA</v>
          </cell>
          <cell r="M127">
            <v>44882</v>
          </cell>
          <cell r="N127">
            <v>44932</v>
          </cell>
          <cell r="O127">
            <v>3250</v>
          </cell>
          <cell r="P127">
            <v>0</v>
          </cell>
          <cell r="Q127">
            <v>1517</v>
          </cell>
          <cell r="R127">
            <v>1517</v>
          </cell>
          <cell r="S127">
            <v>0.53323076923076917</v>
          </cell>
          <cell r="T127">
            <v>0.59</v>
          </cell>
          <cell r="U127">
            <v>34</v>
          </cell>
          <cell r="V127">
            <v>37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3250</v>
          </cell>
          <cell r="AB127">
            <v>1517</v>
          </cell>
          <cell r="AC127">
            <v>0</v>
          </cell>
          <cell r="AD127">
            <v>0.53323076923076917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3250</v>
          </cell>
          <cell r="AZ127">
            <v>3250</v>
          </cell>
          <cell r="BA127">
            <v>0</v>
          </cell>
          <cell r="BB127">
            <v>1517</v>
          </cell>
          <cell r="BC127">
            <v>0</v>
          </cell>
          <cell r="BD127">
            <v>1</v>
          </cell>
          <cell r="BE127">
            <v>1</v>
          </cell>
          <cell r="BF127">
            <v>0</v>
          </cell>
          <cell r="BG127">
            <v>0</v>
          </cell>
          <cell r="BH127">
            <v>0</v>
          </cell>
          <cell r="BI127">
            <v>96</v>
          </cell>
          <cell r="BJ127">
            <v>1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X127">
            <v>0</v>
          </cell>
          <cell r="BY127">
            <v>37</v>
          </cell>
          <cell r="BZ127">
            <v>0</v>
          </cell>
          <cell r="CA127">
            <v>0</v>
          </cell>
        </row>
        <row r="128">
          <cell r="H128" t="str">
            <v>C223580</v>
          </cell>
          <cell r="I128" t="str">
            <v xml:space="preserve">SB DEVELOPMENT F900LX MSN 245 </v>
          </cell>
          <cell r="J128" t="str">
            <v xml:space="preserve">                              </v>
          </cell>
          <cell r="K128" t="str">
            <v xml:space="preserve">DASSAULT AVIATION BUSINESS SERVICES </v>
          </cell>
          <cell r="L128" t="str">
            <v>VGA</v>
          </cell>
          <cell r="M128">
            <v>44886</v>
          </cell>
          <cell r="N128">
            <v>45016</v>
          </cell>
          <cell r="O128">
            <v>3300</v>
          </cell>
          <cell r="P128">
            <v>0</v>
          </cell>
          <cell r="Q128">
            <v>1394</v>
          </cell>
          <cell r="R128">
            <v>1394</v>
          </cell>
          <cell r="S128">
            <v>0.57757575757575763</v>
          </cell>
          <cell r="T128">
            <v>0.59</v>
          </cell>
          <cell r="U128">
            <v>34.375</v>
          </cell>
          <cell r="V128">
            <v>34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3300</v>
          </cell>
          <cell r="AB128">
            <v>1394</v>
          </cell>
          <cell r="AC128">
            <v>0</v>
          </cell>
          <cell r="AD128">
            <v>0.57757575757575763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3300</v>
          </cell>
          <cell r="AZ128">
            <v>3066.2889518413599</v>
          </cell>
          <cell r="BA128">
            <v>233.7110481586401</v>
          </cell>
          <cell r="BB128">
            <v>1394</v>
          </cell>
          <cell r="BC128">
            <v>0</v>
          </cell>
          <cell r="BD128">
            <v>1</v>
          </cell>
          <cell r="BE128">
            <v>1</v>
          </cell>
          <cell r="BF128">
            <v>0</v>
          </cell>
          <cell r="BG128">
            <v>0</v>
          </cell>
          <cell r="BH128">
            <v>0</v>
          </cell>
          <cell r="BI128">
            <v>96</v>
          </cell>
          <cell r="BJ128">
            <v>1</v>
          </cell>
          <cell r="BK128">
            <v>0</v>
          </cell>
          <cell r="BL128">
            <v>0</v>
          </cell>
          <cell r="BM128">
            <v>0</v>
          </cell>
          <cell r="BN128">
            <v>233.7110481586401</v>
          </cell>
          <cell r="BO128">
            <v>82</v>
          </cell>
          <cell r="BP128">
            <v>151.7110481586401</v>
          </cell>
          <cell r="BQ128">
            <v>3300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X128">
            <v>0</v>
          </cell>
          <cell r="BY128">
            <v>34</v>
          </cell>
          <cell r="BZ128">
            <v>0</v>
          </cell>
          <cell r="CA128">
            <v>0</v>
          </cell>
        </row>
        <row r="129">
          <cell r="H129" t="str">
            <v>C223583</v>
          </cell>
          <cell r="I129" t="str">
            <v xml:space="preserve">KIT FOR RECARO 393 SEATS      </v>
          </cell>
          <cell r="J129" t="str">
            <v xml:space="preserve">                              </v>
          </cell>
          <cell r="K129" t="str">
            <v>TRANSAVIA FRANCE</v>
          </cell>
          <cell r="L129" t="str">
            <v>FDE</v>
          </cell>
          <cell r="M129">
            <v>44883</v>
          </cell>
          <cell r="N129">
            <v>45203</v>
          </cell>
          <cell r="O129">
            <v>31719.52</v>
          </cell>
          <cell r="P129">
            <v>0</v>
          </cell>
          <cell r="Q129">
            <v>43780.98</v>
          </cell>
          <cell r="R129">
            <v>43780.979999999996</v>
          </cell>
          <cell r="S129">
            <v>-0.38025354734245664</v>
          </cell>
          <cell r="T129">
            <v>0.20577004633109205</v>
          </cell>
          <cell r="U129">
            <v>4.8884375000000091</v>
          </cell>
          <cell r="V129">
            <v>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469.29000000000087</v>
          </cell>
          <cell r="AB129">
            <v>246</v>
          </cell>
          <cell r="AC129">
            <v>0</v>
          </cell>
          <cell r="AD129">
            <v>0.47580387393722534</v>
          </cell>
          <cell r="AE129">
            <v>31250.23</v>
          </cell>
          <cell r="AF129">
            <v>34393.620000000003</v>
          </cell>
          <cell r="AG129">
            <v>34393.619999999995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9039.24</v>
          </cell>
          <cell r="AN129">
            <v>9039.24</v>
          </cell>
          <cell r="AO129">
            <v>0</v>
          </cell>
          <cell r="AP129">
            <v>0</v>
          </cell>
          <cell r="AQ129">
            <v>0</v>
          </cell>
          <cell r="AR129">
            <v>-0.38984129076809992</v>
          </cell>
          <cell r="AS129">
            <v>0</v>
          </cell>
          <cell r="AT129">
            <v>102.12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31694.52</v>
          </cell>
          <cell r="AZ129">
            <v>18637.5</v>
          </cell>
          <cell r="BA129">
            <v>13082.019999999997</v>
          </cell>
          <cell r="BB129">
            <v>43780.979999999996</v>
          </cell>
          <cell r="BC129">
            <v>7.2759576141834259E-12</v>
          </cell>
          <cell r="BD129">
            <v>0.99999999999999989</v>
          </cell>
          <cell r="BE129">
            <v>0.99921184179331846</v>
          </cell>
          <cell r="BF129">
            <v>0</v>
          </cell>
          <cell r="BG129">
            <v>24.999999999995847</v>
          </cell>
          <cell r="BH129">
            <v>0</v>
          </cell>
          <cell r="BI129">
            <v>96</v>
          </cell>
          <cell r="BJ129">
            <v>0.99999999999999989</v>
          </cell>
          <cell r="BK129">
            <v>0</v>
          </cell>
          <cell r="BL129">
            <v>0</v>
          </cell>
          <cell r="BM129">
            <v>0</v>
          </cell>
          <cell r="BN129">
            <v>13082.019999999997</v>
          </cell>
          <cell r="BO129">
            <v>28319.729999999996</v>
          </cell>
          <cell r="BP129">
            <v>-15237.71</v>
          </cell>
          <cell r="BQ129">
            <v>19269.52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X129">
            <v>3.637978807091713E-12</v>
          </cell>
          <cell r="BY129">
            <v>6</v>
          </cell>
          <cell r="BZ129">
            <v>0</v>
          </cell>
          <cell r="CA129">
            <v>19034.489999999998</v>
          </cell>
        </row>
        <row r="130">
          <cell r="H130" t="str">
            <v>C223585</v>
          </cell>
          <cell r="I130" t="str">
            <v>FABRICATION CORDONS RADIO BOSE</v>
          </cell>
          <cell r="J130" t="str">
            <v xml:space="preserve">                              </v>
          </cell>
          <cell r="K130" t="str">
            <v xml:space="preserve">NOVESPACE </v>
          </cell>
          <cell r="L130" t="str">
            <v>VSE</v>
          </cell>
          <cell r="M130">
            <v>44911</v>
          </cell>
          <cell r="N130">
            <v>45203</v>
          </cell>
          <cell r="O130">
            <v>1200</v>
          </cell>
          <cell r="P130">
            <v>0</v>
          </cell>
          <cell r="Q130">
            <v>392.93</v>
          </cell>
          <cell r="R130">
            <v>392.93</v>
          </cell>
          <cell r="S130">
            <v>0.67255833333333337</v>
          </cell>
          <cell r="T130">
            <v>0.2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1200</v>
          </cell>
          <cell r="AF130">
            <v>392.93</v>
          </cell>
          <cell r="AG130">
            <v>392.93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0.67255833333333337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1200</v>
          </cell>
          <cell r="AZ130">
            <v>0</v>
          </cell>
          <cell r="BA130">
            <v>1200</v>
          </cell>
          <cell r="BB130">
            <v>392.93</v>
          </cell>
          <cell r="BC130">
            <v>0</v>
          </cell>
          <cell r="BD130">
            <v>1</v>
          </cell>
          <cell r="BE130">
            <v>1</v>
          </cell>
          <cell r="BF130">
            <v>0</v>
          </cell>
          <cell r="BG130">
            <v>0</v>
          </cell>
          <cell r="BH130">
            <v>0</v>
          </cell>
          <cell r="BI130">
            <v>96</v>
          </cell>
          <cell r="BJ130">
            <v>1</v>
          </cell>
          <cell r="BK130">
            <v>0</v>
          </cell>
          <cell r="BL130">
            <v>0</v>
          </cell>
          <cell r="BM130">
            <v>0</v>
          </cell>
          <cell r="BN130">
            <v>1200</v>
          </cell>
          <cell r="BO130">
            <v>392.93</v>
          </cell>
          <cell r="BP130">
            <v>807.06999999999994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392.93</v>
          </cell>
        </row>
        <row r="131">
          <cell r="H131" t="str">
            <v>C223591</v>
          </cell>
          <cell r="I131" t="str">
            <v xml:space="preserve">SERVICE BULLETIN A320-214     </v>
          </cell>
          <cell r="J131" t="str">
            <v xml:space="preserve">                              </v>
          </cell>
          <cell r="K131" t="str">
            <v>AERO CABIN SOLUTIONS</v>
          </cell>
          <cell r="L131" t="str">
            <v>VGA</v>
          </cell>
          <cell r="M131">
            <v>44963</v>
          </cell>
          <cell r="N131">
            <v>45134</v>
          </cell>
          <cell r="O131">
            <v>61900</v>
          </cell>
          <cell r="P131">
            <v>-8666.6666666666715</v>
          </cell>
          <cell r="Q131">
            <v>29611.5</v>
          </cell>
          <cell r="R131">
            <v>29611.5</v>
          </cell>
          <cell r="S131">
            <v>0.52162358642972539</v>
          </cell>
          <cell r="T131">
            <v>0.482891760904685</v>
          </cell>
          <cell r="U131">
            <v>427.61904761904759</v>
          </cell>
          <cell r="V131">
            <v>430.5</v>
          </cell>
          <cell r="W131">
            <v>45</v>
          </cell>
          <cell r="X131">
            <v>0</v>
          </cell>
          <cell r="Y131">
            <v>0</v>
          </cell>
          <cell r="Z131">
            <v>0</v>
          </cell>
          <cell r="AA131">
            <v>44900</v>
          </cell>
          <cell r="AB131">
            <v>20851.5</v>
          </cell>
          <cell r="AC131">
            <v>0</v>
          </cell>
          <cell r="AD131">
            <v>0.5356013363028953</v>
          </cell>
          <cell r="AE131">
            <v>17000</v>
          </cell>
          <cell r="AF131">
            <v>8760</v>
          </cell>
          <cell r="AG131">
            <v>8760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0.48470588235294121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61900</v>
          </cell>
          <cell r="BB131">
            <v>29611.5</v>
          </cell>
          <cell r="BC131">
            <v>0</v>
          </cell>
          <cell r="BD131">
            <v>1</v>
          </cell>
          <cell r="BE131">
            <v>0</v>
          </cell>
          <cell r="BF131">
            <v>0</v>
          </cell>
          <cell r="BG131">
            <v>61900</v>
          </cell>
          <cell r="BH131">
            <v>0</v>
          </cell>
          <cell r="BI131">
            <v>100</v>
          </cell>
          <cell r="BJ131">
            <v>1</v>
          </cell>
          <cell r="BK131">
            <v>0</v>
          </cell>
          <cell r="BL131">
            <v>0</v>
          </cell>
          <cell r="BM131">
            <v>0</v>
          </cell>
          <cell r="BN131">
            <v>61900</v>
          </cell>
          <cell r="BO131">
            <v>29611.5</v>
          </cell>
          <cell r="BP131">
            <v>32288.5</v>
          </cell>
          <cell r="BQ131">
            <v>0</v>
          </cell>
          <cell r="BR131">
            <v>-8666.6666666666715</v>
          </cell>
          <cell r="BS131">
            <v>0</v>
          </cell>
          <cell r="BT131">
            <v>-8666.6666666666715</v>
          </cell>
          <cell r="BU131">
            <v>0</v>
          </cell>
          <cell r="BV131">
            <v>0</v>
          </cell>
          <cell r="BX131">
            <v>0</v>
          </cell>
          <cell r="BY131">
            <v>475.5</v>
          </cell>
          <cell r="BZ131">
            <v>45</v>
          </cell>
          <cell r="CA131">
            <v>8760</v>
          </cell>
        </row>
        <row r="132">
          <cell r="H132" t="str">
            <v>C223593</v>
          </cell>
          <cell r="I132" t="str">
            <v xml:space="preserve">A320-214 MSN 4780             </v>
          </cell>
          <cell r="J132" t="str">
            <v xml:space="preserve">                              </v>
          </cell>
          <cell r="K132" t="str">
            <v>AERO CABIN SOLUTIONS</v>
          </cell>
          <cell r="L132" t="str">
            <v>FDE</v>
          </cell>
          <cell r="M132">
            <v>44904</v>
          </cell>
          <cell r="N132">
            <v>45203</v>
          </cell>
          <cell r="O132">
            <v>52500</v>
          </cell>
          <cell r="P132">
            <v>0</v>
          </cell>
          <cell r="Q132">
            <v>35382</v>
          </cell>
          <cell r="R132">
            <v>35382</v>
          </cell>
          <cell r="S132">
            <v>0.32605714285714282</v>
          </cell>
          <cell r="T132">
            <v>0.39871428571428569</v>
          </cell>
          <cell r="U132">
            <v>278.64583333333331</v>
          </cell>
          <cell r="V132">
            <v>322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26750</v>
          </cell>
          <cell r="AB132">
            <v>13202</v>
          </cell>
          <cell r="AC132">
            <v>0</v>
          </cell>
          <cell r="AD132">
            <v>0.50646728971962618</v>
          </cell>
          <cell r="AE132">
            <v>25750</v>
          </cell>
          <cell r="AF132">
            <v>22180</v>
          </cell>
          <cell r="AG132">
            <v>22180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0.13864077669902908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52500</v>
          </cell>
          <cell r="AZ132">
            <v>21710.882836673823</v>
          </cell>
          <cell r="BA132">
            <v>30789.117163326177</v>
          </cell>
          <cell r="BB132">
            <v>35382</v>
          </cell>
          <cell r="BC132">
            <v>0</v>
          </cell>
          <cell r="BD132">
            <v>1</v>
          </cell>
          <cell r="BE132">
            <v>1</v>
          </cell>
          <cell r="BF132">
            <v>0</v>
          </cell>
          <cell r="BG132">
            <v>0</v>
          </cell>
          <cell r="BH132">
            <v>0</v>
          </cell>
          <cell r="BI132">
            <v>96</v>
          </cell>
          <cell r="BJ132">
            <v>1</v>
          </cell>
          <cell r="BK132">
            <v>0</v>
          </cell>
          <cell r="BL132">
            <v>0</v>
          </cell>
          <cell r="BM132">
            <v>0</v>
          </cell>
          <cell r="BN132">
            <v>30789.117163326177</v>
          </cell>
          <cell r="BO132">
            <v>20259</v>
          </cell>
          <cell r="BP132">
            <v>10530.117163326177</v>
          </cell>
          <cell r="BQ132">
            <v>26750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X132">
            <v>0</v>
          </cell>
          <cell r="BY132">
            <v>322</v>
          </cell>
          <cell r="BZ132">
            <v>0</v>
          </cell>
          <cell r="CA132">
            <v>7180</v>
          </cell>
        </row>
        <row r="133">
          <cell r="H133" t="str">
            <v>C223597</v>
          </cell>
          <cell r="I133" t="str">
            <v xml:space="preserve">AJOUT D'APPLICANBILITÉ        </v>
          </cell>
          <cell r="J133" t="str">
            <v xml:space="preserve">21051                         </v>
          </cell>
          <cell r="K133" t="str">
            <v xml:space="preserve">IAS </v>
          </cell>
          <cell r="L133" t="str">
            <v>LJA</v>
          </cell>
          <cell r="M133">
            <v>44911</v>
          </cell>
          <cell r="N133">
            <v>45044</v>
          </cell>
          <cell r="O133">
            <v>3650</v>
          </cell>
          <cell r="P133">
            <v>0</v>
          </cell>
          <cell r="Q133">
            <v>1656.0000000000002</v>
          </cell>
          <cell r="R133">
            <v>1656.0000000000002</v>
          </cell>
          <cell r="S133">
            <v>0.5463013698630137</v>
          </cell>
          <cell r="T133">
            <v>0.59</v>
          </cell>
          <cell r="U133">
            <v>38.020833333333336</v>
          </cell>
          <cell r="V133">
            <v>31.000000000000004</v>
          </cell>
          <cell r="W133">
            <v>7.7</v>
          </cell>
          <cell r="X133">
            <v>0</v>
          </cell>
          <cell r="Y133">
            <v>0</v>
          </cell>
          <cell r="Z133">
            <v>0</v>
          </cell>
          <cell r="AA133">
            <v>3650</v>
          </cell>
          <cell r="AB133">
            <v>1656.0000000000002</v>
          </cell>
          <cell r="AC133">
            <v>0</v>
          </cell>
          <cell r="AD133">
            <v>0.5463013698630137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3650</v>
          </cell>
          <cell r="AZ133">
            <v>2579.6187683284461</v>
          </cell>
          <cell r="BA133">
            <v>1070.3812316715539</v>
          </cell>
          <cell r="BB133">
            <v>1656.0000000000002</v>
          </cell>
          <cell r="BC133">
            <v>0</v>
          </cell>
          <cell r="BD133">
            <v>1</v>
          </cell>
          <cell r="BE133">
            <v>1</v>
          </cell>
          <cell r="BF133">
            <v>0</v>
          </cell>
          <cell r="BG133">
            <v>0</v>
          </cell>
          <cell r="BH133">
            <v>0</v>
          </cell>
          <cell r="BI133">
            <v>96</v>
          </cell>
          <cell r="BJ133">
            <v>1</v>
          </cell>
          <cell r="BK133">
            <v>0</v>
          </cell>
          <cell r="BL133">
            <v>0</v>
          </cell>
          <cell r="BM133">
            <v>0</v>
          </cell>
          <cell r="BN133">
            <v>1070.3812316715539</v>
          </cell>
          <cell r="BO133">
            <v>451.00000000000023</v>
          </cell>
          <cell r="BP133">
            <v>619.38123167155368</v>
          </cell>
          <cell r="BQ133">
            <v>3650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X133">
            <v>0</v>
          </cell>
          <cell r="BY133">
            <v>38.700000000000003</v>
          </cell>
          <cell r="BZ133">
            <v>0</v>
          </cell>
          <cell r="CA133">
            <v>0</v>
          </cell>
        </row>
        <row r="134">
          <cell r="H134" t="str">
            <v>C223598</v>
          </cell>
          <cell r="I134" t="str">
            <v xml:space="preserve">DÉSINSTALLATION               </v>
          </cell>
          <cell r="J134" t="str">
            <v xml:space="preserve">                              </v>
          </cell>
          <cell r="K134" t="str">
            <v>HBG FRANCE</v>
          </cell>
          <cell r="L134" t="str">
            <v>LJA</v>
          </cell>
          <cell r="M134">
            <v>44911</v>
          </cell>
          <cell r="N134">
            <v>44950</v>
          </cell>
          <cell r="O134">
            <v>1600</v>
          </cell>
          <cell r="P134">
            <v>0</v>
          </cell>
          <cell r="Q134">
            <v>819.99999999999989</v>
          </cell>
          <cell r="R134">
            <v>819.99999999999989</v>
          </cell>
          <cell r="S134">
            <v>0.48750000000000004</v>
          </cell>
          <cell r="T134">
            <v>0.59</v>
          </cell>
          <cell r="U134">
            <v>16.666666666666668</v>
          </cell>
          <cell r="V134">
            <v>0</v>
          </cell>
          <cell r="W134">
            <v>16.399999999999999</v>
          </cell>
          <cell r="X134">
            <v>0</v>
          </cell>
          <cell r="Y134">
            <v>0</v>
          </cell>
          <cell r="Z134">
            <v>0</v>
          </cell>
          <cell r="AA134">
            <v>1600</v>
          </cell>
          <cell r="AB134">
            <v>819.99999999999989</v>
          </cell>
          <cell r="AC134">
            <v>0</v>
          </cell>
          <cell r="AD134">
            <v>0.48750000000000004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1600</v>
          </cell>
          <cell r="AZ134">
            <v>1457.9881656804735</v>
          </cell>
          <cell r="BA134">
            <v>142.01183431952654</v>
          </cell>
          <cell r="BB134">
            <v>819.99999999999989</v>
          </cell>
          <cell r="BC134">
            <v>0</v>
          </cell>
          <cell r="BD134">
            <v>1</v>
          </cell>
          <cell r="BE134">
            <v>1</v>
          </cell>
          <cell r="BF134">
            <v>0</v>
          </cell>
          <cell r="BG134">
            <v>0</v>
          </cell>
          <cell r="BH134">
            <v>0</v>
          </cell>
          <cell r="BI134">
            <v>96</v>
          </cell>
          <cell r="BJ134">
            <v>1</v>
          </cell>
          <cell r="BK134">
            <v>0</v>
          </cell>
          <cell r="BL134">
            <v>0</v>
          </cell>
          <cell r="BM134">
            <v>0</v>
          </cell>
          <cell r="BN134">
            <v>142.01183431952654</v>
          </cell>
          <cell r="BO134">
            <v>49.999999999999886</v>
          </cell>
          <cell r="BP134">
            <v>92.011834319526656</v>
          </cell>
          <cell r="BQ134">
            <v>1600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X134">
            <v>0</v>
          </cell>
          <cell r="BY134">
            <v>16.399999999999999</v>
          </cell>
          <cell r="BZ134">
            <v>0.99999999999999822</v>
          </cell>
          <cell r="CA134">
            <v>0</v>
          </cell>
        </row>
        <row r="135">
          <cell r="H135" t="str">
            <v>C223599</v>
          </cell>
          <cell r="I135" t="str">
            <v xml:space="preserve">DEVELOPMENT OF SB FOR         </v>
          </cell>
          <cell r="J135" t="str">
            <v xml:space="preserve">                              </v>
          </cell>
          <cell r="K135" t="str">
            <v xml:space="preserve">DASSAULT AVIATION BUSINESS SERVICES </v>
          </cell>
          <cell r="L135" t="str">
            <v>VGA</v>
          </cell>
          <cell r="M135">
            <v>44908</v>
          </cell>
          <cell r="N135">
            <v>44952</v>
          </cell>
          <cell r="O135">
            <v>2800</v>
          </cell>
          <cell r="P135">
            <v>0</v>
          </cell>
          <cell r="Q135">
            <v>615</v>
          </cell>
          <cell r="R135">
            <v>615</v>
          </cell>
          <cell r="S135">
            <v>0.78035714285714286</v>
          </cell>
          <cell r="T135">
            <v>0.59</v>
          </cell>
          <cell r="U135">
            <v>29.166666666666668</v>
          </cell>
          <cell r="V135">
            <v>15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2800</v>
          </cell>
          <cell r="AB135">
            <v>615</v>
          </cell>
          <cell r="AC135">
            <v>0</v>
          </cell>
          <cell r="AD135">
            <v>0.78035714285714286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2800</v>
          </cell>
          <cell r="AZ135">
            <v>2800</v>
          </cell>
          <cell r="BA135">
            <v>0</v>
          </cell>
          <cell r="BB135">
            <v>615</v>
          </cell>
          <cell r="BC135">
            <v>0</v>
          </cell>
          <cell r="BD135">
            <v>1</v>
          </cell>
          <cell r="BE135">
            <v>1</v>
          </cell>
          <cell r="BF135">
            <v>0</v>
          </cell>
          <cell r="BG135">
            <v>0</v>
          </cell>
          <cell r="BH135">
            <v>0</v>
          </cell>
          <cell r="BI135">
            <v>96</v>
          </cell>
          <cell r="BJ135">
            <v>1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2800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X135">
            <v>0</v>
          </cell>
          <cell r="BY135">
            <v>15</v>
          </cell>
          <cell r="BZ135">
            <v>0</v>
          </cell>
          <cell r="CA135">
            <v>0</v>
          </cell>
        </row>
        <row r="136">
          <cell r="H136" t="str">
            <v>C223602</v>
          </cell>
          <cell r="I136" t="str">
            <v xml:space="preserve">                              </v>
          </cell>
          <cell r="J136" t="str">
            <v xml:space="preserve">                              </v>
          </cell>
          <cell r="K136" t="str">
            <v xml:space="preserve">SAFRAN AIRCRAFT ENGINES </v>
          </cell>
          <cell r="L136" t="str">
            <v>BAZ</v>
          </cell>
          <cell r="M136">
            <v>44986</v>
          </cell>
          <cell r="N136">
            <v>45051</v>
          </cell>
          <cell r="O136">
            <v>5000</v>
          </cell>
          <cell r="P136">
            <v>0</v>
          </cell>
          <cell r="Q136">
            <v>410</v>
          </cell>
          <cell r="R136">
            <v>410</v>
          </cell>
          <cell r="S136">
            <v>0.91800000000000004</v>
          </cell>
          <cell r="T136">
            <v>0.59</v>
          </cell>
          <cell r="U136">
            <v>52.083333333333336</v>
          </cell>
          <cell r="V136">
            <v>10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5000</v>
          </cell>
          <cell r="AB136">
            <v>410</v>
          </cell>
          <cell r="AC136">
            <v>0</v>
          </cell>
          <cell r="AD136">
            <v>0.91800000000000004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5000</v>
          </cell>
          <cell r="AZ136">
            <v>0</v>
          </cell>
          <cell r="BA136">
            <v>5000</v>
          </cell>
          <cell r="BB136">
            <v>410</v>
          </cell>
          <cell r="BC136">
            <v>0</v>
          </cell>
          <cell r="BD136">
            <v>1</v>
          </cell>
          <cell r="BE136">
            <v>1</v>
          </cell>
          <cell r="BF136">
            <v>0</v>
          </cell>
          <cell r="BG136">
            <v>0</v>
          </cell>
          <cell r="BH136">
            <v>0</v>
          </cell>
          <cell r="BI136">
            <v>96</v>
          </cell>
          <cell r="BJ136">
            <v>1</v>
          </cell>
          <cell r="BK136">
            <v>0</v>
          </cell>
          <cell r="BL136">
            <v>0</v>
          </cell>
          <cell r="BM136">
            <v>0</v>
          </cell>
          <cell r="BN136">
            <v>5000</v>
          </cell>
          <cell r="BO136">
            <v>410</v>
          </cell>
          <cell r="BP136">
            <v>4590</v>
          </cell>
          <cell r="BQ136">
            <v>5000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X136">
            <v>0</v>
          </cell>
          <cell r="BY136">
            <v>10</v>
          </cell>
          <cell r="BZ136">
            <v>0</v>
          </cell>
          <cell r="CA136">
            <v>0</v>
          </cell>
        </row>
        <row r="137">
          <cell r="H137" t="str">
            <v>C223603</v>
          </cell>
          <cell r="I137" t="str">
            <v xml:space="preserve">B737-800 MSN 39419 CABIN      </v>
          </cell>
          <cell r="J137" t="str">
            <v xml:space="preserve">                              </v>
          </cell>
          <cell r="K137" t="str">
            <v>AERO CABIN SOLUTIONS</v>
          </cell>
          <cell r="L137" t="str">
            <v>FDE</v>
          </cell>
          <cell r="M137">
            <v>44946</v>
          </cell>
          <cell r="N137">
            <v>45107</v>
          </cell>
          <cell r="O137">
            <v>28500</v>
          </cell>
          <cell r="P137">
            <v>0</v>
          </cell>
          <cell r="Q137">
            <v>19618.86</v>
          </cell>
          <cell r="R137">
            <v>19618.86</v>
          </cell>
          <cell r="S137">
            <v>0.311618947368421</v>
          </cell>
          <cell r="T137">
            <v>0.35736842105263156</v>
          </cell>
          <cell r="U137">
            <v>115</v>
          </cell>
          <cell r="V137">
            <v>115.5</v>
          </cell>
          <cell r="W137">
            <v>4</v>
          </cell>
          <cell r="X137">
            <v>0</v>
          </cell>
          <cell r="Y137">
            <v>0</v>
          </cell>
          <cell r="Z137">
            <v>0</v>
          </cell>
          <cell r="AA137">
            <v>11500</v>
          </cell>
          <cell r="AB137">
            <v>5174.5</v>
          </cell>
          <cell r="AC137">
            <v>0</v>
          </cell>
          <cell r="AD137">
            <v>0.55004347826086963</v>
          </cell>
          <cell r="AE137">
            <v>17000</v>
          </cell>
          <cell r="AF137">
            <v>14444.36</v>
          </cell>
          <cell r="AG137">
            <v>14444.36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0.15033176470588228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28500</v>
          </cell>
          <cell r="AZ137">
            <v>0</v>
          </cell>
          <cell r="BA137">
            <v>28500</v>
          </cell>
          <cell r="BB137">
            <v>19618.86</v>
          </cell>
          <cell r="BC137">
            <v>0</v>
          </cell>
          <cell r="BD137">
            <v>1</v>
          </cell>
          <cell r="BE137">
            <v>1</v>
          </cell>
          <cell r="BF137">
            <v>0</v>
          </cell>
          <cell r="BG137">
            <v>0</v>
          </cell>
          <cell r="BH137">
            <v>0</v>
          </cell>
          <cell r="BI137">
            <v>96</v>
          </cell>
          <cell r="BJ137">
            <v>1</v>
          </cell>
          <cell r="BK137">
            <v>0</v>
          </cell>
          <cell r="BL137">
            <v>0</v>
          </cell>
          <cell r="BM137">
            <v>0</v>
          </cell>
          <cell r="BN137">
            <v>28500</v>
          </cell>
          <cell r="BO137">
            <v>19618.86</v>
          </cell>
          <cell r="BP137">
            <v>8881.14</v>
          </cell>
          <cell r="BQ137">
            <v>28500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X137">
            <v>0</v>
          </cell>
          <cell r="BY137">
            <v>119.5</v>
          </cell>
          <cell r="BZ137">
            <v>4</v>
          </cell>
          <cell r="CA137">
            <v>14444.36</v>
          </cell>
        </row>
        <row r="138">
          <cell r="H138" t="str">
            <v>C223608</v>
          </cell>
          <cell r="I138" t="str">
            <v xml:space="preserve">A320 MSN 3519 &amp; 3484          </v>
          </cell>
          <cell r="J138" t="str">
            <v xml:space="preserve">                              </v>
          </cell>
          <cell r="K138" t="str">
            <v>AERO CABIN SOLUTIONS</v>
          </cell>
          <cell r="L138" t="str">
            <v>FDE</v>
          </cell>
          <cell r="M138">
            <v>45005</v>
          </cell>
          <cell r="N138">
            <v>45107</v>
          </cell>
          <cell r="O138">
            <v>34500</v>
          </cell>
          <cell r="P138">
            <v>0</v>
          </cell>
          <cell r="Q138">
            <v>23856</v>
          </cell>
          <cell r="R138">
            <v>23856</v>
          </cell>
          <cell r="S138">
            <v>0.30852173913043479</v>
          </cell>
          <cell r="T138">
            <v>0.40913043478260869</v>
          </cell>
          <cell r="U138">
            <v>113</v>
          </cell>
          <cell r="V138">
            <v>106</v>
          </cell>
          <cell r="W138">
            <v>2</v>
          </cell>
          <cell r="X138">
            <v>0</v>
          </cell>
          <cell r="Y138">
            <v>0</v>
          </cell>
          <cell r="Z138">
            <v>0</v>
          </cell>
          <cell r="AA138">
            <v>18500</v>
          </cell>
          <cell r="AB138">
            <v>4446</v>
          </cell>
          <cell r="AC138">
            <v>0</v>
          </cell>
          <cell r="AD138">
            <v>0.75967567567567573</v>
          </cell>
          <cell r="AE138">
            <v>16000</v>
          </cell>
          <cell r="AF138">
            <v>19410</v>
          </cell>
          <cell r="AG138">
            <v>19410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-0.21312500000000001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34500</v>
          </cell>
          <cell r="AZ138">
            <v>0</v>
          </cell>
          <cell r="BA138">
            <v>34500</v>
          </cell>
          <cell r="BB138">
            <v>23856</v>
          </cell>
          <cell r="BC138">
            <v>0</v>
          </cell>
          <cell r="BD138">
            <v>1</v>
          </cell>
          <cell r="BE138">
            <v>1</v>
          </cell>
          <cell r="BF138">
            <v>0</v>
          </cell>
          <cell r="BG138">
            <v>0</v>
          </cell>
          <cell r="BH138">
            <v>0</v>
          </cell>
          <cell r="BI138">
            <v>96</v>
          </cell>
          <cell r="BJ138">
            <v>1</v>
          </cell>
          <cell r="BK138">
            <v>0</v>
          </cell>
          <cell r="BL138">
            <v>0</v>
          </cell>
          <cell r="BM138">
            <v>0</v>
          </cell>
          <cell r="BN138">
            <v>34500</v>
          </cell>
          <cell r="BO138">
            <v>23856</v>
          </cell>
          <cell r="BP138">
            <v>10644</v>
          </cell>
          <cell r="BQ138">
            <v>34500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X138">
            <v>0</v>
          </cell>
          <cell r="BY138">
            <v>108</v>
          </cell>
          <cell r="BZ138">
            <v>2</v>
          </cell>
          <cell r="CA138">
            <v>19410</v>
          </cell>
        </row>
        <row r="139">
          <cell r="H139" t="str">
            <v>C223610</v>
          </cell>
          <cell r="I139" t="str">
            <v>PREPA VOL DRI</v>
          </cell>
          <cell r="J139" t="str">
            <v xml:space="preserve">                              </v>
          </cell>
          <cell r="K139" t="str">
            <v xml:space="preserve">BABCOCK INTERNATIONAL FRANCE AVIATION </v>
          </cell>
          <cell r="L139" t="str">
            <v>LUD</v>
          </cell>
          <cell r="M139">
            <v>44943</v>
          </cell>
          <cell r="N139">
            <v>45085</v>
          </cell>
          <cell r="O139">
            <v>7000</v>
          </cell>
          <cell r="P139">
            <v>0</v>
          </cell>
          <cell r="Q139">
            <v>4537</v>
          </cell>
          <cell r="R139">
            <v>4537</v>
          </cell>
          <cell r="S139">
            <v>0.35185714285714287</v>
          </cell>
          <cell r="T139">
            <v>0.59</v>
          </cell>
          <cell r="U139">
            <v>72.916666666666671</v>
          </cell>
          <cell r="V139">
            <v>91</v>
          </cell>
          <cell r="W139">
            <v>12</v>
          </cell>
          <cell r="X139">
            <v>0</v>
          </cell>
          <cell r="Y139">
            <v>0</v>
          </cell>
          <cell r="Z139">
            <v>0</v>
          </cell>
          <cell r="AA139">
            <v>7000</v>
          </cell>
          <cell r="AB139">
            <v>4537</v>
          </cell>
          <cell r="AC139">
            <v>0</v>
          </cell>
          <cell r="AD139">
            <v>0.35185714285714287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7000</v>
          </cell>
          <cell r="AZ139">
            <v>0</v>
          </cell>
          <cell r="BA139">
            <v>7000</v>
          </cell>
          <cell r="BB139">
            <v>4537</v>
          </cell>
          <cell r="BC139">
            <v>0</v>
          </cell>
          <cell r="BD139">
            <v>1</v>
          </cell>
          <cell r="BE139">
            <v>1</v>
          </cell>
          <cell r="BF139">
            <v>0</v>
          </cell>
          <cell r="BG139">
            <v>0</v>
          </cell>
          <cell r="BH139">
            <v>0</v>
          </cell>
          <cell r="BI139">
            <v>96</v>
          </cell>
          <cell r="BJ139">
            <v>1</v>
          </cell>
          <cell r="BK139">
            <v>0</v>
          </cell>
          <cell r="BL139">
            <v>0</v>
          </cell>
          <cell r="BM139">
            <v>0</v>
          </cell>
          <cell r="BN139">
            <v>7000</v>
          </cell>
          <cell r="BO139">
            <v>4537</v>
          </cell>
          <cell r="BP139">
            <v>2463</v>
          </cell>
          <cell r="BQ139">
            <v>7000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X139">
            <v>0</v>
          </cell>
          <cell r="BY139">
            <v>103</v>
          </cell>
          <cell r="BZ139">
            <v>12</v>
          </cell>
          <cell r="CA139">
            <v>0</v>
          </cell>
        </row>
        <row r="140">
          <cell r="H140" t="str">
            <v>C223612</v>
          </cell>
          <cell r="I140" t="str">
            <v xml:space="preserve">REPRISE / ACTUALISATION       </v>
          </cell>
          <cell r="J140" t="str">
            <v xml:space="preserve">                              </v>
          </cell>
          <cell r="K140" t="str">
            <v xml:space="preserve">RJ AERO </v>
          </cell>
          <cell r="L140" t="str">
            <v>VGA</v>
          </cell>
          <cell r="M140">
            <v>44942</v>
          </cell>
          <cell r="N140">
            <v>44959</v>
          </cell>
          <cell r="O140">
            <v>5214.8500000000004</v>
          </cell>
          <cell r="P140">
            <v>0</v>
          </cell>
          <cell r="Q140">
            <v>4422.8500000000004</v>
          </cell>
          <cell r="R140">
            <v>4422.8500000000004</v>
          </cell>
          <cell r="S140">
            <v>0.15187397528212698</v>
          </cell>
          <cell r="T140">
            <v>0.4393165671112304</v>
          </cell>
          <cell r="U140">
            <v>32.01</v>
          </cell>
          <cell r="V140">
            <v>56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3200.0000000000005</v>
          </cell>
          <cell r="AB140">
            <v>2408</v>
          </cell>
          <cell r="AC140">
            <v>0</v>
          </cell>
          <cell r="AD140">
            <v>0.24750000000000005</v>
          </cell>
          <cell r="AE140">
            <v>2014.85</v>
          </cell>
          <cell r="AF140">
            <v>2014.85</v>
          </cell>
          <cell r="AG140">
            <v>2014.85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5214.8500000000004</v>
          </cell>
          <cell r="AZ140">
            <v>0</v>
          </cell>
          <cell r="BA140">
            <v>5214.8500000000004</v>
          </cell>
          <cell r="BB140">
            <v>4422.8500000000004</v>
          </cell>
          <cell r="BC140">
            <v>0</v>
          </cell>
          <cell r="BD140">
            <v>1</v>
          </cell>
          <cell r="BE140">
            <v>1</v>
          </cell>
          <cell r="BF140">
            <v>0</v>
          </cell>
          <cell r="BG140">
            <v>0</v>
          </cell>
          <cell r="BH140">
            <v>0</v>
          </cell>
          <cell r="BI140">
            <v>96</v>
          </cell>
          <cell r="BJ140">
            <v>1</v>
          </cell>
          <cell r="BK140">
            <v>0</v>
          </cell>
          <cell r="BL140">
            <v>0</v>
          </cell>
          <cell r="BM140">
            <v>0</v>
          </cell>
          <cell r="BN140">
            <v>5214.8500000000004</v>
          </cell>
          <cell r="BO140">
            <v>4422.8500000000004</v>
          </cell>
          <cell r="BP140">
            <v>792</v>
          </cell>
          <cell r="BQ140">
            <v>5214.8500000000004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X140">
            <v>0</v>
          </cell>
          <cell r="BY140">
            <v>56</v>
          </cell>
          <cell r="BZ140">
            <v>0</v>
          </cell>
          <cell r="CA140">
            <v>2014.85</v>
          </cell>
        </row>
        <row r="141">
          <cell r="H141" t="str">
            <v>C223614</v>
          </cell>
          <cell r="I141" t="str">
            <v xml:space="preserve">SUPPORT CONCEPTION            </v>
          </cell>
          <cell r="J141" t="str">
            <v xml:space="preserve">                              </v>
          </cell>
          <cell r="K141" t="str">
            <v xml:space="preserve">AXYAL </v>
          </cell>
          <cell r="L141" t="str">
            <v>PLAQPO</v>
          </cell>
          <cell r="M141">
            <v>44994</v>
          </cell>
          <cell r="N141">
            <v>45044</v>
          </cell>
          <cell r="O141">
            <v>8924.5</v>
          </cell>
          <cell r="P141">
            <v>0</v>
          </cell>
          <cell r="Q141">
            <v>7746</v>
          </cell>
          <cell r="R141">
            <v>7746</v>
          </cell>
          <cell r="S141">
            <v>0.1320522158104096</v>
          </cell>
          <cell r="T141">
            <v>0.2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8924.5</v>
          </cell>
          <cell r="AF141">
            <v>7746</v>
          </cell>
          <cell r="AG141">
            <v>7746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0.1320522158104096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8924.5</v>
          </cell>
          <cell r="AZ141">
            <v>0</v>
          </cell>
          <cell r="BA141">
            <v>8924.5</v>
          </cell>
          <cell r="BB141">
            <v>7746</v>
          </cell>
          <cell r="BC141">
            <v>0</v>
          </cell>
          <cell r="BD141">
            <v>1</v>
          </cell>
          <cell r="BE141">
            <v>1</v>
          </cell>
          <cell r="BF141">
            <v>0</v>
          </cell>
          <cell r="BG141">
            <v>0</v>
          </cell>
          <cell r="BH141">
            <v>0</v>
          </cell>
          <cell r="BI141">
            <v>100</v>
          </cell>
          <cell r="BJ141">
            <v>1</v>
          </cell>
          <cell r="BK141">
            <v>0</v>
          </cell>
          <cell r="BL141">
            <v>0</v>
          </cell>
          <cell r="BM141">
            <v>0</v>
          </cell>
          <cell r="BN141">
            <v>8924.5</v>
          </cell>
          <cell r="BO141">
            <v>7746</v>
          </cell>
          <cell r="BP141">
            <v>1178.5</v>
          </cell>
          <cell r="BQ141">
            <v>8924.5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7746</v>
          </cell>
        </row>
        <row r="142">
          <cell r="H142" t="str">
            <v>C230836</v>
          </cell>
          <cell r="I142" t="str">
            <v xml:space="preserve">SB 21164 REV.4                </v>
          </cell>
          <cell r="J142" t="str">
            <v xml:space="preserve">                              </v>
          </cell>
          <cell r="K142" t="str">
            <v>A.C.H.</v>
          </cell>
          <cell r="L142" t="str">
            <v>VGA</v>
          </cell>
          <cell r="M142">
            <v>44949</v>
          </cell>
          <cell r="N142">
            <v>45014</v>
          </cell>
          <cell r="O142">
            <v>330</v>
          </cell>
          <cell r="P142">
            <v>0</v>
          </cell>
          <cell r="Q142">
            <v>129</v>
          </cell>
          <cell r="R142">
            <v>129</v>
          </cell>
          <cell r="S142">
            <v>0.60909090909090913</v>
          </cell>
          <cell r="T142">
            <v>0.59</v>
          </cell>
          <cell r="U142">
            <v>3.1</v>
          </cell>
          <cell r="V142">
            <v>3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330</v>
          </cell>
          <cell r="AB142">
            <v>129</v>
          </cell>
          <cell r="AC142">
            <v>0</v>
          </cell>
          <cell r="AD142">
            <v>0.60909090909090913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330</v>
          </cell>
          <cell r="AZ142">
            <v>0</v>
          </cell>
          <cell r="BA142">
            <v>330</v>
          </cell>
          <cell r="BB142">
            <v>129</v>
          </cell>
          <cell r="BC142">
            <v>0</v>
          </cell>
          <cell r="BD142">
            <v>1</v>
          </cell>
          <cell r="BE142">
            <v>1</v>
          </cell>
          <cell r="BF142">
            <v>0</v>
          </cell>
          <cell r="BG142">
            <v>0</v>
          </cell>
          <cell r="BH142">
            <v>0</v>
          </cell>
          <cell r="BI142">
            <v>96</v>
          </cell>
          <cell r="BJ142">
            <v>1</v>
          </cell>
          <cell r="BK142">
            <v>0</v>
          </cell>
          <cell r="BL142">
            <v>0</v>
          </cell>
          <cell r="BM142">
            <v>0</v>
          </cell>
          <cell r="BN142">
            <v>330</v>
          </cell>
          <cell r="BO142">
            <v>129</v>
          </cell>
          <cell r="BP142">
            <v>201</v>
          </cell>
          <cell r="BQ142">
            <v>330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X142">
            <v>0</v>
          </cell>
          <cell r="BY142">
            <v>3</v>
          </cell>
          <cell r="BZ142">
            <v>0</v>
          </cell>
          <cell r="CA142">
            <v>0</v>
          </cell>
        </row>
        <row r="143">
          <cell r="H143" t="str">
            <v>C233618</v>
          </cell>
          <cell r="I143" t="str">
            <v xml:space="preserve">DOSSIER DE DESINSTALLATION    </v>
          </cell>
          <cell r="J143" t="str">
            <v xml:space="preserve">                              </v>
          </cell>
          <cell r="K143" t="str">
            <v>AIRTELIS</v>
          </cell>
          <cell r="L143" t="str">
            <v>LJA</v>
          </cell>
          <cell r="M143">
            <v>44979</v>
          </cell>
          <cell r="N143">
            <v>45037</v>
          </cell>
          <cell r="O143">
            <v>3945.5</v>
          </cell>
          <cell r="P143">
            <v>0</v>
          </cell>
          <cell r="Q143">
            <v>2193</v>
          </cell>
          <cell r="R143">
            <v>2193</v>
          </cell>
          <cell r="S143">
            <v>0.444176910404258</v>
          </cell>
          <cell r="T143">
            <v>0.59</v>
          </cell>
          <cell r="U143">
            <v>41.098958333333336</v>
          </cell>
          <cell r="V143">
            <v>51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3945.5</v>
          </cell>
          <cell r="AB143">
            <v>2193</v>
          </cell>
          <cell r="AC143">
            <v>0</v>
          </cell>
          <cell r="AD143">
            <v>0.444176910404258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3945.5</v>
          </cell>
          <cell r="AZ143">
            <v>0</v>
          </cell>
          <cell r="BA143">
            <v>3945.5</v>
          </cell>
          <cell r="BB143">
            <v>2193</v>
          </cell>
          <cell r="BC143">
            <v>0</v>
          </cell>
          <cell r="BD143">
            <v>1</v>
          </cell>
          <cell r="BE143">
            <v>1</v>
          </cell>
          <cell r="BF143">
            <v>0</v>
          </cell>
          <cell r="BG143">
            <v>0</v>
          </cell>
          <cell r="BH143">
            <v>0</v>
          </cell>
          <cell r="BI143">
            <v>96</v>
          </cell>
          <cell r="BJ143">
            <v>1</v>
          </cell>
          <cell r="BK143">
            <v>0</v>
          </cell>
          <cell r="BL143">
            <v>0</v>
          </cell>
          <cell r="BM143">
            <v>0</v>
          </cell>
          <cell r="BN143">
            <v>3945.5</v>
          </cell>
          <cell r="BO143">
            <v>2193</v>
          </cell>
          <cell r="BP143">
            <v>1752.5</v>
          </cell>
          <cell r="BQ143">
            <v>3945.5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X143">
            <v>0</v>
          </cell>
          <cell r="BY143">
            <v>51</v>
          </cell>
          <cell r="BZ143">
            <v>0</v>
          </cell>
          <cell r="CA143">
            <v>0</v>
          </cell>
        </row>
        <row r="144">
          <cell r="H144" t="str">
            <v>C233619</v>
          </cell>
          <cell r="I144" t="str">
            <v xml:space="preserve">NTF CHANGE ON LEGACY 600      </v>
          </cell>
          <cell r="J144" t="str">
            <v xml:space="preserve">                              </v>
          </cell>
          <cell r="K144" t="str">
            <v xml:space="preserve">CABIN CONCEPT </v>
          </cell>
          <cell r="L144" t="str">
            <v>VGA</v>
          </cell>
          <cell r="M144">
            <v>45000</v>
          </cell>
          <cell r="N144">
            <v>45044</v>
          </cell>
          <cell r="O144">
            <v>2100</v>
          </cell>
          <cell r="P144">
            <v>0</v>
          </cell>
          <cell r="Q144">
            <v>860</v>
          </cell>
          <cell r="R144">
            <v>860</v>
          </cell>
          <cell r="S144">
            <v>0.59047619047619049</v>
          </cell>
          <cell r="T144">
            <v>0.59</v>
          </cell>
          <cell r="U144">
            <v>21</v>
          </cell>
          <cell r="V144">
            <v>20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2100</v>
          </cell>
          <cell r="AB144">
            <v>860</v>
          </cell>
          <cell r="AC144">
            <v>0</v>
          </cell>
          <cell r="AD144">
            <v>0.59047619047619049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2100</v>
          </cell>
          <cell r="AZ144">
            <v>0</v>
          </cell>
          <cell r="BA144">
            <v>2100</v>
          </cell>
          <cell r="BB144">
            <v>860</v>
          </cell>
          <cell r="BC144">
            <v>0</v>
          </cell>
          <cell r="BD144">
            <v>1</v>
          </cell>
          <cell r="BE144">
            <v>1</v>
          </cell>
          <cell r="BF144">
            <v>0</v>
          </cell>
          <cell r="BG144">
            <v>0</v>
          </cell>
          <cell r="BH144">
            <v>0</v>
          </cell>
          <cell r="BI144">
            <v>100</v>
          </cell>
          <cell r="BJ144">
            <v>1</v>
          </cell>
          <cell r="BK144">
            <v>0</v>
          </cell>
          <cell r="BL144">
            <v>0</v>
          </cell>
          <cell r="BM144">
            <v>0</v>
          </cell>
          <cell r="BN144">
            <v>2100</v>
          </cell>
          <cell r="BO144">
            <v>860</v>
          </cell>
          <cell r="BP144">
            <v>1240</v>
          </cell>
          <cell r="BQ144">
            <v>2100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X144">
            <v>0</v>
          </cell>
          <cell r="BY144">
            <v>20</v>
          </cell>
          <cell r="BZ144">
            <v>0</v>
          </cell>
          <cell r="CA144">
            <v>0</v>
          </cell>
        </row>
        <row r="145">
          <cell r="H145" t="str">
            <v>C233622</v>
          </cell>
          <cell r="I145" t="str">
            <v xml:space="preserve">MOPDIFICATION DOSSIER         </v>
          </cell>
          <cell r="J145" t="str">
            <v xml:space="preserve">22068                         </v>
          </cell>
          <cell r="K145" t="str">
            <v xml:space="preserve">RESEAUX TRANSPORT ELECTRICITE </v>
          </cell>
          <cell r="L145" t="str">
            <v>LJA</v>
          </cell>
          <cell r="M145">
            <v>44945</v>
          </cell>
          <cell r="N145">
            <v>44956</v>
          </cell>
          <cell r="O145">
            <v>1127</v>
          </cell>
          <cell r="P145">
            <v>0</v>
          </cell>
          <cell r="Q145">
            <v>614.30000000000007</v>
          </cell>
          <cell r="R145">
            <v>614.30000000000007</v>
          </cell>
          <cell r="S145">
            <v>0.45492457852706292</v>
          </cell>
          <cell r="T145">
            <v>0.59</v>
          </cell>
          <cell r="U145">
            <v>11.739583333333334</v>
          </cell>
          <cell r="V145">
            <v>0.5</v>
          </cell>
          <cell r="W145">
            <v>11.4</v>
          </cell>
          <cell r="X145">
            <v>0</v>
          </cell>
          <cell r="Y145">
            <v>0</v>
          </cell>
          <cell r="Z145">
            <v>0</v>
          </cell>
          <cell r="AA145">
            <v>1127</v>
          </cell>
          <cell r="AB145">
            <v>614.30000000000007</v>
          </cell>
          <cell r="AC145">
            <v>0</v>
          </cell>
          <cell r="AD145">
            <v>0.45492457852706292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1127</v>
          </cell>
          <cell r="AZ145">
            <v>0</v>
          </cell>
          <cell r="BA145">
            <v>1127</v>
          </cell>
          <cell r="BB145">
            <v>614.30000000000007</v>
          </cell>
          <cell r="BC145">
            <v>0</v>
          </cell>
          <cell r="BD145">
            <v>1</v>
          </cell>
          <cell r="BE145">
            <v>1</v>
          </cell>
          <cell r="BF145">
            <v>0</v>
          </cell>
          <cell r="BG145">
            <v>0</v>
          </cell>
          <cell r="BH145">
            <v>0</v>
          </cell>
          <cell r="BI145">
            <v>96</v>
          </cell>
          <cell r="BJ145">
            <v>1</v>
          </cell>
          <cell r="BK145">
            <v>0</v>
          </cell>
          <cell r="BL145">
            <v>0</v>
          </cell>
          <cell r="BM145">
            <v>0</v>
          </cell>
          <cell r="BN145">
            <v>1127</v>
          </cell>
          <cell r="BO145">
            <v>614.30000000000007</v>
          </cell>
          <cell r="BP145">
            <v>512.69999999999993</v>
          </cell>
          <cell r="BQ145">
            <v>1127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X145">
            <v>0</v>
          </cell>
          <cell r="BY145">
            <v>11.9</v>
          </cell>
          <cell r="BZ145">
            <v>11.4</v>
          </cell>
          <cell r="CA145">
            <v>0</v>
          </cell>
        </row>
        <row r="146">
          <cell r="H146" t="str">
            <v>C233623</v>
          </cell>
          <cell r="I146" t="str">
            <v xml:space="preserve">SB ON GLOBAL EXPRESS XRS      </v>
          </cell>
          <cell r="J146" t="str">
            <v xml:space="preserve">                              </v>
          </cell>
          <cell r="K146" t="str">
            <v xml:space="preserve">DASSAULT AVIATION BUSINESS SERVICES </v>
          </cell>
          <cell r="L146" t="str">
            <v>VGA</v>
          </cell>
          <cell r="M146">
            <v>44935</v>
          </cell>
          <cell r="N146">
            <v>44959</v>
          </cell>
          <cell r="O146">
            <v>2250</v>
          </cell>
          <cell r="P146">
            <v>0</v>
          </cell>
          <cell r="Q146">
            <v>1127.5</v>
          </cell>
          <cell r="R146">
            <v>1127.5</v>
          </cell>
          <cell r="S146">
            <v>0.49888888888888894</v>
          </cell>
          <cell r="T146">
            <v>0.59</v>
          </cell>
          <cell r="U146">
            <v>23</v>
          </cell>
          <cell r="V146">
            <v>27.5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2250</v>
          </cell>
          <cell r="AB146">
            <v>1127.5</v>
          </cell>
          <cell r="AC146">
            <v>0</v>
          </cell>
          <cell r="AD146">
            <v>0.49888888888888894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2250</v>
          </cell>
          <cell r="AZ146">
            <v>0</v>
          </cell>
          <cell r="BA146">
            <v>2250</v>
          </cell>
          <cell r="BB146">
            <v>1127.5</v>
          </cell>
          <cell r="BC146">
            <v>0</v>
          </cell>
          <cell r="BD146">
            <v>1</v>
          </cell>
          <cell r="BE146">
            <v>1</v>
          </cell>
          <cell r="BF146">
            <v>0</v>
          </cell>
          <cell r="BG146">
            <v>0</v>
          </cell>
          <cell r="BH146">
            <v>0</v>
          </cell>
          <cell r="BI146">
            <v>96</v>
          </cell>
          <cell r="BJ146">
            <v>1</v>
          </cell>
          <cell r="BK146">
            <v>0</v>
          </cell>
          <cell r="BL146">
            <v>0</v>
          </cell>
          <cell r="BM146">
            <v>0</v>
          </cell>
          <cell r="BN146">
            <v>2250</v>
          </cell>
          <cell r="BO146">
            <v>1127.5</v>
          </cell>
          <cell r="BP146">
            <v>1122.5</v>
          </cell>
          <cell r="BQ146">
            <v>2250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X146">
            <v>0</v>
          </cell>
          <cell r="BY146">
            <v>27.5</v>
          </cell>
          <cell r="BZ146">
            <v>0</v>
          </cell>
          <cell r="CA146">
            <v>0</v>
          </cell>
        </row>
        <row r="147">
          <cell r="H147" t="str">
            <v>C233626</v>
          </cell>
          <cell r="I147" t="str">
            <v xml:space="preserve">PRESTATION CVE + SUPPORT      </v>
          </cell>
          <cell r="J147" t="str">
            <v xml:space="preserve">                              </v>
          </cell>
          <cell r="K147" t="str">
            <v xml:space="preserve">DASSAULT AVIATION BUSINESS SERVICES </v>
          </cell>
          <cell r="L147" t="str">
            <v>VGA</v>
          </cell>
          <cell r="M147">
            <v>44944</v>
          </cell>
          <cell r="N147" t="str">
            <v/>
          </cell>
          <cell r="O147">
            <v>10614</v>
          </cell>
          <cell r="P147">
            <v>-3306</v>
          </cell>
          <cell r="Q147">
            <v>3934.5</v>
          </cell>
          <cell r="R147">
            <v>3934.5</v>
          </cell>
          <cell r="S147">
            <v>0.62931034482758619</v>
          </cell>
          <cell r="T147">
            <v>0.7114754098360655</v>
          </cell>
          <cell r="U147">
            <v>120</v>
          </cell>
          <cell r="V147">
            <v>91.5</v>
          </cell>
          <cell r="W147">
            <v>0</v>
          </cell>
          <cell r="X147">
            <v>0</v>
          </cell>
          <cell r="Y147">
            <v>45.5</v>
          </cell>
          <cell r="Z147">
            <v>17</v>
          </cell>
          <cell r="AA147">
            <v>13920</v>
          </cell>
          <cell r="AB147">
            <v>3934.5</v>
          </cell>
          <cell r="AC147">
            <v>0</v>
          </cell>
          <cell r="AD147">
            <v>0.7173491379310345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7018</v>
          </cell>
          <cell r="AZ147">
            <v>0</v>
          </cell>
          <cell r="BA147">
            <v>10614</v>
          </cell>
          <cell r="BB147">
            <v>3934.5</v>
          </cell>
          <cell r="BC147">
            <v>0</v>
          </cell>
          <cell r="BD147">
            <v>1</v>
          </cell>
          <cell r="BE147">
            <v>0.66120218579234968</v>
          </cell>
          <cell r="BF147">
            <v>0</v>
          </cell>
          <cell r="BG147">
            <v>3596.0000000000005</v>
          </cell>
          <cell r="BH147">
            <v>0</v>
          </cell>
          <cell r="BI147">
            <v>116</v>
          </cell>
          <cell r="BJ147">
            <v>1</v>
          </cell>
          <cell r="BK147">
            <v>-3306</v>
          </cell>
          <cell r="BL147">
            <v>-1430.25</v>
          </cell>
          <cell r="BM147">
            <v>0.4028612703294655</v>
          </cell>
          <cell r="BN147">
            <v>10614</v>
          </cell>
          <cell r="BO147">
            <v>3934.5</v>
          </cell>
          <cell r="BP147">
            <v>6679.5</v>
          </cell>
          <cell r="BQ147">
            <v>7018</v>
          </cell>
          <cell r="BR147">
            <v>2301.8288829861594</v>
          </cell>
          <cell r="BS147">
            <v>731</v>
          </cell>
          <cell r="BT147">
            <v>1570.8288829861594</v>
          </cell>
          <cell r="BU147">
            <v>0</v>
          </cell>
          <cell r="BV147">
            <v>0</v>
          </cell>
          <cell r="BX147">
            <v>0</v>
          </cell>
          <cell r="BY147">
            <v>91.5</v>
          </cell>
          <cell r="BZ147">
            <v>0</v>
          </cell>
          <cell r="CA147">
            <v>0</v>
          </cell>
        </row>
        <row r="148">
          <cell r="H148" t="str">
            <v>C233628</v>
          </cell>
          <cell r="I148" t="str">
            <v>Survey Turquie Egypte</v>
          </cell>
          <cell r="J148" t="str">
            <v xml:space="preserve">                              </v>
          </cell>
          <cell r="K148" t="str">
            <v>SECAMIC</v>
          </cell>
          <cell r="L148" t="str">
            <v>LJA</v>
          </cell>
          <cell r="M148">
            <v>44927</v>
          </cell>
          <cell r="N148">
            <v>45014</v>
          </cell>
          <cell r="O148">
            <v>5780.91</v>
          </cell>
          <cell r="P148">
            <v>0</v>
          </cell>
          <cell r="Q148">
            <v>3893.01</v>
          </cell>
          <cell r="R148">
            <v>3893.01</v>
          </cell>
          <cell r="S148">
            <v>0.3265748818092653</v>
          </cell>
          <cell r="T148">
            <v>0.52382444978385756</v>
          </cell>
          <cell r="U148">
            <v>50</v>
          </cell>
          <cell r="V148">
            <v>69.5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4800</v>
          </cell>
          <cell r="AB148">
            <v>2988.5</v>
          </cell>
          <cell r="AC148">
            <v>0</v>
          </cell>
          <cell r="AD148">
            <v>0.37739583333333337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980.91</v>
          </cell>
          <cell r="AT148">
            <v>904.51</v>
          </cell>
          <cell r="AU148">
            <v>0</v>
          </cell>
          <cell r="AV148">
            <v>0</v>
          </cell>
          <cell r="AW148">
            <v>0</v>
          </cell>
          <cell r="AX148">
            <v>7.78868601604632E-2</v>
          </cell>
          <cell r="AY148">
            <v>5780.91</v>
          </cell>
          <cell r="AZ148">
            <v>0</v>
          </cell>
          <cell r="BA148">
            <v>5780.91</v>
          </cell>
          <cell r="BB148">
            <v>3893.01</v>
          </cell>
          <cell r="BC148">
            <v>0</v>
          </cell>
          <cell r="BD148">
            <v>1</v>
          </cell>
          <cell r="BE148">
            <v>1</v>
          </cell>
          <cell r="BF148">
            <v>0</v>
          </cell>
          <cell r="BG148">
            <v>0</v>
          </cell>
          <cell r="BH148">
            <v>0</v>
          </cell>
          <cell r="BI148">
            <v>96</v>
          </cell>
          <cell r="BJ148">
            <v>1</v>
          </cell>
          <cell r="BK148">
            <v>-1.1368683772161603E-13</v>
          </cell>
          <cell r="BL148">
            <v>0</v>
          </cell>
          <cell r="BM148">
            <v>0</v>
          </cell>
          <cell r="BN148">
            <v>5780.91</v>
          </cell>
          <cell r="BO148">
            <v>3893.01</v>
          </cell>
          <cell r="BP148">
            <v>1887.8999999999996</v>
          </cell>
          <cell r="BQ148">
            <v>5780.91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X148">
            <v>0</v>
          </cell>
          <cell r="BY148">
            <v>69.5</v>
          </cell>
          <cell r="BZ148">
            <v>0</v>
          </cell>
          <cell r="CA148">
            <v>904.51</v>
          </cell>
        </row>
        <row r="149">
          <cell r="H149" t="str">
            <v>C233630</v>
          </cell>
          <cell r="I149" t="str">
            <v xml:space="preserve">                              </v>
          </cell>
          <cell r="J149" t="str">
            <v xml:space="preserve">                              </v>
          </cell>
          <cell r="K149" t="str">
            <v>SAF HELICOPTERES</v>
          </cell>
          <cell r="L149" t="str">
            <v>LJA</v>
          </cell>
          <cell r="M149">
            <v>44946</v>
          </cell>
          <cell r="N149">
            <v>45016</v>
          </cell>
          <cell r="O149">
            <v>2750</v>
          </cell>
          <cell r="P149">
            <v>0</v>
          </cell>
          <cell r="Q149">
            <v>1445.8000000000002</v>
          </cell>
          <cell r="R149">
            <v>1445.8000000000002</v>
          </cell>
          <cell r="S149">
            <v>0.47425454545454537</v>
          </cell>
          <cell r="T149">
            <v>0.59</v>
          </cell>
          <cell r="U149">
            <v>31.5</v>
          </cell>
          <cell r="V149">
            <v>14.999999999999998</v>
          </cell>
          <cell r="W149">
            <v>15.4</v>
          </cell>
          <cell r="X149">
            <v>0</v>
          </cell>
          <cell r="Y149">
            <v>0</v>
          </cell>
          <cell r="Z149">
            <v>0</v>
          </cell>
          <cell r="AA149">
            <v>2750</v>
          </cell>
          <cell r="AB149">
            <v>1445.8000000000002</v>
          </cell>
          <cell r="AC149">
            <v>0</v>
          </cell>
          <cell r="AD149">
            <v>0.47425454545454537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2750</v>
          </cell>
          <cell r="AZ149">
            <v>0</v>
          </cell>
          <cell r="BA149">
            <v>2750</v>
          </cell>
          <cell r="BB149">
            <v>1445.8000000000002</v>
          </cell>
          <cell r="BC149">
            <v>0</v>
          </cell>
          <cell r="BD149">
            <v>1</v>
          </cell>
          <cell r="BE149">
            <v>1</v>
          </cell>
          <cell r="BF149">
            <v>0</v>
          </cell>
          <cell r="BG149">
            <v>0</v>
          </cell>
          <cell r="BH149">
            <v>0</v>
          </cell>
          <cell r="BI149">
            <v>96</v>
          </cell>
          <cell r="BJ149">
            <v>1</v>
          </cell>
          <cell r="BK149">
            <v>0</v>
          </cell>
          <cell r="BL149">
            <v>0</v>
          </cell>
          <cell r="BM149">
            <v>0</v>
          </cell>
          <cell r="BN149">
            <v>2750</v>
          </cell>
          <cell r="BO149">
            <v>1445.8000000000002</v>
          </cell>
          <cell r="BP149">
            <v>1304.1999999999998</v>
          </cell>
          <cell r="BQ149">
            <v>2750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X149">
            <v>0</v>
          </cell>
          <cell r="BY149">
            <v>30.4</v>
          </cell>
          <cell r="BZ149">
            <v>15.4</v>
          </cell>
          <cell r="CA149">
            <v>0</v>
          </cell>
        </row>
        <row r="150">
          <cell r="H150" t="str">
            <v>C233632</v>
          </cell>
          <cell r="I150" t="str">
            <v xml:space="preserve">UPDATE OF THE DATAPACKAGE     </v>
          </cell>
          <cell r="J150" t="str">
            <v xml:space="preserve">                              </v>
          </cell>
          <cell r="K150" t="str">
            <v xml:space="preserve">EQUILUX AERO IBERIA SLU </v>
          </cell>
          <cell r="L150" t="str">
            <v>PRO</v>
          </cell>
          <cell r="M150">
            <v>44958</v>
          </cell>
          <cell r="O150">
            <v>544006.69999999995</v>
          </cell>
          <cell r="P150">
            <v>12810</v>
          </cell>
          <cell r="Q150">
            <v>299591.42</v>
          </cell>
          <cell r="R150">
            <v>211344.67</v>
          </cell>
          <cell r="S150">
            <v>0.37749586540018709</v>
          </cell>
          <cell r="T150">
            <v>0.25482228435789483</v>
          </cell>
          <cell r="U150">
            <v>746.61</v>
          </cell>
          <cell r="V150">
            <v>599</v>
          </cell>
          <cell r="W150">
            <v>7</v>
          </cell>
          <cell r="X150">
            <v>135</v>
          </cell>
          <cell r="Y150">
            <v>12</v>
          </cell>
          <cell r="Z150">
            <v>134</v>
          </cell>
          <cell r="AA150">
            <v>76471</v>
          </cell>
          <cell r="AB150">
            <v>26121</v>
          </cell>
          <cell r="AC150">
            <v>6412.5</v>
          </cell>
          <cell r="AD150">
            <v>0.57456421388500223</v>
          </cell>
          <cell r="AE150">
            <v>440035.7</v>
          </cell>
          <cell r="AF150">
            <v>7115.4999999999418</v>
          </cell>
          <cell r="AG150">
            <v>7115.5</v>
          </cell>
          <cell r="AH150">
            <v>-5.8207660913467407E-11</v>
          </cell>
          <cell r="AI150">
            <v>0</v>
          </cell>
          <cell r="AJ150">
            <v>2.9103830456733704E-11</v>
          </cell>
          <cell r="AK150">
            <v>2.9103830456733704E-11</v>
          </cell>
          <cell r="AL150">
            <v>0</v>
          </cell>
          <cell r="AM150">
            <v>266354.92000000004</v>
          </cell>
          <cell r="AN150">
            <v>178108.17</v>
          </cell>
          <cell r="AO150">
            <v>5142.4999999999709</v>
          </cell>
          <cell r="AP150">
            <v>5142.4999999999709</v>
          </cell>
          <cell r="AQ150">
            <v>0</v>
          </cell>
          <cell r="AR150">
            <v>0.3668401904663644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188366.7</v>
          </cell>
          <cell r="AZ150">
            <v>0</v>
          </cell>
          <cell r="BA150">
            <v>339507.25505761732</v>
          </cell>
          <cell r="BB150">
            <v>211344.67</v>
          </cell>
          <cell r="BC150">
            <v>127301.75</v>
          </cell>
          <cell r="BD150">
            <v>0.62408653249604706</v>
          </cell>
          <cell r="BE150">
            <v>0.34625805160120277</v>
          </cell>
          <cell r="BF150">
            <v>0</v>
          </cell>
          <cell r="BG150">
            <v>151140.55505761728</v>
          </cell>
          <cell r="BH150">
            <v>27500</v>
          </cell>
          <cell r="BI150">
            <v>100</v>
          </cell>
          <cell r="BJ150">
            <v>0.62408653249604706</v>
          </cell>
          <cell r="BK150">
            <v>-5.8207660913467407E-11</v>
          </cell>
          <cell r="BL150">
            <v>11604.500000000029</v>
          </cell>
          <cell r="BM150">
            <v>4.4888856552853018E-2</v>
          </cell>
          <cell r="BN150">
            <v>339507.25505761732</v>
          </cell>
          <cell r="BO150">
            <v>211344.67</v>
          </cell>
          <cell r="BP150">
            <v>128162.58505761731</v>
          </cell>
          <cell r="BQ150">
            <v>188366.7</v>
          </cell>
          <cell r="BR150">
            <v>31839.360948923277</v>
          </cell>
          <cell r="BS150">
            <v>21922.75</v>
          </cell>
          <cell r="BT150">
            <v>9916.6109489232767</v>
          </cell>
          <cell r="BU150">
            <v>27170</v>
          </cell>
          <cell r="BV150">
            <v>0</v>
          </cell>
          <cell r="BX150">
            <v>204499.44494238263</v>
          </cell>
          <cell r="BY150">
            <v>606</v>
          </cell>
          <cell r="BZ150">
            <v>7</v>
          </cell>
          <cell r="CA150">
            <v>7115.5</v>
          </cell>
        </row>
        <row r="151">
          <cell r="H151" t="str">
            <v>C233632-M</v>
          </cell>
          <cell r="I151" t="str">
            <v xml:space="preserve">HRS DEPLACEMENT MADRID        </v>
          </cell>
          <cell r="J151" t="str">
            <v xml:space="preserve">                              </v>
          </cell>
          <cell r="K151" t="str">
            <v xml:space="preserve">IMMFLY SL </v>
          </cell>
          <cell r="L151" t="str">
            <v>PRO</v>
          </cell>
          <cell r="M151">
            <v>45184</v>
          </cell>
          <cell r="N151" t="str">
            <v/>
          </cell>
          <cell r="O151">
            <v>1810</v>
          </cell>
          <cell r="P151">
            <v>0</v>
          </cell>
          <cell r="Q151">
            <v>1133.6599999999999</v>
          </cell>
          <cell r="R151">
            <v>1133.6599999999999</v>
          </cell>
          <cell r="S151">
            <v>0.37366850828729292</v>
          </cell>
          <cell r="T151">
            <v>0.4585635359116022</v>
          </cell>
          <cell r="U151">
            <v>12</v>
          </cell>
          <cell r="V151">
            <v>14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1200</v>
          </cell>
          <cell r="AB151">
            <v>602</v>
          </cell>
          <cell r="AC151">
            <v>0</v>
          </cell>
          <cell r="AD151">
            <v>0.49833333333333329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610</v>
          </cell>
          <cell r="AT151">
            <v>531.66</v>
          </cell>
          <cell r="AU151">
            <v>0</v>
          </cell>
          <cell r="AV151">
            <v>0</v>
          </cell>
          <cell r="AW151">
            <v>0</v>
          </cell>
          <cell r="AX151">
            <v>0.12842622950819682</v>
          </cell>
          <cell r="AY151">
            <v>1810</v>
          </cell>
          <cell r="AZ151">
            <v>0</v>
          </cell>
          <cell r="BA151">
            <v>1810</v>
          </cell>
          <cell r="BB151">
            <v>1133.6599999999999</v>
          </cell>
          <cell r="BC151">
            <v>0</v>
          </cell>
          <cell r="BD151">
            <v>1</v>
          </cell>
          <cell r="BE151">
            <v>1</v>
          </cell>
          <cell r="BF151">
            <v>0</v>
          </cell>
          <cell r="BG151">
            <v>0</v>
          </cell>
          <cell r="BH151">
            <v>0</v>
          </cell>
          <cell r="BI151">
            <v>105</v>
          </cell>
          <cell r="BJ151">
            <v>1</v>
          </cell>
          <cell r="BK151">
            <v>0</v>
          </cell>
          <cell r="BL151">
            <v>0</v>
          </cell>
          <cell r="BM151">
            <v>0</v>
          </cell>
          <cell r="BN151">
            <v>1810</v>
          </cell>
          <cell r="BO151">
            <v>1133.6599999999999</v>
          </cell>
          <cell r="BP151">
            <v>676.34000000000015</v>
          </cell>
          <cell r="BQ151">
            <v>1810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X151">
            <v>0</v>
          </cell>
          <cell r="BY151">
            <v>14</v>
          </cell>
          <cell r="BZ151">
            <v>0</v>
          </cell>
          <cell r="CA151">
            <v>531.66</v>
          </cell>
        </row>
        <row r="152">
          <cell r="H152" t="str">
            <v>C233633</v>
          </cell>
          <cell r="I152" t="str">
            <v xml:space="preserve">F900EX-073                    </v>
          </cell>
          <cell r="J152" t="str">
            <v xml:space="preserve">                              </v>
          </cell>
          <cell r="K152" t="str">
            <v>A.C.H.</v>
          </cell>
          <cell r="L152" t="str">
            <v>PNA</v>
          </cell>
          <cell r="M152">
            <v>45071</v>
          </cell>
          <cell r="O152">
            <v>3150</v>
          </cell>
          <cell r="P152">
            <v>0</v>
          </cell>
          <cell r="Q152">
            <v>2042.5</v>
          </cell>
          <cell r="R152">
            <v>2042.5</v>
          </cell>
          <cell r="S152">
            <v>0.35158730158730156</v>
          </cell>
          <cell r="T152">
            <v>0.59</v>
          </cell>
          <cell r="U152">
            <v>40.5</v>
          </cell>
          <cell r="V152">
            <v>47.5</v>
          </cell>
          <cell r="W152">
            <v>0</v>
          </cell>
          <cell r="X152">
            <v>0</v>
          </cell>
          <cell r="Y152">
            <v>0</v>
          </cell>
          <cell r="Z152">
            <v>13</v>
          </cell>
          <cell r="AA152">
            <v>3150</v>
          </cell>
          <cell r="AB152">
            <v>2042.5</v>
          </cell>
          <cell r="AC152">
            <v>0</v>
          </cell>
          <cell r="AD152">
            <v>0.35158730158730156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3150</v>
          </cell>
          <cell r="AZ152">
            <v>0</v>
          </cell>
          <cell r="BA152">
            <v>3150</v>
          </cell>
          <cell r="BB152">
            <v>2042.5</v>
          </cell>
          <cell r="BC152">
            <v>0</v>
          </cell>
          <cell r="BD152">
            <v>1</v>
          </cell>
          <cell r="BE152">
            <v>1</v>
          </cell>
          <cell r="BF152">
            <v>0</v>
          </cell>
          <cell r="BG152">
            <v>0</v>
          </cell>
          <cell r="BH152">
            <v>0</v>
          </cell>
          <cell r="BI152">
            <v>105</v>
          </cell>
          <cell r="BJ152">
            <v>1</v>
          </cell>
          <cell r="BK152">
            <v>0</v>
          </cell>
          <cell r="BL152">
            <v>559</v>
          </cell>
          <cell r="BM152">
            <v>0</v>
          </cell>
          <cell r="BN152">
            <v>3150</v>
          </cell>
          <cell r="BO152">
            <v>2042.5</v>
          </cell>
          <cell r="BP152">
            <v>1107.5</v>
          </cell>
          <cell r="BQ152">
            <v>3150</v>
          </cell>
          <cell r="BR152">
            <v>0</v>
          </cell>
          <cell r="BS152">
            <v>559</v>
          </cell>
          <cell r="BT152">
            <v>-559</v>
          </cell>
          <cell r="BU152">
            <v>0</v>
          </cell>
          <cell r="BV152">
            <v>0</v>
          </cell>
          <cell r="BX152">
            <v>0</v>
          </cell>
          <cell r="BY152">
            <v>39.5</v>
          </cell>
          <cell r="BZ152">
            <v>0</v>
          </cell>
          <cell r="CA152">
            <v>0</v>
          </cell>
        </row>
        <row r="153">
          <cell r="H153" t="str">
            <v>C233635</v>
          </cell>
          <cell r="I153" t="str">
            <v xml:space="preserve">REQUEST FOR DOCUMENTATION     </v>
          </cell>
          <cell r="J153" t="str">
            <v xml:space="preserve">                              </v>
          </cell>
          <cell r="K153" t="str">
            <v xml:space="preserve">JETCORP </v>
          </cell>
          <cell r="L153" t="str">
            <v>VGA</v>
          </cell>
          <cell r="M153">
            <v>44953</v>
          </cell>
          <cell r="N153">
            <v>45014</v>
          </cell>
          <cell r="O153">
            <v>900</v>
          </cell>
          <cell r="P153">
            <v>0</v>
          </cell>
          <cell r="Q153">
            <v>387</v>
          </cell>
          <cell r="R153">
            <v>387</v>
          </cell>
          <cell r="S153">
            <v>0.57000000000000006</v>
          </cell>
          <cell r="T153">
            <v>0.59</v>
          </cell>
          <cell r="U153">
            <v>9</v>
          </cell>
          <cell r="V153">
            <v>9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900</v>
          </cell>
          <cell r="AB153">
            <v>387</v>
          </cell>
          <cell r="AC153">
            <v>0</v>
          </cell>
          <cell r="AD153">
            <v>0.57000000000000006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900</v>
          </cell>
          <cell r="AZ153">
            <v>0</v>
          </cell>
          <cell r="BA153">
            <v>900</v>
          </cell>
          <cell r="BB153">
            <v>387</v>
          </cell>
          <cell r="BC153">
            <v>0</v>
          </cell>
          <cell r="BD153">
            <v>1</v>
          </cell>
          <cell r="BE153">
            <v>1</v>
          </cell>
          <cell r="BF153">
            <v>0</v>
          </cell>
          <cell r="BG153">
            <v>0</v>
          </cell>
          <cell r="BH153">
            <v>0</v>
          </cell>
          <cell r="BI153">
            <v>96</v>
          </cell>
          <cell r="BJ153">
            <v>1</v>
          </cell>
          <cell r="BK153">
            <v>0</v>
          </cell>
          <cell r="BL153">
            <v>0</v>
          </cell>
          <cell r="BM153">
            <v>0</v>
          </cell>
          <cell r="BN153">
            <v>900</v>
          </cell>
          <cell r="BO153">
            <v>387</v>
          </cell>
          <cell r="BP153">
            <v>513</v>
          </cell>
          <cell r="BQ153">
            <v>900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X153">
            <v>0</v>
          </cell>
          <cell r="BY153">
            <v>9</v>
          </cell>
          <cell r="BZ153">
            <v>0</v>
          </cell>
          <cell r="CA153">
            <v>0</v>
          </cell>
        </row>
        <row r="154">
          <cell r="H154" t="str">
            <v>C233636</v>
          </cell>
          <cell r="I154" t="str">
            <v xml:space="preserve">DOSSIER D'APPROBATION ZONES   </v>
          </cell>
          <cell r="J154" t="str">
            <v xml:space="preserve">                              </v>
          </cell>
          <cell r="K154" t="str">
            <v>HBG FRANCE</v>
          </cell>
          <cell r="L154" t="str">
            <v>LJA</v>
          </cell>
          <cell r="M154">
            <v>44965</v>
          </cell>
          <cell r="N154">
            <v>44977</v>
          </cell>
          <cell r="O154">
            <v>3700</v>
          </cell>
          <cell r="P154">
            <v>0</v>
          </cell>
          <cell r="Q154">
            <v>1739.8000000000002</v>
          </cell>
          <cell r="R154">
            <v>1739.8000000000002</v>
          </cell>
          <cell r="S154">
            <v>0.52978378378378377</v>
          </cell>
          <cell r="T154">
            <v>0.59</v>
          </cell>
          <cell r="U154">
            <v>37.5</v>
          </cell>
          <cell r="V154">
            <v>17</v>
          </cell>
          <cell r="W154">
            <v>19.399999999999999</v>
          </cell>
          <cell r="X154">
            <v>0</v>
          </cell>
          <cell r="Y154">
            <v>0</v>
          </cell>
          <cell r="Z154">
            <v>0</v>
          </cell>
          <cell r="AA154">
            <v>3700</v>
          </cell>
          <cell r="AB154">
            <v>1739.8000000000002</v>
          </cell>
          <cell r="AC154">
            <v>0</v>
          </cell>
          <cell r="AD154">
            <v>0.52978378378378377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3700</v>
          </cell>
          <cell r="AZ154">
            <v>0</v>
          </cell>
          <cell r="BA154">
            <v>3700</v>
          </cell>
          <cell r="BB154">
            <v>1739.8000000000002</v>
          </cell>
          <cell r="BC154">
            <v>0</v>
          </cell>
          <cell r="BD154">
            <v>1</v>
          </cell>
          <cell r="BE154">
            <v>1</v>
          </cell>
          <cell r="BF154">
            <v>0</v>
          </cell>
          <cell r="BG154">
            <v>0</v>
          </cell>
          <cell r="BH154">
            <v>0</v>
          </cell>
          <cell r="BI154">
            <v>100</v>
          </cell>
          <cell r="BJ154">
            <v>1</v>
          </cell>
          <cell r="BK154">
            <v>0</v>
          </cell>
          <cell r="BL154">
            <v>0</v>
          </cell>
          <cell r="BM154">
            <v>0</v>
          </cell>
          <cell r="BN154">
            <v>3700</v>
          </cell>
          <cell r="BO154">
            <v>1739.8000000000002</v>
          </cell>
          <cell r="BP154">
            <v>1960.1999999999998</v>
          </cell>
          <cell r="BQ154">
            <v>3700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X154">
            <v>0</v>
          </cell>
          <cell r="BY154">
            <v>36.4</v>
          </cell>
          <cell r="BZ154">
            <v>19.399999999999999</v>
          </cell>
          <cell r="CA154">
            <v>0</v>
          </cell>
        </row>
        <row r="155">
          <cell r="H155" t="str">
            <v>C233638</v>
          </cell>
          <cell r="I155" t="str">
            <v xml:space="preserve">MODIFICATION DOSSIER          </v>
          </cell>
          <cell r="J155" t="str">
            <v xml:space="preserve">14075                         </v>
          </cell>
          <cell r="K155" t="str">
            <v xml:space="preserve">RESEAUX TRANSPORT ELECTRICITE </v>
          </cell>
          <cell r="L155" t="str">
            <v>LJA</v>
          </cell>
          <cell r="M155">
            <v>44956</v>
          </cell>
          <cell r="N155">
            <v>45014</v>
          </cell>
          <cell r="O155">
            <v>1752</v>
          </cell>
          <cell r="P155">
            <v>0</v>
          </cell>
          <cell r="Q155">
            <v>875.40000000000009</v>
          </cell>
          <cell r="R155">
            <v>875.40000000000009</v>
          </cell>
          <cell r="S155">
            <v>0.50034246575342456</v>
          </cell>
          <cell r="T155">
            <v>0.59</v>
          </cell>
          <cell r="U155">
            <v>18</v>
          </cell>
          <cell r="V155">
            <v>5</v>
          </cell>
          <cell r="W155">
            <v>12.7</v>
          </cell>
          <cell r="X155">
            <v>0</v>
          </cell>
          <cell r="Y155">
            <v>0</v>
          </cell>
          <cell r="Z155">
            <v>0</v>
          </cell>
          <cell r="AA155">
            <v>1752</v>
          </cell>
          <cell r="AB155">
            <v>875.40000000000009</v>
          </cell>
          <cell r="AC155">
            <v>0</v>
          </cell>
          <cell r="AD155">
            <v>0.50034246575342456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1752</v>
          </cell>
          <cell r="AZ155">
            <v>0</v>
          </cell>
          <cell r="BA155">
            <v>1752</v>
          </cell>
          <cell r="BB155">
            <v>875.40000000000009</v>
          </cell>
          <cell r="BC155">
            <v>0</v>
          </cell>
          <cell r="BD155">
            <v>1</v>
          </cell>
          <cell r="BE155">
            <v>1</v>
          </cell>
          <cell r="BF155">
            <v>0</v>
          </cell>
          <cell r="BG155">
            <v>0</v>
          </cell>
          <cell r="BH155">
            <v>0</v>
          </cell>
          <cell r="BI155">
            <v>96</v>
          </cell>
          <cell r="BJ155">
            <v>1</v>
          </cell>
          <cell r="BK155">
            <v>0</v>
          </cell>
          <cell r="BL155">
            <v>0</v>
          </cell>
          <cell r="BM155">
            <v>0</v>
          </cell>
          <cell r="BN155">
            <v>1752</v>
          </cell>
          <cell r="BO155">
            <v>875.40000000000009</v>
          </cell>
          <cell r="BP155">
            <v>876.59999999999991</v>
          </cell>
          <cell r="BQ155">
            <v>1752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X155">
            <v>0</v>
          </cell>
          <cell r="BY155">
            <v>17.7</v>
          </cell>
          <cell r="BZ155">
            <v>12.7</v>
          </cell>
          <cell r="CA155">
            <v>0</v>
          </cell>
        </row>
        <row r="156">
          <cell r="H156" t="str">
            <v>C233642</v>
          </cell>
          <cell r="I156" t="str">
            <v xml:space="preserve">DOSSIER PROTECTION PERCHES    </v>
          </cell>
          <cell r="J156" t="str">
            <v xml:space="preserve">                              </v>
          </cell>
          <cell r="K156" t="str">
            <v>AIRTELIS</v>
          </cell>
          <cell r="L156" t="str">
            <v>LJA</v>
          </cell>
          <cell r="M156">
            <v>44979</v>
          </cell>
          <cell r="N156">
            <v>45016</v>
          </cell>
          <cell r="O156">
            <v>10824.5</v>
          </cell>
          <cell r="P156">
            <v>0</v>
          </cell>
          <cell r="Q156">
            <v>7118</v>
          </cell>
          <cell r="R156">
            <v>7118</v>
          </cell>
          <cell r="S156">
            <v>0.34241766363342419</v>
          </cell>
          <cell r="T156">
            <v>0.35730426347637301</v>
          </cell>
          <cell r="U156">
            <v>45.5</v>
          </cell>
          <cell r="V156">
            <v>50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4366</v>
          </cell>
          <cell r="AB156">
            <v>2150</v>
          </cell>
          <cell r="AC156">
            <v>0</v>
          </cell>
          <cell r="AD156">
            <v>0.50755840586349055</v>
          </cell>
          <cell r="AE156">
            <v>6458.5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4968</v>
          </cell>
          <cell r="AN156">
            <v>4968</v>
          </cell>
          <cell r="AO156">
            <v>0</v>
          </cell>
          <cell r="AP156">
            <v>0</v>
          </cell>
          <cell r="AQ156">
            <v>0</v>
          </cell>
          <cell r="AR156">
            <v>0.23078114113184178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10824.5</v>
          </cell>
          <cell r="AZ156">
            <v>0</v>
          </cell>
          <cell r="BA156">
            <v>10824.5</v>
          </cell>
          <cell r="BB156">
            <v>7118</v>
          </cell>
          <cell r="BC156">
            <v>0</v>
          </cell>
          <cell r="BD156">
            <v>1</v>
          </cell>
          <cell r="BE156">
            <v>1</v>
          </cell>
          <cell r="BF156">
            <v>0</v>
          </cell>
          <cell r="BG156">
            <v>0</v>
          </cell>
          <cell r="BH156">
            <v>0</v>
          </cell>
          <cell r="BI156">
            <v>100</v>
          </cell>
          <cell r="BJ156">
            <v>1</v>
          </cell>
          <cell r="BK156">
            <v>0</v>
          </cell>
          <cell r="BL156">
            <v>0</v>
          </cell>
          <cell r="BM156">
            <v>0</v>
          </cell>
          <cell r="BN156">
            <v>10824.5</v>
          </cell>
          <cell r="BO156">
            <v>7118</v>
          </cell>
          <cell r="BP156">
            <v>3706.5</v>
          </cell>
          <cell r="BQ156">
            <v>10824.5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X156">
            <v>0</v>
          </cell>
          <cell r="BY156">
            <v>50</v>
          </cell>
          <cell r="BZ156">
            <v>0</v>
          </cell>
          <cell r="CA156">
            <v>0</v>
          </cell>
        </row>
        <row r="157">
          <cell r="H157" t="str">
            <v>C233648</v>
          </cell>
          <cell r="I157" t="str">
            <v>MODIFICATION CABLAGE BM EC120B</v>
          </cell>
          <cell r="J157" t="str">
            <v xml:space="preserve">23016                         </v>
          </cell>
          <cell r="K157" t="str">
            <v xml:space="preserve">HELIDAX </v>
          </cell>
          <cell r="L157" t="str">
            <v>LJA</v>
          </cell>
          <cell r="M157">
            <v>44970</v>
          </cell>
          <cell r="N157">
            <v>45212</v>
          </cell>
          <cell r="O157">
            <v>2600</v>
          </cell>
          <cell r="P157">
            <v>0</v>
          </cell>
          <cell r="Q157">
            <v>1174.4000000000001</v>
          </cell>
          <cell r="R157">
            <v>1174.4000000000001</v>
          </cell>
          <cell r="S157">
            <v>0.54830769230769227</v>
          </cell>
          <cell r="T157">
            <v>0.59</v>
          </cell>
          <cell r="U157">
            <v>30</v>
          </cell>
          <cell r="V157">
            <v>18</v>
          </cell>
          <cell r="W157">
            <v>7.7</v>
          </cell>
          <cell r="X157">
            <v>0</v>
          </cell>
          <cell r="Y157">
            <v>0</v>
          </cell>
          <cell r="Z157">
            <v>0</v>
          </cell>
          <cell r="AA157">
            <v>2600</v>
          </cell>
          <cell r="AB157">
            <v>1174.4000000000001</v>
          </cell>
          <cell r="AC157">
            <v>0</v>
          </cell>
          <cell r="AD157">
            <v>0.54830769230769227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2600</v>
          </cell>
          <cell r="AZ157">
            <v>0</v>
          </cell>
          <cell r="BA157">
            <v>2600</v>
          </cell>
          <cell r="BB157">
            <v>1174.4000000000001</v>
          </cell>
          <cell r="BC157">
            <v>0</v>
          </cell>
          <cell r="BD157">
            <v>1</v>
          </cell>
          <cell r="BE157">
            <v>1</v>
          </cell>
          <cell r="BF157">
            <v>0</v>
          </cell>
          <cell r="BG157">
            <v>0</v>
          </cell>
          <cell r="BH157">
            <v>0</v>
          </cell>
          <cell r="BI157">
            <v>100</v>
          </cell>
          <cell r="BJ157">
            <v>1</v>
          </cell>
          <cell r="BK157">
            <v>0</v>
          </cell>
          <cell r="BL157">
            <v>0</v>
          </cell>
          <cell r="BM157">
            <v>0</v>
          </cell>
          <cell r="BN157">
            <v>2600</v>
          </cell>
          <cell r="BO157">
            <v>1174.4000000000001</v>
          </cell>
          <cell r="BP157">
            <v>1425.6</v>
          </cell>
          <cell r="BQ157">
            <v>2600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X157">
            <v>0</v>
          </cell>
          <cell r="BY157">
            <v>25.7</v>
          </cell>
          <cell r="BZ157">
            <v>7.7</v>
          </cell>
          <cell r="CA157">
            <v>0</v>
          </cell>
        </row>
        <row r="158">
          <cell r="H158" t="str">
            <v>C233649</v>
          </cell>
          <cell r="I158" t="str">
            <v xml:space="preserve">MODIFICATION DOSSIER          </v>
          </cell>
          <cell r="J158" t="str">
            <v xml:space="preserve">                              </v>
          </cell>
          <cell r="K158" t="str">
            <v xml:space="preserve">RESEAUX TRANSPORT ELECTRICITE </v>
          </cell>
          <cell r="L158" t="str">
            <v>LJA</v>
          </cell>
          <cell r="M158">
            <v>44964</v>
          </cell>
          <cell r="N158">
            <v>45022</v>
          </cell>
          <cell r="O158">
            <v>2092</v>
          </cell>
          <cell r="P158">
            <v>0</v>
          </cell>
          <cell r="Q158">
            <v>850.80000000000007</v>
          </cell>
          <cell r="R158">
            <v>850.80000000000007</v>
          </cell>
          <cell r="S158">
            <v>0.59330783938814524</v>
          </cell>
          <cell r="T158">
            <v>0.59</v>
          </cell>
          <cell r="U158">
            <v>22</v>
          </cell>
          <cell r="V158">
            <v>5.9999999999999982</v>
          </cell>
          <cell r="W158">
            <v>11.4</v>
          </cell>
          <cell r="X158">
            <v>0</v>
          </cell>
          <cell r="Y158">
            <v>0</v>
          </cell>
          <cell r="Z158">
            <v>0</v>
          </cell>
          <cell r="AA158">
            <v>2092</v>
          </cell>
          <cell r="AB158">
            <v>850.80000000000007</v>
          </cell>
          <cell r="AC158">
            <v>0</v>
          </cell>
          <cell r="AD158">
            <v>0.59330783938814524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2092</v>
          </cell>
          <cell r="AZ158">
            <v>0</v>
          </cell>
          <cell r="BA158">
            <v>2092</v>
          </cell>
          <cell r="BB158">
            <v>850.80000000000007</v>
          </cell>
          <cell r="BC158">
            <v>0</v>
          </cell>
          <cell r="BD158">
            <v>1</v>
          </cell>
          <cell r="BE158">
            <v>1</v>
          </cell>
          <cell r="BF158">
            <v>0</v>
          </cell>
          <cell r="BG158">
            <v>0</v>
          </cell>
          <cell r="BH158">
            <v>0</v>
          </cell>
          <cell r="BI158">
            <v>100</v>
          </cell>
          <cell r="BJ158">
            <v>1</v>
          </cell>
          <cell r="BK158">
            <v>0</v>
          </cell>
          <cell r="BL158">
            <v>0</v>
          </cell>
          <cell r="BM158">
            <v>0</v>
          </cell>
          <cell r="BN158">
            <v>2092</v>
          </cell>
          <cell r="BO158">
            <v>850.80000000000007</v>
          </cell>
          <cell r="BP158">
            <v>1241.1999999999998</v>
          </cell>
          <cell r="BQ158">
            <v>2092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X158">
            <v>0</v>
          </cell>
          <cell r="BY158">
            <v>17.399999999999999</v>
          </cell>
          <cell r="BZ158">
            <v>11.4</v>
          </cell>
          <cell r="CA158">
            <v>0</v>
          </cell>
        </row>
        <row r="159">
          <cell r="H159" t="str">
            <v>C233655</v>
          </cell>
          <cell r="I159" t="str">
            <v xml:space="preserve">PRE-STUDY COMPATIBILITY IFE   </v>
          </cell>
          <cell r="J159" t="str">
            <v xml:space="preserve">                              </v>
          </cell>
          <cell r="K159" t="str">
            <v>AERO CABIN SOLUTIONS</v>
          </cell>
          <cell r="L159" t="str">
            <v>VGA</v>
          </cell>
          <cell r="M159">
            <v>44970</v>
          </cell>
          <cell r="N159">
            <v>45014</v>
          </cell>
          <cell r="O159">
            <v>2000</v>
          </cell>
          <cell r="P159">
            <v>0</v>
          </cell>
          <cell r="Q159">
            <v>1360.5</v>
          </cell>
          <cell r="R159">
            <v>1360.5</v>
          </cell>
          <cell r="S159">
            <v>0.31974999999999998</v>
          </cell>
          <cell r="T159">
            <v>0.59</v>
          </cell>
          <cell r="U159">
            <v>20</v>
          </cell>
          <cell r="V159">
            <v>13.5</v>
          </cell>
          <cell r="W159">
            <v>15</v>
          </cell>
          <cell r="X159">
            <v>0</v>
          </cell>
          <cell r="Y159">
            <v>0</v>
          </cell>
          <cell r="Z159">
            <v>0</v>
          </cell>
          <cell r="AA159">
            <v>2000</v>
          </cell>
          <cell r="AB159">
            <v>1360.5</v>
          </cell>
          <cell r="AC159">
            <v>0</v>
          </cell>
          <cell r="AD159">
            <v>0.31974999999999998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2000</v>
          </cell>
          <cell r="AZ159">
            <v>0</v>
          </cell>
          <cell r="BA159">
            <v>2000</v>
          </cell>
          <cell r="BB159">
            <v>1360.5</v>
          </cell>
          <cell r="BC159">
            <v>0</v>
          </cell>
          <cell r="BD159">
            <v>1</v>
          </cell>
          <cell r="BE159">
            <v>1</v>
          </cell>
          <cell r="BF159">
            <v>0</v>
          </cell>
          <cell r="BG159">
            <v>0</v>
          </cell>
          <cell r="BH159">
            <v>0</v>
          </cell>
          <cell r="BI159">
            <v>100</v>
          </cell>
          <cell r="BJ159">
            <v>1</v>
          </cell>
          <cell r="BK159">
            <v>0</v>
          </cell>
          <cell r="BL159">
            <v>0</v>
          </cell>
          <cell r="BM159">
            <v>0</v>
          </cell>
          <cell r="BN159">
            <v>2000</v>
          </cell>
          <cell r="BO159">
            <v>1360.5</v>
          </cell>
          <cell r="BP159">
            <v>639.5</v>
          </cell>
          <cell r="BQ159">
            <v>2000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X159">
            <v>0</v>
          </cell>
          <cell r="BY159">
            <v>28.5</v>
          </cell>
          <cell r="BZ159">
            <v>15</v>
          </cell>
          <cell r="CA159">
            <v>0</v>
          </cell>
        </row>
        <row r="160">
          <cell r="H160" t="str">
            <v>C233658</v>
          </cell>
          <cell r="I160" t="str">
            <v xml:space="preserve">AJOUT D'APPLICABILITÉ AE15101 </v>
          </cell>
          <cell r="J160" t="str">
            <v xml:space="preserve">15101                         </v>
          </cell>
          <cell r="K160" t="str">
            <v>ROTOR TEAM</v>
          </cell>
          <cell r="L160" t="str">
            <v>LJA</v>
          </cell>
          <cell r="M160">
            <v>44977</v>
          </cell>
          <cell r="N160">
            <v>44991</v>
          </cell>
          <cell r="O160">
            <v>600</v>
          </cell>
          <cell r="P160">
            <v>0</v>
          </cell>
          <cell r="Q160">
            <v>258</v>
          </cell>
          <cell r="R160">
            <v>258</v>
          </cell>
          <cell r="S160">
            <v>0.57000000000000006</v>
          </cell>
          <cell r="T160">
            <v>0.59</v>
          </cell>
          <cell r="U160">
            <v>6</v>
          </cell>
          <cell r="V160">
            <v>6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600</v>
          </cell>
          <cell r="AB160">
            <v>258</v>
          </cell>
          <cell r="AC160">
            <v>0</v>
          </cell>
          <cell r="AD160">
            <v>0.57000000000000006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600</v>
          </cell>
          <cell r="AZ160">
            <v>0</v>
          </cell>
          <cell r="BA160">
            <v>600</v>
          </cell>
          <cell r="BB160">
            <v>258</v>
          </cell>
          <cell r="BC160">
            <v>0</v>
          </cell>
          <cell r="BD160">
            <v>1</v>
          </cell>
          <cell r="BE160">
            <v>1</v>
          </cell>
          <cell r="BF160">
            <v>0</v>
          </cell>
          <cell r="BG160">
            <v>0</v>
          </cell>
          <cell r="BH160">
            <v>0</v>
          </cell>
          <cell r="BI160">
            <v>100</v>
          </cell>
          <cell r="BJ160">
            <v>1</v>
          </cell>
          <cell r="BK160">
            <v>0</v>
          </cell>
          <cell r="BL160">
            <v>0</v>
          </cell>
          <cell r="BM160">
            <v>0</v>
          </cell>
          <cell r="BN160">
            <v>600</v>
          </cell>
          <cell r="BO160">
            <v>258</v>
          </cell>
          <cell r="BP160">
            <v>342</v>
          </cell>
          <cell r="BQ160">
            <v>600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X160">
            <v>0</v>
          </cell>
          <cell r="BY160">
            <v>6</v>
          </cell>
          <cell r="BZ160">
            <v>0</v>
          </cell>
          <cell r="CA160">
            <v>0</v>
          </cell>
        </row>
        <row r="161">
          <cell r="H161" t="str">
            <v>C233669</v>
          </cell>
          <cell r="I161" t="str">
            <v xml:space="preserve">NRC - SB ON CIRRUS SF50       </v>
          </cell>
          <cell r="J161" t="str">
            <v xml:space="preserve">                              </v>
          </cell>
          <cell r="K161" t="str">
            <v xml:space="preserve">JG AVIATION </v>
          </cell>
          <cell r="L161" t="str">
            <v>VGA</v>
          </cell>
          <cell r="M161">
            <v>45001</v>
          </cell>
          <cell r="N161">
            <v>45107</v>
          </cell>
          <cell r="O161">
            <v>13865</v>
          </cell>
          <cell r="P161">
            <v>0</v>
          </cell>
          <cell r="Q161">
            <v>5611.5</v>
          </cell>
          <cell r="R161">
            <v>5611.5</v>
          </cell>
          <cell r="S161">
            <v>0.5952758745041471</v>
          </cell>
          <cell r="T161">
            <v>0.59</v>
          </cell>
          <cell r="U161">
            <v>138</v>
          </cell>
          <cell r="V161">
            <v>130.5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13865</v>
          </cell>
          <cell r="AB161">
            <v>5611.5</v>
          </cell>
          <cell r="AC161">
            <v>0</v>
          </cell>
          <cell r="AD161">
            <v>0.5952758745041471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13865</v>
          </cell>
          <cell r="AZ161">
            <v>0</v>
          </cell>
          <cell r="BA161">
            <v>13865</v>
          </cell>
          <cell r="BB161">
            <v>5611.5</v>
          </cell>
          <cell r="BC161">
            <v>0</v>
          </cell>
          <cell r="BD161">
            <v>1</v>
          </cell>
          <cell r="BE161">
            <v>1</v>
          </cell>
          <cell r="BF161">
            <v>0</v>
          </cell>
          <cell r="BG161">
            <v>0</v>
          </cell>
          <cell r="BH161">
            <v>0</v>
          </cell>
          <cell r="BI161">
            <v>100</v>
          </cell>
          <cell r="BJ161">
            <v>1</v>
          </cell>
          <cell r="BK161">
            <v>0</v>
          </cell>
          <cell r="BL161">
            <v>0</v>
          </cell>
          <cell r="BM161">
            <v>0</v>
          </cell>
          <cell r="BN161">
            <v>13865</v>
          </cell>
          <cell r="BO161">
            <v>5611.5</v>
          </cell>
          <cell r="BP161">
            <v>8253.5</v>
          </cell>
          <cell r="BQ161">
            <v>13865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X161">
            <v>0</v>
          </cell>
          <cell r="BY161">
            <v>130.5</v>
          </cell>
          <cell r="BZ161">
            <v>0</v>
          </cell>
          <cell r="CA161">
            <v>0</v>
          </cell>
        </row>
        <row r="162">
          <cell r="H162" t="str">
            <v>C233673</v>
          </cell>
          <cell r="I162" t="str">
            <v xml:space="preserve">INSTALLATION ROUTEUR AS350B3  </v>
          </cell>
          <cell r="J162" t="str">
            <v xml:space="preserve">23021                         </v>
          </cell>
          <cell r="K162" t="str">
            <v>AIRWORKS HELICOPTERS</v>
          </cell>
          <cell r="L162" t="str">
            <v>LJA</v>
          </cell>
          <cell r="M162">
            <v>44992</v>
          </cell>
          <cell r="N162">
            <v>45120</v>
          </cell>
          <cell r="O162">
            <v>4750</v>
          </cell>
          <cell r="P162">
            <v>0</v>
          </cell>
          <cell r="Q162">
            <v>1720</v>
          </cell>
          <cell r="R162">
            <v>1720</v>
          </cell>
          <cell r="S162">
            <v>0.63789473684210529</v>
          </cell>
          <cell r="T162">
            <v>0.59</v>
          </cell>
          <cell r="U162">
            <v>49.5</v>
          </cell>
          <cell r="V162">
            <v>40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4750</v>
          </cell>
          <cell r="AB162">
            <v>1720</v>
          </cell>
          <cell r="AC162">
            <v>0</v>
          </cell>
          <cell r="AD162">
            <v>0.63789473684210529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4750</v>
          </cell>
          <cell r="AZ162">
            <v>0</v>
          </cell>
          <cell r="BA162">
            <v>4750</v>
          </cell>
          <cell r="BB162">
            <v>1720</v>
          </cell>
          <cell r="BC162">
            <v>0</v>
          </cell>
          <cell r="BD162">
            <v>1</v>
          </cell>
          <cell r="BE162">
            <v>1</v>
          </cell>
          <cell r="BF162">
            <v>0</v>
          </cell>
          <cell r="BG162">
            <v>0</v>
          </cell>
          <cell r="BH162">
            <v>0</v>
          </cell>
          <cell r="BI162">
            <v>100</v>
          </cell>
          <cell r="BJ162">
            <v>1</v>
          </cell>
          <cell r="BK162">
            <v>0</v>
          </cell>
          <cell r="BL162">
            <v>0</v>
          </cell>
          <cell r="BM162">
            <v>0</v>
          </cell>
          <cell r="BN162">
            <v>4750</v>
          </cell>
          <cell r="BO162">
            <v>1720</v>
          </cell>
          <cell r="BP162">
            <v>3030</v>
          </cell>
          <cell r="BQ162">
            <v>4750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X162">
            <v>0</v>
          </cell>
          <cell r="BY162">
            <v>40</v>
          </cell>
          <cell r="BZ162">
            <v>0</v>
          </cell>
          <cell r="CA162">
            <v>0</v>
          </cell>
        </row>
        <row r="163">
          <cell r="H163" t="str">
            <v>C233674</v>
          </cell>
          <cell r="I163" t="str">
            <v xml:space="preserve">INSTALLATION ROUTEUR BELL 412 </v>
          </cell>
          <cell r="J163" t="str">
            <v xml:space="preserve">23022                         </v>
          </cell>
          <cell r="K163" t="str">
            <v>AIRWORKS HELICOPTERS</v>
          </cell>
          <cell r="L163" t="str">
            <v>LJA</v>
          </cell>
          <cell r="M163">
            <v>44992</v>
          </cell>
          <cell r="N163">
            <v>45237</v>
          </cell>
          <cell r="O163">
            <v>3200</v>
          </cell>
          <cell r="P163">
            <v>0</v>
          </cell>
          <cell r="Q163">
            <v>688</v>
          </cell>
          <cell r="R163">
            <v>688</v>
          </cell>
          <cell r="S163">
            <v>0.78500000000000003</v>
          </cell>
          <cell r="T163">
            <v>0.59</v>
          </cell>
          <cell r="U163">
            <v>33.5</v>
          </cell>
          <cell r="V163">
            <v>16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3200</v>
          </cell>
          <cell r="AB163">
            <v>688</v>
          </cell>
          <cell r="AC163">
            <v>0</v>
          </cell>
          <cell r="AD163">
            <v>0.78500000000000003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3200</v>
          </cell>
          <cell r="BB163">
            <v>688</v>
          </cell>
          <cell r="BC163">
            <v>0</v>
          </cell>
          <cell r="BD163">
            <v>1</v>
          </cell>
          <cell r="BE163">
            <v>0</v>
          </cell>
          <cell r="BF163">
            <v>0</v>
          </cell>
          <cell r="BG163">
            <v>3200</v>
          </cell>
          <cell r="BH163">
            <v>0</v>
          </cell>
          <cell r="BI163">
            <v>100</v>
          </cell>
          <cell r="BJ163">
            <v>1</v>
          </cell>
          <cell r="BK163">
            <v>0</v>
          </cell>
          <cell r="BL163">
            <v>0</v>
          </cell>
          <cell r="BM163">
            <v>0</v>
          </cell>
          <cell r="BN163">
            <v>3200</v>
          </cell>
          <cell r="BO163">
            <v>688</v>
          </cell>
          <cell r="BP163">
            <v>2512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X163">
            <v>0</v>
          </cell>
          <cell r="BY163">
            <v>16</v>
          </cell>
          <cell r="BZ163">
            <v>0</v>
          </cell>
          <cell r="CA163">
            <v>0</v>
          </cell>
        </row>
        <row r="164">
          <cell r="H164" t="str">
            <v>C233678</v>
          </cell>
          <cell r="I164" t="str">
            <v xml:space="preserve">PROVISION BAMBI BUCKET        </v>
          </cell>
          <cell r="J164" t="str">
            <v xml:space="preserve">21170                         </v>
          </cell>
          <cell r="K164" t="str">
            <v>AIRTELIS</v>
          </cell>
          <cell r="L164" t="str">
            <v>LJA</v>
          </cell>
          <cell r="M164">
            <v>45020</v>
          </cell>
          <cell r="N164">
            <v>45044</v>
          </cell>
          <cell r="O164">
            <v>8904.7999999999993</v>
          </cell>
          <cell r="P164">
            <v>0</v>
          </cell>
          <cell r="Q164">
            <v>4968.1000000000004</v>
          </cell>
          <cell r="R164">
            <v>4968.1000000000004</v>
          </cell>
          <cell r="S164">
            <v>0.44208741352978165</v>
          </cell>
          <cell r="T164">
            <v>0.38136173748989305</v>
          </cell>
          <cell r="U164">
            <v>46.5</v>
          </cell>
          <cell r="V164">
            <v>31.5</v>
          </cell>
          <cell r="W164">
            <v>12</v>
          </cell>
          <cell r="X164">
            <v>0</v>
          </cell>
          <cell r="Y164">
            <v>0</v>
          </cell>
          <cell r="Z164">
            <v>0</v>
          </cell>
          <cell r="AA164">
            <v>4140.9999999999991</v>
          </cell>
          <cell r="AB164">
            <v>1978.5</v>
          </cell>
          <cell r="AC164">
            <v>0</v>
          </cell>
          <cell r="AD164">
            <v>0.52221685583192456</v>
          </cell>
          <cell r="AE164">
            <v>4763.8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2989.6</v>
          </cell>
          <cell r="AN164">
            <v>2989.6</v>
          </cell>
          <cell r="AO164">
            <v>0</v>
          </cell>
          <cell r="AP164">
            <v>0</v>
          </cell>
          <cell r="AQ164">
            <v>0</v>
          </cell>
          <cell r="AR164">
            <v>0.37243377135899913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8904.7999999999993</v>
          </cell>
          <cell r="AZ164">
            <v>0</v>
          </cell>
          <cell r="BA164">
            <v>8904.7999999999993</v>
          </cell>
          <cell r="BB164">
            <v>4968.1000000000004</v>
          </cell>
          <cell r="BC164">
            <v>0</v>
          </cell>
          <cell r="BD164">
            <v>1</v>
          </cell>
          <cell r="BE164">
            <v>1</v>
          </cell>
          <cell r="BF164">
            <v>0</v>
          </cell>
          <cell r="BG164">
            <v>0</v>
          </cell>
          <cell r="BH164">
            <v>0</v>
          </cell>
          <cell r="BI164">
            <v>100</v>
          </cell>
          <cell r="BJ164">
            <v>1</v>
          </cell>
          <cell r="BK164">
            <v>0</v>
          </cell>
          <cell r="BL164">
            <v>0</v>
          </cell>
          <cell r="BM164">
            <v>0</v>
          </cell>
          <cell r="BN164">
            <v>8904.7999999999993</v>
          </cell>
          <cell r="BO164">
            <v>4968.1000000000004</v>
          </cell>
          <cell r="BP164">
            <v>3936.6999999999989</v>
          </cell>
          <cell r="BQ164">
            <v>8904.7999999999993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X164">
            <v>0</v>
          </cell>
          <cell r="BY164">
            <v>43.5</v>
          </cell>
          <cell r="BZ164">
            <v>12</v>
          </cell>
          <cell r="CA164">
            <v>0</v>
          </cell>
        </row>
        <row r="165">
          <cell r="H165" t="str">
            <v>C233681</v>
          </cell>
          <cell r="I165" t="str">
            <v xml:space="preserve">NRC - SB WHITE LIVERY         </v>
          </cell>
          <cell r="J165" t="str">
            <v xml:space="preserve">                              </v>
          </cell>
          <cell r="K165" t="str">
            <v xml:space="preserve">REGIO LEASE </v>
          </cell>
          <cell r="L165" t="str">
            <v>VGA</v>
          </cell>
          <cell r="M165">
            <v>44995</v>
          </cell>
          <cell r="N165">
            <v>45044</v>
          </cell>
          <cell r="O165">
            <v>6200</v>
          </cell>
          <cell r="P165">
            <v>0</v>
          </cell>
          <cell r="Q165">
            <v>4450.5</v>
          </cell>
          <cell r="R165">
            <v>4450.5</v>
          </cell>
          <cell r="S165">
            <v>0.28217741935483875</v>
          </cell>
          <cell r="T165">
            <v>0.59</v>
          </cell>
          <cell r="U165">
            <v>62</v>
          </cell>
          <cell r="V165">
            <v>103.5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6200</v>
          </cell>
          <cell r="AB165">
            <v>4450.5</v>
          </cell>
          <cell r="AC165">
            <v>0</v>
          </cell>
          <cell r="AD165">
            <v>0.28217741935483875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6200</v>
          </cell>
          <cell r="AZ165">
            <v>0</v>
          </cell>
          <cell r="BA165">
            <v>6200</v>
          </cell>
          <cell r="BB165">
            <v>4450.5</v>
          </cell>
          <cell r="BC165">
            <v>0</v>
          </cell>
          <cell r="BD165">
            <v>1</v>
          </cell>
          <cell r="BE165">
            <v>1</v>
          </cell>
          <cell r="BF165">
            <v>0</v>
          </cell>
          <cell r="BG165">
            <v>0</v>
          </cell>
          <cell r="BH165">
            <v>0</v>
          </cell>
          <cell r="BI165">
            <v>100</v>
          </cell>
          <cell r="BJ165">
            <v>1</v>
          </cell>
          <cell r="BK165">
            <v>0</v>
          </cell>
          <cell r="BL165">
            <v>0</v>
          </cell>
          <cell r="BM165">
            <v>0</v>
          </cell>
          <cell r="BN165">
            <v>6200</v>
          </cell>
          <cell r="BO165">
            <v>4450.5</v>
          </cell>
          <cell r="BP165">
            <v>1749.5</v>
          </cell>
          <cell r="BQ165">
            <v>6200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X165">
            <v>0</v>
          </cell>
          <cell r="BY165">
            <v>103.5</v>
          </cell>
          <cell r="BZ165">
            <v>0</v>
          </cell>
          <cell r="CA165">
            <v>0</v>
          </cell>
        </row>
        <row r="166">
          <cell r="H166" t="str">
            <v>C233683</v>
          </cell>
          <cell r="I166" t="str">
            <v xml:space="preserve">NRC - SERVICE BULLETIN        </v>
          </cell>
          <cell r="J166" t="str">
            <v xml:space="preserve">                              </v>
          </cell>
          <cell r="K166" t="str">
            <v>CELESTE SA</v>
          </cell>
          <cell r="L166" t="str">
            <v>VGA</v>
          </cell>
          <cell r="M166">
            <v>45105</v>
          </cell>
          <cell r="N166">
            <v>45237</v>
          </cell>
          <cell r="O166">
            <v>12930</v>
          </cell>
          <cell r="P166">
            <v>0</v>
          </cell>
          <cell r="Q166">
            <v>7549.5</v>
          </cell>
          <cell r="R166">
            <v>7549.5</v>
          </cell>
          <cell r="S166">
            <v>0.41612529002320187</v>
          </cell>
          <cell r="T166">
            <v>0.46693735498839906</v>
          </cell>
          <cell r="U166">
            <v>55</v>
          </cell>
          <cell r="V166">
            <v>96.5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8850</v>
          </cell>
          <cell r="AB166">
            <v>4149.5</v>
          </cell>
          <cell r="AC166">
            <v>0</v>
          </cell>
          <cell r="AD166">
            <v>0.53112994350282494</v>
          </cell>
          <cell r="AE166">
            <v>4080</v>
          </cell>
          <cell r="AF166">
            <v>3400</v>
          </cell>
          <cell r="AG166">
            <v>3400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0.16666666666666663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12930</v>
          </cell>
          <cell r="AZ166">
            <v>0</v>
          </cell>
          <cell r="BA166">
            <v>12930</v>
          </cell>
          <cell r="BB166">
            <v>7549.5</v>
          </cell>
          <cell r="BC166">
            <v>0</v>
          </cell>
          <cell r="BD166">
            <v>1</v>
          </cell>
          <cell r="BE166">
            <v>1</v>
          </cell>
          <cell r="BF166">
            <v>0</v>
          </cell>
          <cell r="BG166">
            <v>0</v>
          </cell>
          <cell r="BH166">
            <v>0</v>
          </cell>
          <cell r="BI166">
            <v>105</v>
          </cell>
          <cell r="BJ166">
            <v>1</v>
          </cell>
          <cell r="BK166">
            <v>0</v>
          </cell>
          <cell r="BL166">
            <v>0</v>
          </cell>
          <cell r="BM166">
            <v>0</v>
          </cell>
          <cell r="BN166">
            <v>12930</v>
          </cell>
          <cell r="BO166">
            <v>7549.5</v>
          </cell>
          <cell r="BP166">
            <v>5380.5</v>
          </cell>
          <cell r="BQ166">
            <v>12930</v>
          </cell>
          <cell r="BR166">
            <v>0</v>
          </cell>
          <cell r="BS166">
            <v>0</v>
          </cell>
          <cell r="BT166">
            <v>0</v>
          </cell>
          <cell r="BU166">
            <v>7815</v>
          </cell>
          <cell r="BV166">
            <v>0</v>
          </cell>
          <cell r="BX166">
            <v>0</v>
          </cell>
          <cell r="BY166">
            <v>96.5</v>
          </cell>
          <cell r="BZ166">
            <v>0</v>
          </cell>
          <cell r="CA166">
            <v>3400</v>
          </cell>
        </row>
        <row r="167">
          <cell r="H167" t="str">
            <v>C233685</v>
          </cell>
          <cell r="I167" t="str">
            <v xml:space="preserve">EVOLUTION OF AE21087SB        </v>
          </cell>
          <cell r="J167" t="str">
            <v xml:space="preserve">                              </v>
          </cell>
          <cell r="K167" t="str">
            <v xml:space="preserve">AIR CARAIBES ATLANTIQUE </v>
          </cell>
          <cell r="L167" t="str">
            <v>VGA</v>
          </cell>
          <cell r="M167">
            <v>44999</v>
          </cell>
          <cell r="N167">
            <v>45044</v>
          </cell>
          <cell r="O167">
            <v>1300</v>
          </cell>
          <cell r="P167">
            <v>0</v>
          </cell>
          <cell r="Q167">
            <v>559</v>
          </cell>
          <cell r="R167">
            <v>559</v>
          </cell>
          <cell r="S167">
            <v>0.57000000000000006</v>
          </cell>
          <cell r="T167">
            <v>0.59</v>
          </cell>
          <cell r="U167">
            <v>13</v>
          </cell>
          <cell r="V167">
            <v>13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1300</v>
          </cell>
          <cell r="AB167">
            <v>559</v>
          </cell>
          <cell r="AC167">
            <v>0</v>
          </cell>
          <cell r="AD167">
            <v>0.57000000000000006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1300</v>
          </cell>
          <cell r="AZ167">
            <v>0</v>
          </cell>
          <cell r="BA167">
            <v>1300</v>
          </cell>
          <cell r="BB167">
            <v>559</v>
          </cell>
          <cell r="BC167">
            <v>0</v>
          </cell>
          <cell r="BD167">
            <v>1</v>
          </cell>
          <cell r="BE167">
            <v>1</v>
          </cell>
          <cell r="BF167">
            <v>0</v>
          </cell>
          <cell r="BG167">
            <v>0</v>
          </cell>
          <cell r="BH167">
            <v>0</v>
          </cell>
          <cell r="BI167">
            <v>100</v>
          </cell>
          <cell r="BJ167">
            <v>1</v>
          </cell>
          <cell r="BK167">
            <v>0</v>
          </cell>
          <cell r="BL167">
            <v>0</v>
          </cell>
          <cell r="BM167">
            <v>0</v>
          </cell>
          <cell r="BN167">
            <v>1300</v>
          </cell>
          <cell r="BO167">
            <v>559</v>
          </cell>
          <cell r="BP167">
            <v>741</v>
          </cell>
          <cell r="BQ167">
            <v>1300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X167">
            <v>0</v>
          </cell>
          <cell r="BY167">
            <v>13</v>
          </cell>
          <cell r="BZ167">
            <v>0</v>
          </cell>
          <cell r="CA167">
            <v>0</v>
          </cell>
        </row>
        <row r="168">
          <cell r="H168" t="str">
            <v>C233687</v>
          </cell>
          <cell r="I168" t="str">
            <v xml:space="preserve">INSTALLATION &amp; CERTIFICATION  </v>
          </cell>
          <cell r="J168" t="str">
            <v xml:space="preserve">                              </v>
          </cell>
          <cell r="K168" t="str">
            <v>ARESIA</v>
          </cell>
          <cell r="L168" t="str">
            <v>LJA</v>
          </cell>
          <cell r="M168">
            <v>45133</v>
          </cell>
          <cell r="N168" t="str">
            <v/>
          </cell>
          <cell r="O168">
            <v>176870</v>
          </cell>
          <cell r="P168">
            <v>0</v>
          </cell>
          <cell r="Q168">
            <v>3330.38</v>
          </cell>
          <cell r="R168">
            <v>3330.38</v>
          </cell>
          <cell r="S168">
            <v>0.55894724939220897</v>
          </cell>
          <cell r="T168">
            <v>0.56911856165545316</v>
          </cell>
          <cell r="U168">
            <v>1490</v>
          </cell>
          <cell r="V168">
            <v>71</v>
          </cell>
          <cell r="W168">
            <v>0</v>
          </cell>
          <cell r="X168">
            <v>1418</v>
          </cell>
          <cell r="Y168">
            <v>1418</v>
          </cell>
          <cell r="Z168">
            <v>0</v>
          </cell>
          <cell r="AA168">
            <v>167400</v>
          </cell>
          <cell r="AB168">
            <v>3053</v>
          </cell>
          <cell r="AC168">
            <v>67355</v>
          </cell>
          <cell r="AD168">
            <v>0.57940262843488655</v>
          </cell>
          <cell r="AE168">
            <v>8970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7176</v>
          </cell>
          <cell r="AK168">
            <v>7176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0.19999999999999996</v>
          </cell>
          <cell r="AS168">
            <v>500</v>
          </cell>
          <cell r="AT168">
            <v>277.38</v>
          </cell>
          <cell r="AU168">
            <v>147.62</v>
          </cell>
          <cell r="AV168">
            <v>147.62</v>
          </cell>
          <cell r="AW168">
            <v>0</v>
          </cell>
          <cell r="AX168">
            <v>0.15000000000000002</v>
          </cell>
          <cell r="AY168">
            <v>53061</v>
          </cell>
          <cell r="AZ168">
            <v>0</v>
          </cell>
          <cell r="BA168">
            <v>7550.978869104847</v>
          </cell>
          <cell r="BB168">
            <v>3330.38</v>
          </cell>
          <cell r="BC168">
            <v>74678.62</v>
          </cell>
          <cell r="BD168">
            <v>4.2692253457934343E-2</v>
          </cell>
          <cell r="BE168">
            <v>0.3</v>
          </cell>
          <cell r="BF168">
            <v>-45510.021130895155</v>
          </cell>
          <cell r="BG168">
            <v>0</v>
          </cell>
          <cell r="BH168">
            <v>0</v>
          </cell>
          <cell r="BI168">
            <v>105</v>
          </cell>
          <cell r="BJ168">
            <v>4.2692253457934343E-2</v>
          </cell>
          <cell r="BK168">
            <v>0</v>
          </cell>
          <cell r="BL168">
            <v>0</v>
          </cell>
          <cell r="BM168">
            <v>0</v>
          </cell>
          <cell r="BN168">
            <v>7550.978869104847</v>
          </cell>
          <cell r="BO168">
            <v>3330.38</v>
          </cell>
          <cell r="BP168">
            <v>4220.5988691048469</v>
          </cell>
          <cell r="BQ168">
            <v>53061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X168">
            <v>169319.02113089515</v>
          </cell>
          <cell r="BY168">
            <v>71</v>
          </cell>
          <cell r="BZ168">
            <v>0</v>
          </cell>
          <cell r="CA168">
            <v>277.38</v>
          </cell>
        </row>
        <row r="169">
          <cell r="H169" t="str">
            <v>C233690</v>
          </cell>
          <cell r="I169" t="str">
            <v>Permit to fly</v>
          </cell>
          <cell r="J169" t="str">
            <v xml:space="preserve">                              </v>
          </cell>
          <cell r="K169" t="str">
            <v xml:space="preserve">BABCOCK INTERNATIONAL FRANCE AVIATION </v>
          </cell>
          <cell r="L169" t="str">
            <v>LUD</v>
          </cell>
          <cell r="M169">
            <v>45016</v>
          </cell>
          <cell r="N169">
            <v>45260</v>
          </cell>
          <cell r="O169">
            <v>21000</v>
          </cell>
          <cell r="P169">
            <v>0</v>
          </cell>
          <cell r="Q169">
            <v>172</v>
          </cell>
          <cell r="R169">
            <v>172</v>
          </cell>
          <cell r="S169">
            <v>0.99180952380952381</v>
          </cell>
          <cell r="T169">
            <v>0.59</v>
          </cell>
          <cell r="U169">
            <v>139</v>
          </cell>
          <cell r="V169">
            <v>4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21000</v>
          </cell>
          <cell r="AB169">
            <v>172</v>
          </cell>
          <cell r="AC169">
            <v>0</v>
          </cell>
          <cell r="AD169">
            <v>0.99180952380952381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21000</v>
          </cell>
          <cell r="AZ169">
            <v>0</v>
          </cell>
          <cell r="BA169">
            <v>21000</v>
          </cell>
          <cell r="BB169">
            <v>172</v>
          </cell>
          <cell r="BC169">
            <v>0</v>
          </cell>
          <cell r="BD169">
            <v>1</v>
          </cell>
          <cell r="BE169">
            <v>1</v>
          </cell>
          <cell r="BF169">
            <v>0</v>
          </cell>
          <cell r="BG169">
            <v>0</v>
          </cell>
          <cell r="BH169">
            <v>0</v>
          </cell>
          <cell r="BI169">
            <v>105</v>
          </cell>
          <cell r="BJ169">
            <v>1</v>
          </cell>
          <cell r="BK169">
            <v>0</v>
          </cell>
          <cell r="BL169">
            <v>0</v>
          </cell>
          <cell r="BM169">
            <v>0</v>
          </cell>
          <cell r="BN169">
            <v>21000</v>
          </cell>
          <cell r="BO169">
            <v>172</v>
          </cell>
          <cell r="BP169">
            <v>20828</v>
          </cell>
          <cell r="BQ169">
            <v>21000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X169">
            <v>0</v>
          </cell>
          <cell r="BY169">
            <v>4</v>
          </cell>
          <cell r="BZ169">
            <v>0</v>
          </cell>
          <cell r="CA169">
            <v>0</v>
          </cell>
        </row>
        <row r="170">
          <cell r="H170" t="str">
            <v>C233692</v>
          </cell>
          <cell r="I170" t="str">
            <v>AJOUT D'APPLICABILITE AS350 B3</v>
          </cell>
          <cell r="J170" t="str">
            <v xml:space="preserve">22062                         </v>
          </cell>
          <cell r="K170" t="str">
            <v>ROTOR TEAM</v>
          </cell>
          <cell r="L170" t="str">
            <v>LJA</v>
          </cell>
          <cell r="M170">
            <v>45013</v>
          </cell>
          <cell r="N170">
            <v>45044</v>
          </cell>
          <cell r="O170">
            <v>2700</v>
          </cell>
          <cell r="P170">
            <v>0</v>
          </cell>
          <cell r="Q170">
            <v>1333</v>
          </cell>
          <cell r="R170">
            <v>1333</v>
          </cell>
          <cell r="S170">
            <v>0.50629629629629624</v>
          </cell>
          <cell r="T170">
            <v>0.59</v>
          </cell>
          <cell r="U170">
            <v>27.5</v>
          </cell>
          <cell r="V170">
            <v>31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2700</v>
          </cell>
          <cell r="AB170">
            <v>1333</v>
          </cell>
          <cell r="AC170">
            <v>0</v>
          </cell>
          <cell r="AD170">
            <v>0.50629629629629624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2700</v>
          </cell>
          <cell r="AZ170">
            <v>0</v>
          </cell>
          <cell r="BA170">
            <v>2700</v>
          </cell>
          <cell r="BB170">
            <v>1333</v>
          </cell>
          <cell r="BC170">
            <v>0</v>
          </cell>
          <cell r="BD170">
            <v>1</v>
          </cell>
          <cell r="BE170">
            <v>1</v>
          </cell>
          <cell r="BF170">
            <v>0</v>
          </cell>
          <cell r="BG170">
            <v>0</v>
          </cell>
          <cell r="BH170">
            <v>0</v>
          </cell>
          <cell r="BI170">
            <v>100</v>
          </cell>
          <cell r="BJ170">
            <v>1</v>
          </cell>
          <cell r="BK170">
            <v>0</v>
          </cell>
          <cell r="BL170">
            <v>0</v>
          </cell>
          <cell r="BM170">
            <v>0</v>
          </cell>
          <cell r="BN170">
            <v>2700</v>
          </cell>
          <cell r="BO170">
            <v>1333</v>
          </cell>
          <cell r="BP170">
            <v>1367</v>
          </cell>
          <cell r="BQ170">
            <v>2700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X170">
            <v>0</v>
          </cell>
          <cell r="BY170">
            <v>31</v>
          </cell>
          <cell r="BZ170">
            <v>0</v>
          </cell>
          <cell r="CA170">
            <v>0</v>
          </cell>
        </row>
        <row r="171">
          <cell r="H171" t="str">
            <v>C233693</v>
          </cell>
          <cell r="I171" t="str">
            <v xml:space="preserve">AJOUT D'APPLICABILITÉ         </v>
          </cell>
          <cell r="J171" t="str">
            <v xml:space="preserve">20077                         </v>
          </cell>
          <cell r="K171" t="str">
            <v xml:space="preserve">HELILAGON </v>
          </cell>
          <cell r="L171" t="str">
            <v>LJA</v>
          </cell>
          <cell r="M171">
            <v>45007</v>
          </cell>
          <cell r="N171">
            <v>45030</v>
          </cell>
          <cell r="O171">
            <v>750</v>
          </cell>
          <cell r="P171">
            <v>0</v>
          </cell>
          <cell r="Q171">
            <v>258</v>
          </cell>
          <cell r="R171">
            <v>258</v>
          </cell>
          <cell r="S171">
            <v>0.65600000000000003</v>
          </cell>
          <cell r="T171">
            <v>0.59</v>
          </cell>
          <cell r="U171">
            <v>7.5</v>
          </cell>
          <cell r="V171">
            <v>6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750</v>
          </cell>
          <cell r="AB171">
            <v>258</v>
          </cell>
          <cell r="AC171">
            <v>0</v>
          </cell>
          <cell r="AD171">
            <v>0.65600000000000003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750</v>
          </cell>
          <cell r="AZ171">
            <v>0</v>
          </cell>
          <cell r="BA171">
            <v>750</v>
          </cell>
          <cell r="BB171">
            <v>258</v>
          </cell>
          <cell r="BC171">
            <v>0</v>
          </cell>
          <cell r="BD171">
            <v>1</v>
          </cell>
          <cell r="BE171">
            <v>1</v>
          </cell>
          <cell r="BF171">
            <v>0</v>
          </cell>
          <cell r="BG171">
            <v>0</v>
          </cell>
          <cell r="BH171">
            <v>0</v>
          </cell>
          <cell r="BI171">
            <v>100</v>
          </cell>
          <cell r="BJ171">
            <v>1</v>
          </cell>
          <cell r="BK171">
            <v>0</v>
          </cell>
          <cell r="BL171">
            <v>0</v>
          </cell>
          <cell r="BM171">
            <v>0</v>
          </cell>
          <cell r="BN171">
            <v>750</v>
          </cell>
          <cell r="BO171">
            <v>258</v>
          </cell>
          <cell r="BP171">
            <v>492</v>
          </cell>
          <cell r="BQ171">
            <v>750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X171">
            <v>0</v>
          </cell>
          <cell r="BY171">
            <v>6</v>
          </cell>
          <cell r="BZ171">
            <v>0</v>
          </cell>
          <cell r="CA171">
            <v>0</v>
          </cell>
        </row>
        <row r="172">
          <cell r="H172" t="str">
            <v>C233694</v>
          </cell>
          <cell r="I172" t="str">
            <v xml:space="preserve">MODIFICATION DOSSIER          </v>
          </cell>
          <cell r="J172" t="str">
            <v xml:space="preserve">21124                         </v>
          </cell>
          <cell r="K172" t="str">
            <v xml:space="preserve">HELILAGON </v>
          </cell>
          <cell r="L172" t="str">
            <v>LJA</v>
          </cell>
          <cell r="M172">
            <v>45007</v>
          </cell>
          <cell r="N172">
            <v>45030</v>
          </cell>
          <cell r="O172">
            <v>1350</v>
          </cell>
          <cell r="P172">
            <v>0</v>
          </cell>
          <cell r="Q172">
            <v>688</v>
          </cell>
          <cell r="R172">
            <v>688</v>
          </cell>
          <cell r="S172">
            <v>0.49037037037037035</v>
          </cell>
          <cell r="T172">
            <v>0.59</v>
          </cell>
          <cell r="U172">
            <v>14</v>
          </cell>
          <cell r="V172">
            <v>16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1350</v>
          </cell>
          <cell r="AB172">
            <v>688</v>
          </cell>
          <cell r="AC172">
            <v>0</v>
          </cell>
          <cell r="AD172">
            <v>0.49037037037037035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1350</v>
          </cell>
          <cell r="AZ172">
            <v>0</v>
          </cell>
          <cell r="BA172">
            <v>1350</v>
          </cell>
          <cell r="BB172">
            <v>688</v>
          </cell>
          <cell r="BC172">
            <v>0</v>
          </cell>
          <cell r="BD172">
            <v>1</v>
          </cell>
          <cell r="BE172">
            <v>1</v>
          </cell>
          <cell r="BF172">
            <v>0</v>
          </cell>
          <cell r="BG172">
            <v>0</v>
          </cell>
          <cell r="BH172">
            <v>0</v>
          </cell>
          <cell r="BI172">
            <v>100</v>
          </cell>
          <cell r="BJ172">
            <v>1</v>
          </cell>
          <cell r="BK172">
            <v>0</v>
          </cell>
          <cell r="BL172">
            <v>0</v>
          </cell>
          <cell r="BM172">
            <v>0</v>
          </cell>
          <cell r="BN172">
            <v>1350</v>
          </cell>
          <cell r="BO172">
            <v>688</v>
          </cell>
          <cell r="BP172">
            <v>662</v>
          </cell>
          <cell r="BQ172">
            <v>1350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X172">
            <v>0</v>
          </cell>
          <cell r="BY172">
            <v>16</v>
          </cell>
          <cell r="BZ172">
            <v>0</v>
          </cell>
          <cell r="CA172">
            <v>0</v>
          </cell>
        </row>
        <row r="173">
          <cell r="H173" t="str">
            <v>C233701</v>
          </cell>
          <cell r="I173" t="str">
            <v xml:space="preserve">C212809                       </v>
          </cell>
          <cell r="J173" t="str">
            <v xml:space="preserve">                              </v>
          </cell>
          <cell r="K173" t="str">
            <v xml:space="preserve">BABCOCK INTERNATIONAL FRANCE AVIATION </v>
          </cell>
          <cell r="L173" t="str">
            <v>LUD</v>
          </cell>
          <cell r="M173">
            <v>45019</v>
          </cell>
          <cell r="N173">
            <v>45078</v>
          </cell>
          <cell r="O173">
            <v>3450</v>
          </cell>
          <cell r="P173">
            <v>0</v>
          </cell>
          <cell r="Q173">
            <v>204.85000000000002</v>
          </cell>
          <cell r="R173">
            <v>204.85000000000002</v>
          </cell>
          <cell r="S173">
            <v>0.94062318840579706</v>
          </cell>
          <cell r="T173">
            <v>0.22826086956521741</v>
          </cell>
          <cell r="U173">
            <v>43.5</v>
          </cell>
          <cell r="V173">
            <v>3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250</v>
          </cell>
          <cell r="AB173">
            <v>129</v>
          </cell>
          <cell r="AC173">
            <v>0</v>
          </cell>
          <cell r="AD173">
            <v>0.48399999999999999</v>
          </cell>
          <cell r="AE173">
            <v>3200</v>
          </cell>
          <cell r="AF173">
            <v>75.850000000000009</v>
          </cell>
          <cell r="AG173">
            <v>75.850000000000009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0.97629687499999995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3450</v>
          </cell>
          <cell r="AZ173">
            <v>0</v>
          </cell>
          <cell r="BA173">
            <v>3450</v>
          </cell>
          <cell r="BB173">
            <v>204.85000000000002</v>
          </cell>
          <cell r="BC173">
            <v>0</v>
          </cell>
          <cell r="BD173">
            <v>1</v>
          </cell>
          <cell r="BE173">
            <v>1</v>
          </cell>
          <cell r="BF173">
            <v>0</v>
          </cell>
          <cell r="BG173">
            <v>0</v>
          </cell>
          <cell r="BH173">
            <v>0</v>
          </cell>
          <cell r="BI173">
            <v>105</v>
          </cell>
          <cell r="BJ173">
            <v>1</v>
          </cell>
          <cell r="BK173">
            <v>0</v>
          </cell>
          <cell r="BL173">
            <v>1.4210854715202004E-14</v>
          </cell>
          <cell r="BM173">
            <v>0</v>
          </cell>
          <cell r="BN173">
            <v>3450</v>
          </cell>
          <cell r="BO173">
            <v>204.85000000000002</v>
          </cell>
          <cell r="BP173">
            <v>3245.15</v>
          </cell>
          <cell r="BQ173">
            <v>3450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X173">
            <v>0</v>
          </cell>
          <cell r="BY173">
            <v>3</v>
          </cell>
          <cell r="BZ173">
            <v>0</v>
          </cell>
          <cell r="CA173">
            <v>75.850000000000009</v>
          </cell>
        </row>
        <row r="174">
          <cell r="H174" t="str">
            <v>C233702</v>
          </cell>
          <cell r="I174" t="str">
            <v xml:space="preserve">C223472                       </v>
          </cell>
          <cell r="J174" t="str">
            <v xml:space="preserve">                              </v>
          </cell>
          <cell r="K174" t="str">
            <v xml:space="preserve">BABCOCK INTERNATIONAL FRANCE AVIATION </v>
          </cell>
          <cell r="L174" t="str">
            <v>PMI</v>
          </cell>
          <cell r="M174">
            <v>45014</v>
          </cell>
          <cell r="N174">
            <v>45051</v>
          </cell>
          <cell r="O174">
            <v>1300</v>
          </cell>
          <cell r="P174">
            <v>0</v>
          </cell>
          <cell r="Q174">
            <v>0</v>
          </cell>
          <cell r="R174">
            <v>0</v>
          </cell>
          <cell r="S174">
            <v>1</v>
          </cell>
          <cell r="T174">
            <v>0.2</v>
          </cell>
          <cell r="U174">
            <v>10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1300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1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1300</v>
          </cell>
          <cell r="AZ174">
            <v>0</v>
          </cell>
          <cell r="BA174">
            <v>1300</v>
          </cell>
          <cell r="BB174">
            <v>0</v>
          </cell>
          <cell r="BC174">
            <v>0</v>
          </cell>
          <cell r="BD174">
            <v>1</v>
          </cell>
          <cell r="BE174">
            <v>1</v>
          </cell>
          <cell r="BF174">
            <v>0</v>
          </cell>
          <cell r="BG174">
            <v>0</v>
          </cell>
          <cell r="BH174">
            <v>0</v>
          </cell>
          <cell r="BI174">
            <v>100</v>
          </cell>
          <cell r="BJ174">
            <v>1</v>
          </cell>
          <cell r="BK174">
            <v>0</v>
          </cell>
          <cell r="BL174">
            <v>0</v>
          </cell>
          <cell r="BM174">
            <v>0</v>
          </cell>
          <cell r="BN174">
            <v>1300</v>
          </cell>
          <cell r="BO174">
            <v>0</v>
          </cell>
          <cell r="BP174">
            <v>1300</v>
          </cell>
          <cell r="BQ174">
            <v>1300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</row>
        <row r="175">
          <cell r="H175" t="str">
            <v>C233703</v>
          </cell>
          <cell r="I175" t="str">
            <v xml:space="preserve">FRAIS EASA                    </v>
          </cell>
          <cell r="J175" t="str">
            <v xml:space="preserve">                              </v>
          </cell>
          <cell r="K175" t="str">
            <v>SAINT GOBAIN SULLY</v>
          </cell>
          <cell r="L175" t="str">
            <v>PDA</v>
          </cell>
          <cell r="M175">
            <v>45022</v>
          </cell>
          <cell r="N175">
            <v>45044</v>
          </cell>
          <cell r="O175">
            <v>15114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0.2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15114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1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15114</v>
          </cell>
          <cell r="AZ175">
            <v>0</v>
          </cell>
          <cell r="BA175">
            <v>15114</v>
          </cell>
          <cell r="BB175">
            <v>0</v>
          </cell>
          <cell r="BC175">
            <v>0</v>
          </cell>
          <cell r="BD175">
            <v>1</v>
          </cell>
          <cell r="BE175">
            <v>1</v>
          </cell>
          <cell r="BF175">
            <v>0</v>
          </cell>
          <cell r="BG175">
            <v>0</v>
          </cell>
          <cell r="BH175">
            <v>0</v>
          </cell>
          <cell r="BI175">
            <v>105</v>
          </cell>
          <cell r="BJ175">
            <v>1</v>
          </cell>
          <cell r="BK175">
            <v>0</v>
          </cell>
          <cell r="BL175">
            <v>0</v>
          </cell>
          <cell r="BM175">
            <v>0</v>
          </cell>
          <cell r="BN175">
            <v>15114</v>
          </cell>
          <cell r="BO175">
            <v>0</v>
          </cell>
          <cell r="BP175">
            <v>15114</v>
          </cell>
          <cell r="BQ175">
            <v>15114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</row>
        <row r="176">
          <cell r="H176" t="str">
            <v>C233704</v>
          </cell>
          <cell r="I176" t="str">
            <v xml:space="preserve">FRAIS EASA                    </v>
          </cell>
          <cell r="J176" t="str">
            <v xml:space="preserve">                              </v>
          </cell>
          <cell r="K176" t="str">
            <v>SAINT GOBAIN SULLY</v>
          </cell>
          <cell r="L176" t="str">
            <v>PDA</v>
          </cell>
          <cell r="M176">
            <v>45077</v>
          </cell>
          <cell r="N176">
            <v>45107</v>
          </cell>
          <cell r="O176">
            <v>16611</v>
          </cell>
          <cell r="P176">
            <v>0</v>
          </cell>
          <cell r="Q176">
            <v>0</v>
          </cell>
          <cell r="R176">
            <v>0</v>
          </cell>
          <cell r="S176">
            <v>1</v>
          </cell>
          <cell r="T176">
            <v>0.2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16611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1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16611</v>
          </cell>
          <cell r="AZ176">
            <v>0</v>
          </cell>
          <cell r="BA176">
            <v>16611</v>
          </cell>
          <cell r="BB176">
            <v>0</v>
          </cell>
          <cell r="BC176">
            <v>0</v>
          </cell>
          <cell r="BD176">
            <v>1</v>
          </cell>
          <cell r="BE176">
            <v>1</v>
          </cell>
          <cell r="BF176">
            <v>0</v>
          </cell>
          <cell r="BG176">
            <v>0</v>
          </cell>
          <cell r="BH176">
            <v>0</v>
          </cell>
          <cell r="BI176">
            <v>105</v>
          </cell>
          <cell r="BJ176">
            <v>1</v>
          </cell>
          <cell r="BK176">
            <v>0</v>
          </cell>
          <cell r="BL176">
            <v>0</v>
          </cell>
          <cell r="BM176">
            <v>0</v>
          </cell>
          <cell r="BN176">
            <v>16611</v>
          </cell>
          <cell r="BO176">
            <v>0</v>
          </cell>
          <cell r="BP176">
            <v>16611</v>
          </cell>
          <cell r="BQ176">
            <v>16611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</row>
        <row r="177">
          <cell r="H177" t="str">
            <v>C233709</v>
          </cell>
          <cell r="I177" t="str">
            <v xml:space="preserve">CABIN REFURBISHMENT           </v>
          </cell>
          <cell r="J177" t="str">
            <v xml:space="preserve">                              </v>
          </cell>
          <cell r="K177" t="str">
            <v xml:space="preserve">SDA </v>
          </cell>
          <cell r="L177" t="str">
            <v>VGA</v>
          </cell>
          <cell r="M177">
            <v>45036</v>
          </cell>
          <cell r="N177">
            <v>45107</v>
          </cell>
          <cell r="O177">
            <v>4000</v>
          </cell>
          <cell r="P177">
            <v>0</v>
          </cell>
          <cell r="Q177">
            <v>1376</v>
          </cell>
          <cell r="R177">
            <v>1376</v>
          </cell>
          <cell r="S177">
            <v>0.65600000000000003</v>
          </cell>
          <cell r="T177">
            <v>0.59</v>
          </cell>
          <cell r="U177">
            <v>38</v>
          </cell>
          <cell r="V177">
            <v>32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4000</v>
          </cell>
          <cell r="AB177">
            <v>1376</v>
          </cell>
          <cell r="AC177">
            <v>0</v>
          </cell>
          <cell r="AD177">
            <v>0.65600000000000003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4000</v>
          </cell>
          <cell r="AZ177">
            <v>0</v>
          </cell>
          <cell r="BA177">
            <v>4000</v>
          </cell>
          <cell r="BB177">
            <v>1376</v>
          </cell>
          <cell r="BC177">
            <v>0</v>
          </cell>
          <cell r="BD177">
            <v>1</v>
          </cell>
          <cell r="BE177">
            <v>1</v>
          </cell>
          <cell r="BF177">
            <v>0</v>
          </cell>
          <cell r="BG177">
            <v>0</v>
          </cell>
          <cell r="BH177">
            <v>0</v>
          </cell>
          <cell r="BI177">
            <v>105</v>
          </cell>
          <cell r="BJ177">
            <v>1</v>
          </cell>
          <cell r="BK177">
            <v>0</v>
          </cell>
          <cell r="BL177">
            <v>0</v>
          </cell>
          <cell r="BM177">
            <v>0</v>
          </cell>
          <cell r="BN177">
            <v>4000</v>
          </cell>
          <cell r="BO177">
            <v>1376</v>
          </cell>
          <cell r="BP177">
            <v>2624</v>
          </cell>
          <cell r="BQ177">
            <v>4000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X177">
            <v>0</v>
          </cell>
          <cell r="BY177">
            <v>32</v>
          </cell>
          <cell r="BZ177">
            <v>0</v>
          </cell>
          <cell r="CA177">
            <v>0</v>
          </cell>
        </row>
        <row r="178">
          <cell r="H178" t="str">
            <v>C233710</v>
          </cell>
          <cell r="I178" t="str">
            <v>CAA LIVERY ON A330-300 MSN 805</v>
          </cell>
          <cell r="J178" t="str">
            <v xml:space="preserve">                              </v>
          </cell>
          <cell r="K178" t="str">
            <v xml:space="preserve">CAA </v>
          </cell>
          <cell r="L178" t="str">
            <v>VGA</v>
          </cell>
          <cell r="M178">
            <v>45016</v>
          </cell>
          <cell r="N178">
            <v>45044</v>
          </cell>
          <cell r="O178">
            <v>8000</v>
          </cell>
          <cell r="P178">
            <v>0</v>
          </cell>
          <cell r="Q178">
            <v>4142.45</v>
          </cell>
          <cell r="R178">
            <v>4142.45</v>
          </cell>
          <cell r="S178">
            <v>0.48219374999999998</v>
          </cell>
          <cell r="T178">
            <v>0.59</v>
          </cell>
          <cell r="U178">
            <v>79</v>
          </cell>
          <cell r="V178">
            <v>95.5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8000</v>
          </cell>
          <cell r="AB178">
            <v>4106.5</v>
          </cell>
          <cell r="AC178">
            <v>0</v>
          </cell>
          <cell r="AD178">
            <v>0.48668750000000005</v>
          </cell>
          <cell r="AE178">
            <v>0</v>
          </cell>
          <cell r="AF178">
            <v>35.950000000000003</v>
          </cell>
          <cell r="AG178">
            <v>35.950000000000003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8000</v>
          </cell>
          <cell r="AZ178">
            <v>0</v>
          </cell>
          <cell r="BA178">
            <v>8000</v>
          </cell>
          <cell r="BB178">
            <v>4142.45</v>
          </cell>
          <cell r="BC178">
            <v>0</v>
          </cell>
          <cell r="BD178">
            <v>1</v>
          </cell>
          <cell r="BE178">
            <v>1</v>
          </cell>
          <cell r="BF178">
            <v>0</v>
          </cell>
          <cell r="BG178">
            <v>0</v>
          </cell>
          <cell r="BH178">
            <v>0</v>
          </cell>
          <cell r="BI178">
            <v>105</v>
          </cell>
          <cell r="BJ178">
            <v>1</v>
          </cell>
          <cell r="BK178">
            <v>0</v>
          </cell>
          <cell r="BL178">
            <v>0</v>
          </cell>
          <cell r="BM178">
            <v>0</v>
          </cell>
          <cell r="BN178">
            <v>8000</v>
          </cell>
          <cell r="BO178">
            <v>4142.45</v>
          </cell>
          <cell r="BP178">
            <v>3857.55</v>
          </cell>
          <cell r="BQ178">
            <v>8000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X178">
            <v>0</v>
          </cell>
          <cell r="BY178">
            <v>95.5</v>
          </cell>
          <cell r="BZ178">
            <v>0</v>
          </cell>
          <cell r="CA178">
            <v>35.950000000000003</v>
          </cell>
        </row>
        <row r="179">
          <cell r="H179" t="str">
            <v>C233714</v>
          </cell>
          <cell r="I179" t="str">
            <v>DOSSIER MODIFICATION PARK LIGH</v>
          </cell>
          <cell r="J179" t="str">
            <v xml:space="preserve">23036                         </v>
          </cell>
          <cell r="K179" t="str">
            <v>HBG FRANCE</v>
          </cell>
          <cell r="L179" t="str">
            <v>LJA</v>
          </cell>
          <cell r="M179">
            <v>45027</v>
          </cell>
          <cell r="N179">
            <v>45142</v>
          </cell>
          <cell r="O179">
            <v>2880</v>
          </cell>
          <cell r="P179">
            <v>0</v>
          </cell>
          <cell r="Q179">
            <v>1290</v>
          </cell>
          <cell r="R179">
            <v>1290</v>
          </cell>
          <cell r="S179">
            <v>0.55208333333333326</v>
          </cell>
          <cell r="T179">
            <v>0.59</v>
          </cell>
          <cell r="U179">
            <v>30</v>
          </cell>
          <cell r="V179">
            <v>30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2880</v>
          </cell>
          <cell r="AB179">
            <v>1290</v>
          </cell>
          <cell r="AC179">
            <v>0</v>
          </cell>
          <cell r="AD179">
            <v>0.55208333333333326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2880</v>
          </cell>
          <cell r="AZ179">
            <v>0</v>
          </cell>
          <cell r="BA179">
            <v>2880</v>
          </cell>
          <cell r="BB179">
            <v>1290</v>
          </cell>
          <cell r="BC179">
            <v>0</v>
          </cell>
          <cell r="BD179">
            <v>1</v>
          </cell>
          <cell r="BE179">
            <v>1</v>
          </cell>
          <cell r="BF179">
            <v>0</v>
          </cell>
          <cell r="BG179">
            <v>0</v>
          </cell>
          <cell r="BH179">
            <v>0</v>
          </cell>
          <cell r="BI179">
            <v>105</v>
          </cell>
          <cell r="BJ179">
            <v>1</v>
          </cell>
          <cell r="BK179">
            <v>0</v>
          </cell>
          <cell r="BL179">
            <v>0</v>
          </cell>
          <cell r="BM179">
            <v>0</v>
          </cell>
          <cell r="BN179">
            <v>2880</v>
          </cell>
          <cell r="BO179">
            <v>1290</v>
          </cell>
          <cell r="BP179">
            <v>1590</v>
          </cell>
          <cell r="BQ179">
            <v>2880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X179">
            <v>0</v>
          </cell>
          <cell r="BY179">
            <v>30</v>
          </cell>
          <cell r="BZ179">
            <v>0</v>
          </cell>
          <cell r="CA179">
            <v>0</v>
          </cell>
        </row>
        <row r="180">
          <cell r="H180" t="str">
            <v>C233716</v>
          </cell>
          <cell r="I180" t="str">
            <v xml:space="preserve">FL1007 FERRY FLIGHT           </v>
          </cell>
          <cell r="J180" t="str">
            <v xml:space="preserve">                              </v>
          </cell>
          <cell r="K180" t="str">
            <v>LEONARDO S.P.A</v>
          </cell>
          <cell r="L180" t="str">
            <v>PDA</v>
          </cell>
          <cell r="M180">
            <v>45033</v>
          </cell>
          <cell r="N180">
            <v>45107</v>
          </cell>
          <cell r="O180">
            <v>2500</v>
          </cell>
          <cell r="P180">
            <v>0</v>
          </cell>
          <cell r="Q180">
            <v>0</v>
          </cell>
          <cell r="R180">
            <v>0</v>
          </cell>
          <cell r="S180">
            <v>1</v>
          </cell>
          <cell r="T180">
            <v>0.2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2500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1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2500</v>
          </cell>
          <cell r="AZ180">
            <v>0</v>
          </cell>
          <cell r="BA180">
            <v>2500</v>
          </cell>
          <cell r="BB180">
            <v>0</v>
          </cell>
          <cell r="BC180">
            <v>0</v>
          </cell>
          <cell r="BD180">
            <v>1</v>
          </cell>
          <cell r="BE180">
            <v>1</v>
          </cell>
          <cell r="BF180">
            <v>0</v>
          </cell>
          <cell r="BG180">
            <v>0</v>
          </cell>
          <cell r="BH180">
            <v>0</v>
          </cell>
          <cell r="BI180">
            <v>105</v>
          </cell>
          <cell r="BJ180">
            <v>1</v>
          </cell>
          <cell r="BK180">
            <v>0</v>
          </cell>
          <cell r="BL180">
            <v>0</v>
          </cell>
          <cell r="BM180">
            <v>0</v>
          </cell>
          <cell r="BN180">
            <v>2500</v>
          </cell>
          <cell r="BO180">
            <v>0</v>
          </cell>
          <cell r="BP180">
            <v>2500</v>
          </cell>
          <cell r="BQ180">
            <v>2500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</row>
        <row r="181">
          <cell r="H181" t="str">
            <v>C233717</v>
          </cell>
          <cell r="I181" t="str">
            <v xml:space="preserve">EXPERTISE &amp; PM AEROTEC        </v>
          </cell>
          <cell r="J181" t="str">
            <v xml:space="preserve">                              </v>
          </cell>
          <cell r="K181" t="str">
            <v>AIRBUS SAS</v>
          </cell>
          <cell r="L181" t="str">
            <v>PDA</v>
          </cell>
          <cell r="M181">
            <v>45058</v>
          </cell>
          <cell r="N181">
            <v>45203</v>
          </cell>
          <cell r="O181">
            <v>62292.068742999996</v>
          </cell>
          <cell r="P181">
            <v>0</v>
          </cell>
          <cell r="Q181">
            <v>46711.899136000007</v>
          </cell>
          <cell r="R181">
            <v>46711.899999999994</v>
          </cell>
          <cell r="S181">
            <v>0.25011482073712299</v>
          </cell>
          <cell r="T181">
            <v>0.24453813809228753</v>
          </cell>
          <cell r="U181">
            <v>67.750250542857145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7113.7763070000001</v>
          </cell>
          <cell r="AB181">
            <v>0</v>
          </cell>
          <cell r="AC181">
            <v>0</v>
          </cell>
          <cell r="AD181">
            <v>1</v>
          </cell>
          <cell r="AE181">
            <v>40178.292435999996</v>
          </cell>
          <cell r="AF181">
            <v>35254.489136000004</v>
          </cell>
          <cell r="AG181">
            <v>35254.489999999991</v>
          </cell>
          <cell r="AH181">
            <v>-8.6399998690467328E-4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0.12254884420096046</v>
          </cell>
          <cell r="AS181">
            <v>15000</v>
          </cell>
          <cell r="AT181">
            <v>11457.41</v>
          </cell>
          <cell r="AU181">
            <v>0</v>
          </cell>
          <cell r="AV181">
            <v>0</v>
          </cell>
          <cell r="AW181">
            <v>0</v>
          </cell>
          <cell r="AX181">
            <v>0.2361726666666667</v>
          </cell>
          <cell r="AY181">
            <v>62525.074000000001</v>
          </cell>
          <cell r="AZ181">
            <v>0</v>
          </cell>
          <cell r="BA181">
            <v>62292.06989517637</v>
          </cell>
          <cell r="BB181">
            <v>46711.899999999994</v>
          </cell>
          <cell r="BC181">
            <v>-8.6399998690467328E-4</v>
          </cell>
          <cell r="BD181">
            <v>1.0000000184963576</v>
          </cell>
          <cell r="BE181">
            <v>1.0037405284766079</v>
          </cell>
          <cell r="BF181">
            <v>-233.004104823631</v>
          </cell>
          <cell r="BG181">
            <v>0</v>
          </cell>
          <cell r="BH181">
            <v>0</v>
          </cell>
          <cell r="BI181">
            <v>105</v>
          </cell>
          <cell r="BJ181">
            <v>1.0000000184963576</v>
          </cell>
          <cell r="BK181">
            <v>0</v>
          </cell>
          <cell r="BL181">
            <v>0</v>
          </cell>
          <cell r="BM181">
            <v>0</v>
          </cell>
          <cell r="BN181">
            <v>62292.06989517637</v>
          </cell>
          <cell r="BO181">
            <v>46711.899999999994</v>
          </cell>
          <cell r="BP181">
            <v>15580.169895176376</v>
          </cell>
          <cell r="BQ181">
            <v>62525.074000000001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X181">
            <v>-1.152176373580005E-3</v>
          </cell>
          <cell r="BY181">
            <v>0</v>
          </cell>
          <cell r="BZ181">
            <v>0</v>
          </cell>
          <cell r="CA181">
            <v>46711.899999999994</v>
          </cell>
        </row>
        <row r="182">
          <cell r="H182" t="str">
            <v>C233718</v>
          </cell>
          <cell r="I182" t="str">
            <v>A320 MSN3743 SEATS REPLACEMENT</v>
          </cell>
          <cell r="J182" t="str">
            <v xml:space="preserve">                              </v>
          </cell>
          <cell r="K182" t="str">
            <v>AERO CABIN SOLUTIONS</v>
          </cell>
          <cell r="L182" t="str">
            <v>FDE</v>
          </cell>
          <cell r="M182">
            <v>45021</v>
          </cell>
          <cell r="N182">
            <v>45077</v>
          </cell>
          <cell r="O182">
            <v>12500</v>
          </cell>
          <cell r="P182">
            <v>0</v>
          </cell>
          <cell r="Q182">
            <v>7166</v>
          </cell>
          <cell r="R182">
            <v>7166</v>
          </cell>
          <cell r="S182">
            <v>0.42671999999999999</v>
          </cell>
          <cell r="T182">
            <v>0.59</v>
          </cell>
          <cell r="U182">
            <v>69</v>
          </cell>
          <cell r="V182">
            <v>62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12500</v>
          </cell>
          <cell r="AB182">
            <v>2666</v>
          </cell>
          <cell r="AC182">
            <v>0</v>
          </cell>
          <cell r="AD182">
            <v>0.78671999999999997</v>
          </cell>
          <cell r="AE182">
            <v>0</v>
          </cell>
          <cell r="AF182">
            <v>4500</v>
          </cell>
          <cell r="AG182">
            <v>4500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12500</v>
          </cell>
          <cell r="AZ182">
            <v>0</v>
          </cell>
          <cell r="BA182">
            <v>12500</v>
          </cell>
          <cell r="BB182">
            <v>7166</v>
          </cell>
          <cell r="BC182">
            <v>0</v>
          </cell>
          <cell r="BD182">
            <v>1</v>
          </cell>
          <cell r="BE182">
            <v>1</v>
          </cell>
          <cell r="BF182">
            <v>0</v>
          </cell>
          <cell r="BG182">
            <v>0</v>
          </cell>
          <cell r="BH182">
            <v>0</v>
          </cell>
          <cell r="BI182">
            <v>105</v>
          </cell>
          <cell r="BJ182">
            <v>1</v>
          </cell>
          <cell r="BK182">
            <v>0</v>
          </cell>
          <cell r="BL182">
            <v>0</v>
          </cell>
          <cell r="BM182">
            <v>0</v>
          </cell>
          <cell r="BN182">
            <v>12500</v>
          </cell>
          <cell r="BO182">
            <v>7166</v>
          </cell>
          <cell r="BP182">
            <v>5334</v>
          </cell>
          <cell r="BQ182">
            <v>12500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X182">
            <v>0</v>
          </cell>
          <cell r="BY182">
            <v>62</v>
          </cell>
          <cell r="BZ182">
            <v>0</v>
          </cell>
          <cell r="CA182">
            <v>4500</v>
          </cell>
        </row>
        <row r="183">
          <cell r="H183" t="str">
            <v>C233719</v>
          </cell>
          <cell r="I183" t="str">
            <v xml:space="preserve">DOSSIER INSTALLATION SIRENE   </v>
          </cell>
          <cell r="J183" t="str">
            <v xml:space="preserve">                              </v>
          </cell>
          <cell r="K183" t="str">
            <v>SAF HELICOPTERES</v>
          </cell>
          <cell r="L183" t="str">
            <v>LJA</v>
          </cell>
          <cell r="M183">
            <v>45040</v>
          </cell>
          <cell r="N183" t="str">
            <v/>
          </cell>
          <cell r="O183">
            <v>10650</v>
          </cell>
          <cell r="P183">
            <v>2750</v>
          </cell>
          <cell r="Q183">
            <v>3311</v>
          </cell>
          <cell r="R183">
            <v>3311</v>
          </cell>
          <cell r="S183">
            <v>0.66680751173708919</v>
          </cell>
          <cell r="T183">
            <v>0.48929577464788732</v>
          </cell>
          <cell r="U183">
            <v>98</v>
          </cell>
          <cell r="V183">
            <v>77</v>
          </cell>
          <cell r="W183">
            <v>0</v>
          </cell>
          <cell r="X183">
            <v>5</v>
          </cell>
          <cell r="Y183">
            <v>21</v>
          </cell>
          <cell r="Z183">
            <v>16</v>
          </cell>
          <cell r="AA183">
            <v>7900</v>
          </cell>
          <cell r="AB183">
            <v>3311</v>
          </cell>
          <cell r="AC183">
            <v>237.5</v>
          </cell>
          <cell r="AD183">
            <v>0.55082278481012659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2750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0</v>
          </cell>
          <cell r="AZ183">
            <v>0</v>
          </cell>
          <cell r="BA183">
            <v>9937.1988164012964</v>
          </cell>
          <cell r="BB183">
            <v>3311</v>
          </cell>
          <cell r="BC183">
            <v>237.5</v>
          </cell>
          <cell r="BD183">
            <v>0.93307031139918273</v>
          </cell>
          <cell r="BE183">
            <v>0</v>
          </cell>
          <cell r="BF183">
            <v>0</v>
          </cell>
          <cell r="BG183">
            <v>9937.1988164012964</v>
          </cell>
          <cell r="BH183">
            <v>0</v>
          </cell>
          <cell r="BI183">
            <v>105</v>
          </cell>
          <cell r="BJ183">
            <v>0.93307031139918273</v>
          </cell>
          <cell r="BK183">
            <v>0</v>
          </cell>
          <cell r="BL183">
            <v>-72</v>
          </cell>
          <cell r="BM183">
            <v>0.2085847431075103</v>
          </cell>
          <cell r="BN183">
            <v>9937.1988164012964</v>
          </cell>
          <cell r="BO183">
            <v>3311</v>
          </cell>
          <cell r="BP183">
            <v>6626.1988164012964</v>
          </cell>
          <cell r="BQ183">
            <v>0</v>
          </cell>
          <cell r="BR183">
            <v>4213.7628268970839</v>
          </cell>
          <cell r="BS183">
            <v>688</v>
          </cell>
          <cell r="BT183">
            <v>3525.7628268970839</v>
          </cell>
          <cell r="BU183">
            <v>0</v>
          </cell>
          <cell r="BV183">
            <v>0</v>
          </cell>
          <cell r="BX183">
            <v>712.80118359870357</v>
          </cell>
          <cell r="BY183">
            <v>77</v>
          </cell>
          <cell r="BZ183">
            <v>0</v>
          </cell>
          <cell r="CA183">
            <v>0</v>
          </cell>
        </row>
        <row r="184">
          <cell r="H184" t="str">
            <v>C233720</v>
          </cell>
          <cell r="I184" t="str">
            <v xml:space="preserve">COMMANDE CROCHET BAS AS332    </v>
          </cell>
          <cell r="J184" t="str">
            <v xml:space="preserve">23044                         </v>
          </cell>
          <cell r="K184" t="str">
            <v xml:space="preserve">SAF INTERNATIONAL </v>
          </cell>
          <cell r="L184" t="str">
            <v>LJA</v>
          </cell>
          <cell r="M184">
            <v>45040</v>
          </cell>
          <cell r="N184">
            <v>45107</v>
          </cell>
          <cell r="O184">
            <v>5500</v>
          </cell>
          <cell r="P184">
            <v>0</v>
          </cell>
          <cell r="Q184">
            <v>2322</v>
          </cell>
          <cell r="R184">
            <v>2322</v>
          </cell>
          <cell r="S184">
            <v>0.57781818181818179</v>
          </cell>
          <cell r="T184">
            <v>0.59</v>
          </cell>
          <cell r="U184">
            <v>56</v>
          </cell>
          <cell r="V184">
            <v>54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5500</v>
          </cell>
          <cell r="AB184">
            <v>2322</v>
          </cell>
          <cell r="AC184">
            <v>0</v>
          </cell>
          <cell r="AD184">
            <v>0.57781818181818179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5500</v>
          </cell>
          <cell r="AZ184">
            <v>0</v>
          </cell>
          <cell r="BA184">
            <v>5500</v>
          </cell>
          <cell r="BB184">
            <v>2322</v>
          </cell>
          <cell r="BC184">
            <v>0</v>
          </cell>
          <cell r="BD184">
            <v>1</v>
          </cell>
          <cell r="BE184">
            <v>1</v>
          </cell>
          <cell r="BF184">
            <v>0</v>
          </cell>
          <cell r="BG184">
            <v>0</v>
          </cell>
          <cell r="BH184">
            <v>0</v>
          </cell>
          <cell r="BI184">
            <v>105</v>
          </cell>
          <cell r="BJ184">
            <v>1</v>
          </cell>
          <cell r="BK184">
            <v>0</v>
          </cell>
          <cell r="BL184">
            <v>0</v>
          </cell>
          <cell r="BM184">
            <v>0</v>
          </cell>
          <cell r="BN184">
            <v>5500</v>
          </cell>
          <cell r="BO184">
            <v>2322</v>
          </cell>
          <cell r="BP184">
            <v>3178</v>
          </cell>
          <cell r="BQ184">
            <v>5500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X184">
            <v>0</v>
          </cell>
          <cell r="BY184">
            <v>54</v>
          </cell>
          <cell r="BZ184">
            <v>0</v>
          </cell>
          <cell r="CA184">
            <v>0</v>
          </cell>
        </row>
        <row r="185">
          <cell r="H185" t="str">
            <v>C233721</v>
          </cell>
          <cell r="I185" t="str">
            <v xml:space="preserve">MODIFICATION COMMANDE CROCHET </v>
          </cell>
          <cell r="J185" t="str">
            <v xml:space="preserve">                              </v>
          </cell>
          <cell r="K185" t="str">
            <v xml:space="preserve">SAF INTERNATIONAL </v>
          </cell>
          <cell r="L185" t="str">
            <v>LJA</v>
          </cell>
          <cell r="M185">
            <v>45040</v>
          </cell>
          <cell r="N185">
            <v>45120</v>
          </cell>
          <cell r="O185">
            <v>4500</v>
          </cell>
          <cell r="P185">
            <v>0</v>
          </cell>
          <cell r="Q185">
            <v>1806</v>
          </cell>
          <cell r="R185">
            <v>1806</v>
          </cell>
          <cell r="S185">
            <v>0.59866666666666668</v>
          </cell>
          <cell r="T185">
            <v>0.59</v>
          </cell>
          <cell r="U185">
            <v>46</v>
          </cell>
          <cell r="V185">
            <v>42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4500</v>
          </cell>
          <cell r="AB185">
            <v>1806</v>
          </cell>
          <cell r="AC185">
            <v>0</v>
          </cell>
          <cell r="AD185">
            <v>0.59866666666666668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4500</v>
          </cell>
          <cell r="AZ185">
            <v>0</v>
          </cell>
          <cell r="BA185">
            <v>4500</v>
          </cell>
          <cell r="BB185">
            <v>1806</v>
          </cell>
          <cell r="BC185">
            <v>0</v>
          </cell>
          <cell r="BD185">
            <v>1</v>
          </cell>
          <cell r="BE185">
            <v>1</v>
          </cell>
          <cell r="BF185">
            <v>0</v>
          </cell>
          <cell r="BG185">
            <v>0</v>
          </cell>
          <cell r="BH185">
            <v>0</v>
          </cell>
          <cell r="BI185">
            <v>105</v>
          </cell>
          <cell r="BJ185">
            <v>1</v>
          </cell>
          <cell r="BK185">
            <v>0</v>
          </cell>
          <cell r="BL185">
            <v>0</v>
          </cell>
          <cell r="BM185">
            <v>0</v>
          </cell>
          <cell r="BN185">
            <v>4500</v>
          </cell>
          <cell r="BO185">
            <v>1806</v>
          </cell>
          <cell r="BP185">
            <v>2694</v>
          </cell>
          <cell r="BQ185">
            <v>4500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X185">
            <v>0</v>
          </cell>
          <cell r="BY185">
            <v>42</v>
          </cell>
          <cell r="BZ185">
            <v>0</v>
          </cell>
          <cell r="CA185">
            <v>0</v>
          </cell>
        </row>
        <row r="186">
          <cell r="H186" t="str">
            <v>C233722</v>
          </cell>
          <cell r="I186" t="str">
            <v xml:space="preserve">INSTALLATION FM 80MHZ         </v>
          </cell>
          <cell r="J186" t="str">
            <v xml:space="preserve">                              </v>
          </cell>
          <cell r="K186" t="str">
            <v xml:space="preserve">SAF INTERNATIONAL </v>
          </cell>
          <cell r="L186" t="str">
            <v>LJA</v>
          </cell>
          <cell r="M186">
            <v>45040</v>
          </cell>
          <cell r="N186">
            <v>45100</v>
          </cell>
          <cell r="O186">
            <v>7900</v>
          </cell>
          <cell r="P186">
            <v>0</v>
          </cell>
          <cell r="Q186">
            <v>3483</v>
          </cell>
          <cell r="R186">
            <v>3483</v>
          </cell>
          <cell r="S186">
            <v>0.55911392405063287</v>
          </cell>
          <cell r="T186">
            <v>0.59</v>
          </cell>
          <cell r="U186">
            <v>82</v>
          </cell>
          <cell r="V186">
            <v>81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7900</v>
          </cell>
          <cell r="AB186">
            <v>3483</v>
          </cell>
          <cell r="AC186">
            <v>0</v>
          </cell>
          <cell r="AD186">
            <v>0.55911392405063287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7900</v>
          </cell>
          <cell r="AZ186">
            <v>0</v>
          </cell>
          <cell r="BA186">
            <v>7900</v>
          </cell>
          <cell r="BB186">
            <v>3483</v>
          </cell>
          <cell r="BC186">
            <v>0</v>
          </cell>
          <cell r="BD186">
            <v>1</v>
          </cell>
          <cell r="BE186">
            <v>1</v>
          </cell>
          <cell r="BF186">
            <v>0</v>
          </cell>
          <cell r="BG186">
            <v>0</v>
          </cell>
          <cell r="BH186">
            <v>0</v>
          </cell>
          <cell r="BI186">
            <v>105</v>
          </cell>
          <cell r="BJ186">
            <v>1</v>
          </cell>
          <cell r="BK186">
            <v>0</v>
          </cell>
          <cell r="BL186">
            <v>0</v>
          </cell>
          <cell r="BM186">
            <v>0</v>
          </cell>
          <cell r="BN186">
            <v>7900</v>
          </cell>
          <cell r="BO186">
            <v>3483</v>
          </cell>
          <cell r="BP186">
            <v>4417</v>
          </cell>
          <cell r="BQ186">
            <v>7900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X186">
            <v>0</v>
          </cell>
          <cell r="BY186">
            <v>81</v>
          </cell>
          <cell r="BZ186">
            <v>0</v>
          </cell>
          <cell r="CA186">
            <v>0</v>
          </cell>
        </row>
        <row r="187">
          <cell r="H187" t="str">
            <v>C233726</v>
          </cell>
          <cell r="I187" t="str">
            <v xml:space="preserve">DOSSIER LIVREE SUR EC225      </v>
          </cell>
          <cell r="J187" t="str">
            <v xml:space="preserve">                              </v>
          </cell>
          <cell r="K187" t="str">
            <v xml:space="preserve">ROTORTRADE SASU </v>
          </cell>
          <cell r="L187" t="str">
            <v>LJA</v>
          </cell>
          <cell r="M187">
            <v>45028</v>
          </cell>
          <cell r="N187">
            <v>45100</v>
          </cell>
          <cell r="O187">
            <v>2950</v>
          </cell>
          <cell r="P187">
            <v>0</v>
          </cell>
          <cell r="Q187">
            <v>1376</v>
          </cell>
          <cell r="R187">
            <v>1376</v>
          </cell>
          <cell r="S187">
            <v>0.53355932203389833</v>
          </cell>
          <cell r="T187">
            <v>0.59</v>
          </cell>
          <cell r="U187">
            <v>31</v>
          </cell>
          <cell r="V187">
            <v>32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2950</v>
          </cell>
          <cell r="AB187">
            <v>1376</v>
          </cell>
          <cell r="AC187">
            <v>0</v>
          </cell>
          <cell r="AD187">
            <v>0.53355932203389833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2950</v>
          </cell>
          <cell r="AZ187">
            <v>0</v>
          </cell>
          <cell r="BA187">
            <v>2950</v>
          </cell>
          <cell r="BB187">
            <v>1376</v>
          </cell>
          <cell r="BC187">
            <v>0</v>
          </cell>
          <cell r="BD187">
            <v>1</v>
          </cell>
          <cell r="BE187">
            <v>1</v>
          </cell>
          <cell r="BF187">
            <v>0</v>
          </cell>
          <cell r="BG187">
            <v>0</v>
          </cell>
          <cell r="BH187">
            <v>0</v>
          </cell>
          <cell r="BI187">
            <v>105</v>
          </cell>
          <cell r="BJ187">
            <v>1</v>
          </cell>
          <cell r="BK187">
            <v>0</v>
          </cell>
          <cell r="BL187">
            <v>0</v>
          </cell>
          <cell r="BM187">
            <v>0</v>
          </cell>
          <cell r="BN187">
            <v>2950</v>
          </cell>
          <cell r="BO187">
            <v>1376</v>
          </cell>
          <cell r="BP187">
            <v>1574</v>
          </cell>
          <cell r="BQ187">
            <v>2950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X187">
            <v>0</v>
          </cell>
          <cell r="BY187">
            <v>32</v>
          </cell>
          <cell r="BZ187">
            <v>0</v>
          </cell>
          <cell r="CA187">
            <v>0</v>
          </cell>
        </row>
        <row r="188">
          <cell r="H188" t="str">
            <v>C233727</v>
          </cell>
          <cell r="I188" t="str">
            <v xml:space="preserve">MODIFICATION DOSSIER          </v>
          </cell>
          <cell r="J188" t="str">
            <v xml:space="preserve">17070                         </v>
          </cell>
          <cell r="K188" t="str">
            <v>AIRTELIS</v>
          </cell>
          <cell r="L188" t="str">
            <v>LJA</v>
          </cell>
          <cell r="M188">
            <v>45043</v>
          </cell>
          <cell r="N188">
            <v>45093</v>
          </cell>
          <cell r="O188">
            <v>2200</v>
          </cell>
          <cell r="P188">
            <v>0</v>
          </cell>
          <cell r="Q188">
            <v>817</v>
          </cell>
          <cell r="R188">
            <v>817</v>
          </cell>
          <cell r="S188">
            <v>0.62863636363636366</v>
          </cell>
          <cell r="T188">
            <v>0.59</v>
          </cell>
          <cell r="U188">
            <v>20</v>
          </cell>
          <cell r="V188">
            <v>19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2200</v>
          </cell>
          <cell r="AB188">
            <v>817</v>
          </cell>
          <cell r="AC188">
            <v>0</v>
          </cell>
          <cell r="AD188">
            <v>0.62863636363636366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2200</v>
          </cell>
          <cell r="AZ188">
            <v>0</v>
          </cell>
          <cell r="BA188">
            <v>2200</v>
          </cell>
          <cell r="BB188">
            <v>817</v>
          </cell>
          <cell r="BC188">
            <v>0</v>
          </cell>
          <cell r="BD188">
            <v>1</v>
          </cell>
          <cell r="BE188">
            <v>1</v>
          </cell>
          <cell r="BF188">
            <v>0</v>
          </cell>
          <cell r="BG188">
            <v>0</v>
          </cell>
          <cell r="BH188">
            <v>0</v>
          </cell>
          <cell r="BI188">
            <v>105</v>
          </cell>
          <cell r="BJ188">
            <v>1</v>
          </cell>
          <cell r="BK188">
            <v>0</v>
          </cell>
          <cell r="BL188">
            <v>0</v>
          </cell>
          <cell r="BM188">
            <v>0</v>
          </cell>
          <cell r="BN188">
            <v>2200</v>
          </cell>
          <cell r="BO188">
            <v>817</v>
          </cell>
          <cell r="BP188">
            <v>1383</v>
          </cell>
          <cell r="BQ188">
            <v>2200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X188">
            <v>0</v>
          </cell>
          <cell r="BY188">
            <v>19</v>
          </cell>
          <cell r="BZ188">
            <v>0</v>
          </cell>
          <cell r="CA188">
            <v>0</v>
          </cell>
        </row>
        <row r="189">
          <cell r="H189" t="str">
            <v>C233728</v>
          </cell>
          <cell r="I189" t="str">
            <v xml:space="preserve">PHASE 1                       </v>
          </cell>
          <cell r="J189" t="str">
            <v xml:space="preserve">                              </v>
          </cell>
          <cell r="K189" t="str">
            <v>APG AIRLINES</v>
          </cell>
          <cell r="L189" t="str">
            <v>VGA</v>
          </cell>
          <cell r="M189">
            <v>45033</v>
          </cell>
          <cell r="N189">
            <v>45174</v>
          </cell>
          <cell r="O189">
            <v>16000</v>
          </cell>
          <cell r="P189">
            <v>0</v>
          </cell>
          <cell r="Q189">
            <v>10118.58</v>
          </cell>
          <cell r="R189">
            <v>10118.58</v>
          </cell>
          <cell r="S189">
            <v>0.36758875000000002</v>
          </cell>
          <cell r="T189">
            <v>0.59</v>
          </cell>
          <cell r="U189">
            <v>152</v>
          </cell>
          <cell r="V189">
            <v>189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16000</v>
          </cell>
          <cell r="AB189">
            <v>8127</v>
          </cell>
          <cell r="AC189">
            <v>0</v>
          </cell>
          <cell r="AD189">
            <v>0.49206249999999996</v>
          </cell>
          <cell r="AE189">
            <v>0</v>
          </cell>
          <cell r="AF189">
            <v>1950</v>
          </cell>
          <cell r="AG189">
            <v>1950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41.58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16000</v>
          </cell>
          <cell r="AZ189">
            <v>0</v>
          </cell>
          <cell r="BA189">
            <v>16000</v>
          </cell>
          <cell r="BB189">
            <v>10118.58</v>
          </cell>
          <cell r="BC189">
            <v>0</v>
          </cell>
          <cell r="BD189">
            <v>1</v>
          </cell>
          <cell r="BE189">
            <v>1</v>
          </cell>
          <cell r="BF189">
            <v>0</v>
          </cell>
          <cell r="BG189">
            <v>0</v>
          </cell>
          <cell r="BH189">
            <v>0</v>
          </cell>
          <cell r="BI189">
            <v>105</v>
          </cell>
          <cell r="BJ189">
            <v>1</v>
          </cell>
          <cell r="BK189">
            <v>0</v>
          </cell>
          <cell r="BL189">
            <v>0</v>
          </cell>
          <cell r="BM189">
            <v>0</v>
          </cell>
          <cell r="BN189">
            <v>16000</v>
          </cell>
          <cell r="BO189">
            <v>10118.58</v>
          </cell>
          <cell r="BP189">
            <v>5881.42</v>
          </cell>
          <cell r="BQ189">
            <v>16000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X189">
            <v>0</v>
          </cell>
          <cell r="BY189">
            <v>189</v>
          </cell>
          <cell r="BZ189">
            <v>0</v>
          </cell>
          <cell r="CA189">
            <v>1991.58</v>
          </cell>
        </row>
        <row r="190">
          <cell r="H190" t="str">
            <v>C233729</v>
          </cell>
          <cell r="I190" t="str">
            <v xml:space="preserve">DEVELOPPEMENT                 </v>
          </cell>
          <cell r="J190" t="str">
            <v xml:space="preserve">                              </v>
          </cell>
          <cell r="K190" t="str">
            <v>FTL AIRLINES</v>
          </cell>
          <cell r="L190" t="str">
            <v>VGA</v>
          </cell>
          <cell r="M190">
            <v>45034</v>
          </cell>
          <cell r="N190">
            <v>45174</v>
          </cell>
          <cell r="O190">
            <v>17300</v>
          </cell>
          <cell r="P190">
            <v>0</v>
          </cell>
          <cell r="Q190">
            <v>6447.25</v>
          </cell>
          <cell r="R190">
            <v>6447.25</v>
          </cell>
          <cell r="S190">
            <v>0.62732658959537568</v>
          </cell>
          <cell r="T190">
            <v>0.59</v>
          </cell>
          <cell r="U190">
            <v>166.04</v>
          </cell>
          <cell r="V190">
            <v>125.75</v>
          </cell>
          <cell r="W190">
            <v>20</v>
          </cell>
          <cell r="X190">
            <v>0</v>
          </cell>
          <cell r="Y190">
            <v>0</v>
          </cell>
          <cell r="Z190">
            <v>0</v>
          </cell>
          <cell r="AA190">
            <v>17300</v>
          </cell>
          <cell r="AB190">
            <v>6447.25</v>
          </cell>
          <cell r="AC190">
            <v>0</v>
          </cell>
          <cell r="AD190">
            <v>0.62732658959537568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14300</v>
          </cell>
          <cell r="AZ190">
            <v>0</v>
          </cell>
          <cell r="BA190">
            <v>17300</v>
          </cell>
          <cell r="BB190">
            <v>6447.25</v>
          </cell>
          <cell r="BC190">
            <v>0</v>
          </cell>
          <cell r="BD190">
            <v>1</v>
          </cell>
          <cell r="BE190">
            <v>0.82658959537572252</v>
          </cell>
          <cell r="BF190">
            <v>0</v>
          </cell>
          <cell r="BG190">
            <v>3000.0000000000005</v>
          </cell>
          <cell r="BH190">
            <v>0</v>
          </cell>
          <cell r="BI190">
            <v>105</v>
          </cell>
          <cell r="BJ190">
            <v>1</v>
          </cell>
          <cell r="BK190">
            <v>0</v>
          </cell>
          <cell r="BL190">
            <v>0</v>
          </cell>
          <cell r="BM190">
            <v>0</v>
          </cell>
          <cell r="BN190">
            <v>17300</v>
          </cell>
          <cell r="BO190">
            <v>6447.25</v>
          </cell>
          <cell r="BP190">
            <v>10852.75</v>
          </cell>
          <cell r="BQ190">
            <v>14300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X190">
            <v>0</v>
          </cell>
          <cell r="BY190">
            <v>145.75</v>
          </cell>
          <cell r="BZ190">
            <v>20</v>
          </cell>
          <cell r="CA190">
            <v>0</v>
          </cell>
        </row>
        <row r="191">
          <cell r="H191" t="str">
            <v>C233730</v>
          </cell>
          <cell r="I191" t="str">
            <v xml:space="preserve">REMPLACEMENT VHF 22C AS332    </v>
          </cell>
          <cell r="J191" t="str">
            <v xml:space="preserve">23043                         </v>
          </cell>
          <cell r="K191" t="str">
            <v>SAF HELICOPTERES</v>
          </cell>
          <cell r="L191" t="str">
            <v>LJA</v>
          </cell>
          <cell r="M191">
            <v>45036</v>
          </cell>
          <cell r="N191">
            <v>45093</v>
          </cell>
          <cell r="O191">
            <v>3800</v>
          </cell>
          <cell r="P191">
            <v>0</v>
          </cell>
          <cell r="Q191">
            <v>1870.5</v>
          </cell>
          <cell r="R191">
            <v>1870.5</v>
          </cell>
          <cell r="S191">
            <v>0.50776315789473681</v>
          </cell>
          <cell r="T191">
            <v>0.59</v>
          </cell>
          <cell r="U191">
            <v>38</v>
          </cell>
          <cell r="V191">
            <v>43.5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3800</v>
          </cell>
          <cell r="AB191">
            <v>1870.5</v>
          </cell>
          <cell r="AC191">
            <v>0</v>
          </cell>
          <cell r="AD191">
            <v>0.50776315789473681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3800</v>
          </cell>
          <cell r="AZ191">
            <v>0</v>
          </cell>
          <cell r="BA191">
            <v>3800</v>
          </cell>
          <cell r="BB191">
            <v>1870.5</v>
          </cell>
          <cell r="BC191">
            <v>0</v>
          </cell>
          <cell r="BD191">
            <v>1</v>
          </cell>
          <cell r="BE191">
            <v>1</v>
          </cell>
          <cell r="BF191">
            <v>0</v>
          </cell>
          <cell r="BG191">
            <v>0</v>
          </cell>
          <cell r="BH191">
            <v>0</v>
          </cell>
          <cell r="BI191">
            <v>105</v>
          </cell>
          <cell r="BJ191">
            <v>1</v>
          </cell>
          <cell r="BK191">
            <v>0</v>
          </cell>
          <cell r="BL191">
            <v>0</v>
          </cell>
          <cell r="BM191">
            <v>0</v>
          </cell>
          <cell r="BN191">
            <v>3800</v>
          </cell>
          <cell r="BO191">
            <v>1870.5</v>
          </cell>
          <cell r="BP191">
            <v>1929.5</v>
          </cell>
          <cell r="BQ191">
            <v>3800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X191">
            <v>0</v>
          </cell>
          <cell r="BY191">
            <v>43.5</v>
          </cell>
          <cell r="BZ191">
            <v>0</v>
          </cell>
          <cell r="CA191">
            <v>0</v>
          </cell>
        </row>
        <row r="192">
          <cell r="H192" t="str">
            <v>C233734</v>
          </cell>
          <cell r="I192" t="str">
            <v xml:space="preserve">SUPPORT TO PTF                </v>
          </cell>
          <cell r="J192" t="str">
            <v xml:space="preserve">                              </v>
          </cell>
          <cell r="K192" t="str">
            <v xml:space="preserve">JETSTREAM AVIATION CAPITAL, LLC </v>
          </cell>
          <cell r="L192" t="str">
            <v>TBI</v>
          </cell>
          <cell r="M192">
            <v>45041</v>
          </cell>
          <cell r="N192">
            <v>45203</v>
          </cell>
          <cell r="O192">
            <v>8800</v>
          </cell>
          <cell r="P192">
            <v>0</v>
          </cell>
          <cell r="Q192">
            <v>1348</v>
          </cell>
          <cell r="R192">
            <v>1348</v>
          </cell>
          <cell r="S192">
            <v>0.8468181818181818</v>
          </cell>
          <cell r="T192">
            <v>0.52224636363636356</v>
          </cell>
          <cell r="U192">
            <v>10</v>
          </cell>
          <cell r="V192">
            <v>4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7271.2</v>
          </cell>
          <cell r="AB192">
            <v>172</v>
          </cell>
          <cell r="AC192">
            <v>0</v>
          </cell>
          <cell r="AD192">
            <v>0.97634503245681592</v>
          </cell>
          <cell r="AE192">
            <v>1528.8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1176</v>
          </cell>
          <cell r="AN192">
            <v>1176</v>
          </cell>
          <cell r="AO192">
            <v>0</v>
          </cell>
          <cell r="AP192">
            <v>0</v>
          </cell>
          <cell r="AQ192">
            <v>0</v>
          </cell>
          <cell r="AR192">
            <v>0.23076923076923073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8800</v>
          </cell>
          <cell r="AZ192">
            <v>0</v>
          </cell>
          <cell r="BA192">
            <v>8800</v>
          </cell>
          <cell r="BB192">
            <v>1348</v>
          </cell>
          <cell r="BC192">
            <v>0</v>
          </cell>
          <cell r="BD192">
            <v>1</v>
          </cell>
          <cell r="BE192">
            <v>1</v>
          </cell>
          <cell r="BF192">
            <v>0</v>
          </cell>
          <cell r="BG192">
            <v>0</v>
          </cell>
          <cell r="BH192">
            <v>0</v>
          </cell>
          <cell r="BI192">
            <v>105</v>
          </cell>
          <cell r="BJ192">
            <v>1</v>
          </cell>
          <cell r="BK192">
            <v>2.2737367544323206E-13</v>
          </cell>
          <cell r="BL192">
            <v>0</v>
          </cell>
          <cell r="BM192">
            <v>0</v>
          </cell>
          <cell r="BN192">
            <v>8800</v>
          </cell>
          <cell r="BO192">
            <v>1348</v>
          </cell>
          <cell r="BP192">
            <v>7452</v>
          </cell>
          <cell r="BQ192">
            <v>8800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X192">
            <v>0</v>
          </cell>
          <cell r="BY192">
            <v>4</v>
          </cell>
          <cell r="BZ192">
            <v>0</v>
          </cell>
          <cell r="CA192">
            <v>0</v>
          </cell>
        </row>
        <row r="193">
          <cell r="H193" t="str">
            <v>C233738</v>
          </cell>
          <cell r="I193" t="str">
            <v xml:space="preserve">B787 WING REPAIR SOLUTION     </v>
          </cell>
          <cell r="J193" t="str">
            <v xml:space="preserve">                              </v>
          </cell>
          <cell r="K193" t="str">
            <v xml:space="preserve">ADHETEC SAS </v>
          </cell>
          <cell r="L193" t="str">
            <v>VGA</v>
          </cell>
          <cell r="M193">
            <v>45072</v>
          </cell>
          <cell r="N193">
            <v>45134</v>
          </cell>
          <cell r="O193">
            <v>5000</v>
          </cell>
          <cell r="P193">
            <v>0</v>
          </cell>
          <cell r="Q193">
            <v>1827.5</v>
          </cell>
          <cell r="R193">
            <v>1827.5</v>
          </cell>
          <cell r="S193">
            <v>0.63450000000000006</v>
          </cell>
          <cell r="T193">
            <v>0.59</v>
          </cell>
          <cell r="U193">
            <v>45.019999999999996</v>
          </cell>
          <cell r="V193">
            <v>42.5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5000</v>
          </cell>
          <cell r="AB193">
            <v>1827.5</v>
          </cell>
          <cell r="AC193">
            <v>0</v>
          </cell>
          <cell r="AD193">
            <v>0.63450000000000006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5000</v>
          </cell>
          <cell r="AZ193">
            <v>0</v>
          </cell>
          <cell r="BA193">
            <v>5000</v>
          </cell>
          <cell r="BB193">
            <v>1827.5</v>
          </cell>
          <cell r="BC193">
            <v>0</v>
          </cell>
          <cell r="BD193">
            <v>1</v>
          </cell>
          <cell r="BE193">
            <v>1</v>
          </cell>
          <cell r="BF193">
            <v>0</v>
          </cell>
          <cell r="BG193">
            <v>0</v>
          </cell>
          <cell r="BH193">
            <v>0</v>
          </cell>
          <cell r="BI193">
            <v>105</v>
          </cell>
          <cell r="BJ193">
            <v>1</v>
          </cell>
          <cell r="BK193">
            <v>0</v>
          </cell>
          <cell r="BL193">
            <v>0</v>
          </cell>
          <cell r="BM193">
            <v>0</v>
          </cell>
          <cell r="BN193">
            <v>5000</v>
          </cell>
          <cell r="BO193">
            <v>1827.5</v>
          </cell>
          <cell r="BP193">
            <v>3172.5</v>
          </cell>
          <cell r="BQ193">
            <v>5000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X193">
            <v>0</v>
          </cell>
          <cell r="BY193">
            <v>42.5</v>
          </cell>
          <cell r="BZ193">
            <v>0</v>
          </cell>
          <cell r="CA193">
            <v>0</v>
          </cell>
        </row>
        <row r="194">
          <cell r="H194" t="str">
            <v>C233742</v>
          </cell>
          <cell r="I194" t="str">
            <v xml:space="preserve">MINOR CHANGE FOR RECARO       </v>
          </cell>
          <cell r="J194" t="str">
            <v xml:space="preserve">                              </v>
          </cell>
          <cell r="K194" t="str">
            <v>AERO CABIN SOLUTIONS</v>
          </cell>
          <cell r="L194" t="str">
            <v>FDE</v>
          </cell>
          <cell r="M194">
            <v>45048</v>
          </cell>
          <cell r="N194">
            <v>45107</v>
          </cell>
          <cell r="O194">
            <v>945</v>
          </cell>
          <cell r="P194">
            <v>0</v>
          </cell>
          <cell r="Q194">
            <v>731</v>
          </cell>
          <cell r="R194">
            <v>731</v>
          </cell>
          <cell r="S194">
            <v>0.22645502645502646</v>
          </cell>
          <cell r="T194">
            <v>0.59</v>
          </cell>
          <cell r="U194">
            <v>9</v>
          </cell>
          <cell r="V194">
            <v>17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945</v>
          </cell>
          <cell r="AB194">
            <v>731</v>
          </cell>
          <cell r="AC194">
            <v>0</v>
          </cell>
          <cell r="AD194">
            <v>0.22645502645502646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945</v>
          </cell>
          <cell r="AZ194">
            <v>0</v>
          </cell>
          <cell r="BA194">
            <v>945</v>
          </cell>
          <cell r="BB194">
            <v>731</v>
          </cell>
          <cell r="BC194">
            <v>0</v>
          </cell>
          <cell r="BD194">
            <v>1</v>
          </cell>
          <cell r="BE194">
            <v>1</v>
          </cell>
          <cell r="BF194">
            <v>0</v>
          </cell>
          <cell r="BG194">
            <v>0</v>
          </cell>
          <cell r="BH194">
            <v>0</v>
          </cell>
          <cell r="BI194">
            <v>105</v>
          </cell>
          <cell r="BJ194">
            <v>1</v>
          </cell>
          <cell r="BK194">
            <v>0</v>
          </cell>
          <cell r="BL194">
            <v>0</v>
          </cell>
          <cell r="BM194">
            <v>0</v>
          </cell>
          <cell r="BN194">
            <v>945</v>
          </cell>
          <cell r="BO194">
            <v>731</v>
          </cell>
          <cell r="BP194">
            <v>214</v>
          </cell>
          <cell r="BQ194">
            <v>945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X194">
            <v>0</v>
          </cell>
          <cell r="BY194">
            <v>17</v>
          </cell>
          <cell r="BZ194">
            <v>0</v>
          </cell>
          <cell r="CA194">
            <v>0</v>
          </cell>
        </row>
        <row r="195">
          <cell r="H195" t="str">
            <v>C233745</v>
          </cell>
          <cell r="I195" t="str">
            <v xml:space="preserve">ACJ WIRELESS IFE SOLUTION     </v>
          </cell>
          <cell r="J195" t="str">
            <v xml:space="preserve">                              </v>
          </cell>
          <cell r="K195" t="str">
            <v>AIRBUS SAS</v>
          </cell>
          <cell r="L195" t="str">
            <v>PRO</v>
          </cell>
          <cell r="M195">
            <v>45140</v>
          </cell>
          <cell r="N195" t="str">
            <v/>
          </cell>
          <cell r="O195">
            <v>217930</v>
          </cell>
          <cell r="P195">
            <v>6930</v>
          </cell>
          <cell r="Q195">
            <v>155033.85</v>
          </cell>
          <cell r="R195">
            <v>101554.15</v>
          </cell>
          <cell r="S195">
            <v>0.27277015555453599</v>
          </cell>
          <cell r="T195">
            <v>0.32245996420869083</v>
          </cell>
          <cell r="U195">
            <v>651.71428571428567</v>
          </cell>
          <cell r="V195">
            <v>604.34</v>
          </cell>
          <cell r="W195">
            <v>2</v>
          </cell>
          <cell r="X195">
            <v>72.659999999999968</v>
          </cell>
          <cell r="Y195">
            <v>100</v>
          </cell>
          <cell r="Z195">
            <v>121.34000000000003</v>
          </cell>
          <cell r="AA195">
            <v>68430</v>
          </cell>
          <cell r="AB195">
            <v>26090.62</v>
          </cell>
          <cell r="AC195">
            <v>3451.3499999999985</v>
          </cell>
          <cell r="AD195">
            <v>0.56828920064299293</v>
          </cell>
          <cell r="AE195">
            <v>149500</v>
          </cell>
          <cell r="AF195">
            <v>92000</v>
          </cell>
          <cell r="AG195">
            <v>73600</v>
          </cell>
          <cell r="AH195">
            <v>18400</v>
          </cell>
          <cell r="AI195">
            <v>27600</v>
          </cell>
          <cell r="AJ195">
            <v>0</v>
          </cell>
          <cell r="AK195">
            <v>0</v>
          </cell>
          <cell r="AL195">
            <v>0</v>
          </cell>
          <cell r="AM195">
            <v>36926</v>
          </cell>
          <cell r="AN195">
            <v>1846.3000000000002</v>
          </cell>
          <cell r="AO195">
            <v>0</v>
          </cell>
          <cell r="AP195">
            <v>0</v>
          </cell>
          <cell r="AQ195">
            <v>7726</v>
          </cell>
          <cell r="AR195">
            <v>0.13761872909698991</v>
          </cell>
          <cell r="AS195">
            <v>0</v>
          </cell>
          <cell r="AT195">
            <v>17.23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63300</v>
          </cell>
          <cell r="AZ195">
            <v>0</v>
          </cell>
          <cell r="BA195">
            <v>139645.19027328736</v>
          </cell>
          <cell r="BB195">
            <v>101554.15</v>
          </cell>
          <cell r="BC195">
            <v>56931.049999999996</v>
          </cell>
          <cell r="BD195">
            <v>0.6407800223617095</v>
          </cell>
          <cell r="BE195">
            <v>0.29046023952645345</v>
          </cell>
          <cell r="BF195">
            <v>0</v>
          </cell>
          <cell r="BG195">
            <v>76345.190273287357</v>
          </cell>
          <cell r="BH195">
            <v>0</v>
          </cell>
          <cell r="BI195">
            <v>105</v>
          </cell>
          <cell r="BJ195">
            <v>0.6407800223617095</v>
          </cell>
          <cell r="BK195">
            <v>0</v>
          </cell>
          <cell r="BL195">
            <v>11662.969999999987</v>
          </cell>
          <cell r="BM195">
            <v>2.8664064171999404E-2</v>
          </cell>
          <cell r="BN195">
            <v>139645.19027328736</v>
          </cell>
          <cell r="BO195">
            <v>101554.15</v>
          </cell>
          <cell r="BP195">
            <v>38091.040273287363</v>
          </cell>
          <cell r="BQ195">
            <v>63300</v>
          </cell>
          <cell r="BR195">
            <v>10488.723095258523</v>
          </cell>
          <cell r="BS195">
            <v>11681.919999999998</v>
          </cell>
          <cell r="BT195">
            <v>-1193.196904741475</v>
          </cell>
          <cell r="BU195">
            <v>0</v>
          </cell>
          <cell r="BV195">
            <v>0</v>
          </cell>
          <cell r="BX195">
            <v>78284.809726712643</v>
          </cell>
          <cell r="BY195">
            <v>597</v>
          </cell>
          <cell r="BZ195">
            <v>2</v>
          </cell>
          <cell r="CA195">
            <v>73617.23</v>
          </cell>
        </row>
        <row r="196">
          <cell r="H196" t="str">
            <v>C233749</v>
          </cell>
          <cell r="I196" t="str">
            <v xml:space="preserve">DEVELOPMENT OF SB A350-900    </v>
          </cell>
          <cell r="J196" t="str">
            <v xml:space="preserve">                              </v>
          </cell>
          <cell r="K196" t="str">
            <v xml:space="preserve">AIR CARAIBES ATLANTIQUE </v>
          </cell>
          <cell r="L196" t="str">
            <v>VGA</v>
          </cell>
          <cell r="M196">
            <v>45050</v>
          </cell>
          <cell r="N196">
            <v>45107</v>
          </cell>
          <cell r="O196">
            <v>1800</v>
          </cell>
          <cell r="P196">
            <v>0</v>
          </cell>
          <cell r="Q196">
            <v>1161</v>
          </cell>
          <cell r="R196">
            <v>1161</v>
          </cell>
          <cell r="S196">
            <v>0.35499999999999998</v>
          </cell>
          <cell r="T196">
            <v>0.59</v>
          </cell>
          <cell r="U196">
            <v>14.5</v>
          </cell>
          <cell r="V196">
            <v>27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1800</v>
          </cell>
          <cell r="AB196">
            <v>1161</v>
          </cell>
          <cell r="AC196">
            <v>0</v>
          </cell>
          <cell r="AD196">
            <v>0.35499999999999998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1800</v>
          </cell>
          <cell r="AZ196">
            <v>0</v>
          </cell>
          <cell r="BA196">
            <v>1800</v>
          </cell>
          <cell r="BB196">
            <v>1161</v>
          </cell>
          <cell r="BC196">
            <v>0</v>
          </cell>
          <cell r="BD196">
            <v>1</v>
          </cell>
          <cell r="BE196">
            <v>1</v>
          </cell>
          <cell r="BF196">
            <v>0</v>
          </cell>
          <cell r="BG196">
            <v>0</v>
          </cell>
          <cell r="BH196">
            <v>0</v>
          </cell>
          <cell r="BI196">
            <v>105</v>
          </cell>
          <cell r="BJ196">
            <v>1</v>
          </cell>
          <cell r="BK196">
            <v>0</v>
          </cell>
          <cell r="BL196">
            <v>0</v>
          </cell>
          <cell r="BM196">
            <v>0</v>
          </cell>
          <cell r="BN196">
            <v>1800</v>
          </cell>
          <cell r="BO196">
            <v>1161</v>
          </cell>
          <cell r="BP196">
            <v>639</v>
          </cell>
          <cell r="BQ196">
            <v>1800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X196">
            <v>0</v>
          </cell>
          <cell r="BY196">
            <v>27</v>
          </cell>
          <cell r="BZ196">
            <v>0</v>
          </cell>
          <cell r="CA196">
            <v>0</v>
          </cell>
        </row>
        <row r="197">
          <cell r="H197" t="str">
            <v>C233750</v>
          </cell>
          <cell r="I197" t="str">
            <v xml:space="preserve">NOUVEAU DOSSIER LIDAR/TIR     </v>
          </cell>
          <cell r="J197" t="str">
            <v xml:space="preserve">                              </v>
          </cell>
          <cell r="K197" t="str">
            <v xml:space="preserve">RESEAUX TRANSPORT ELECTRICITE </v>
          </cell>
          <cell r="L197" t="str">
            <v>LJA</v>
          </cell>
          <cell r="M197">
            <v>45056</v>
          </cell>
          <cell r="N197">
            <v>45107</v>
          </cell>
          <cell r="O197">
            <v>14960</v>
          </cell>
          <cell r="P197">
            <v>0</v>
          </cell>
          <cell r="Q197">
            <v>10348</v>
          </cell>
          <cell r="R197">
            <v>10348</v>
          </cell>
          <cell r="S197">
            <v>0.30828877005347599</v>
          </cell>
          <cell r="T197">
            <v>0.29020053475935825</v>
          </cell>
          <cell r="U197">
            <v>33</v>
          </cell>
          <cell r="V197">
            <v>36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3460</v>
          </cell>
          <cell r="AB197">
            <v>1548</v>
          </cell>
          <cell r="AC197">
            <v>0</v>
          </cell>
          <cell r="AD197">
            <v>0.55260115606936422</v>
          </cell>
          <cell r="AE197">
            <v>11500</v>
          </cell>
          <cell r="AF197">
            <v>8800</v>
          </cell>
          <cell r="AG197">
            <v>8800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0.23478260869565215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14960</v>
          </cell>
          <cell r="AZ197">
            <v>0</v>
          </cell>
          <cell r="BA197">
            <v>14960</v>
          </cell>
          <cell r="BB197">
            <v>10348</v>
          </cell>
          <cell r="BC197">
            <v>0</v>
          </cell>
          <cell r="BD197">
            <v>1</v>
          </cell>
          <cell r="BE197">
            <v>1</v>
          </cell>
          <cell r="BF197">
            <v>0</v>
          </cell>
          <cell r="BG197">
            <v>0</v>
          </cell>
          <cell r="BH197">
            <v>0</v>
          </cell>
          <cell r="BI197">
            <v>105</v>
          </cell>
          <cell r="BJ197">
            <v>1</v>
          </cell>
          <cell r="BK197">
            <v>0</v>
          </cell>
          <cell r="BL197">
            <v>0</v>
          </cell>
          <cell r="BM197">
            <v>0</v>
          </cell>
          <cell r="BN197">
            <v>14960</v>
          </cell>
          <cell r="BO197">
            <v>10348</v>
          </cell>
          <cell r="BP197">
            <v>4612</v>
          </cell>
          <cell r="BQ197">
            <v>14960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X197">
            <v>0</v>
          </cell>
          <cell r="BY197">
            <v>36</v>
          </cell>
          <cell r="BZ197">
            <v>0</v>
          </cell>
          <cell r="CA197">
            <v>8800</v>
          </cell>
        </row>
        <row r="198">
          <cell r="H198" t="str">
            <v>C233755</v>
          </cell>
          <cell r="I198" t="str">
            <v xml:space="preserve">B777 SAFRAN HBCS+ IFEC SYSTEM </v>
          </cell>
          <cell r="J198" t="str">
            <v xml:space="preserve">                              </v>
          </cell>
          <cell r="K198" t="str">
            <v xml:space="preserve">ASTRONICS CSC </v>
          </cell>
          <cell r="L198" t="str">
            <v>PRO</v>
          </cell>
          <cell r="M198">
            <v>45061</v>
          </cell>
          <cell r="N198" t="str">
            <v/>
          </cell>
          <cell r="O198">
            <v>441000</v>
          </cell>
          <cell r="P198">
            <v>0</v>
          </cell>
          <cell r="Q198">
            <v>175066.09</v>
          </cell>
          <cell r="R198">
            <v>110213.53449999999</v>
          </cell>
          <cell r="S198">
            <v>0.41130138321995469</v>
          </cell>
          <cell r="T198">
            <v>0.44635000000000002</v>
          </cell>
          <cell r="U198">
            <v>2653</v>
          </cell>
          <cell r="V198">
            <v>228</v>
          </cell>
          <cell r="W198">
            <v>387.5</v>
          </cell>
          <cell r="X198">
            <v>1780</v>
          </cell>
          <cell r="Y198">
            <v>2094.5</v>
          </cell>
          <cell r="Z198">
            <v>57</v>
          </cell>
          <cell r="AA198">
            <v>278565</v>
          </cell>
          <cell r="AB198">
            <v>29954</v>
          </cell>
          <cell r="AC198">
            <v>84550</v>
          </cell>
          <cell r="AD198">
            <v>0.58895051424263634</v>
          </cell>
          <cell r="AE198">
            <v>162435</v>
          </cell>
          <cell r="AF198">
            <v>145112.09</v>
          </cell>
          <cell r="AG198">
            <v>80259.534499999994</v>
          </cell>
          <cell r="AH198">
            <v>64852.555500000002</v>
          </cell>
          <cell r="AI198">
            <v>62198.554499999998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0.10664518114938282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231750</v>
          </cell>
          <cell r="AZ198">
            <v>0</v>
          </cell>
          <cell r="BA198">
            <v>187215.54859908717</v>
          </cell>
          <cell r="BB198">
            <v>110213.53449999999</v>
          </cell>
          <cell r="BC198">
            <v>149402.55550000002</v>
          </cell>
          <cell r="BD198">
            <v>0.42452505351266934</v>
          </cell>
          <cell r="BE198">
            <v>0.52551020408163263</v>
          </cell>
          <cell r="BF198">
            <v>-44534.451400912811</v>
          </cell>
          <cell r="BG198">
            <v>0</v>
          </cell>
          <cell r="BH198">
            <v>0</v>
          </cell>
          <cell r="BI198">
            <v>105</v>
          </cell>
          <cell r="BJ198">
            <v>0.42452505351266934</v>
          </cell>
          <cell r="BK198">
            <v>0</v>
          </cell>
          <cell r="BL198">
            <v>-12109.75</v>
          </cell>
          <cell r="BM198">
            <v>8.2905471068835557E-2</v>
          </cell>
          <cell r="BN198">
            <v>187215.54859908717</v>
          </cell>
          <cell r="BO198">
            <v>110213.53449999999</v>
          </cell>
          <cell r="BP198">
            <v>77002.014099087173</v>
          </cell>
          <cell r="BQ198">
            <v>231750</v>
          </cell>
          <cell r="BR198">
            <v>36561.312741356465</v>
          </cell>
          <cell r="BS198">
            <v>17386.666499999992</v>
          </cell>
          <cell r="BT198">
            <v>19174.646241356473</v>
          </cell>
          <cell r="BU198">
            <v>0</v>
          </cell>
          <cell r="BV198">
            <v>0</v>
          </cell>
          <cell r="BX198">
            <v>253784.45140091283</v>
          </cell>
          <cell r="BY198">
            <v>615.5</v>
          </cell>
          <cell r="BZ198">
            <v>387.5</v>
          </cell>
          <cell r="CA198">
            <v>80259.534499999994</v>
          </cell>
        </row>
        <row r="199">
          <cell r="H199" t="str">
            <v>C233759</v>
          </cell>
          <cell r="I199" t="str">
            <v xml:space="preserve">FL1007 FERRY FLIGHT           </v>
          </cell>
          <cell r="J199" t="str">
            <v xml:space="preserve">                              </v>
          </cell>
          <cell r="K199" t="str">
            <v>LEONARDO S.P.A</v>
          </cell>
          <cell r="L199" t="str">
            <v>PDA</v>
          </cell>
          <cell r="M199">
            <v>45065</v>
          </cell>
          <cell r="N199">
            <v>45107</v>
          </cell>
          <cell r="O199">
            <v>1000</v>
          </cell>
          <cell r="P199">
            <v>0</v>
          </cell>
          <cell r="Q199">
            <v>0</v>
          </cell>
          <cell r="R199">
            <v>0</v>
          </cell>
          <cell r="S199">
            <v>1</v>
          </cell>
          <cell r="T199">
            <v>0.2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1000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1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1000</v>
          </cell>
          <cell r="AZ199">
            <v>0</v>
          </cell>
          <cell r="BA199">
            <v>1000</v>
          </cell>
          <cell r="BB199">
            <v>0</v>
          </cell>
          <cell r="BC199">
            <v>0</v>
          </cell>
          <cell r="BD199">
            <v>1</v>
          </cell>
          <cell r="BE199">
            <v>1</v>
          </cell>
          <cell r="BF199">
            <v>0</v>
          </cell>
          <cell r="BG199">
            <v>0</v>
          </cell>
          <cell r="BH199">
            <v>0</v>
          </cell>
          <cell r="BI199">
            <v>105</v>
          </cell>
          <cell r="BJ199">
            <v>1</v>
          </cell>
          <cell r="BK199">
            <v>0</v>
          </cell>
          <cell r="BL199">
            <v>0</v>
          </cell>
          <cell r="BM199">
            <v>0</v>
          </cell>
          <cell r="BN199">
            <v>1000</v>
          </cell>
          <cell r="BO199">
            <v>0</v>
          </cell>
          <cell r="BP199">
            <v>1000</v>
          </cell>
          <cell r="BQ199">
            <v>1000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</row>
        <row r="200">
          <cell r="H200" t="str">
            <v>C233762</v>
          </cell>
          <cell r="I200" t="str">
            <v xml:space="preserve">DEVELOPMENT OF CDSS A321      </v>
          </cell>
          <cell r="J200" t="str">
            <v xml:space="preserve">                              </v>
          </cell>
          <cell r="K200" t="str">
            <v xml:space="preserve">REGIO LEASE </v>
          </cell>
          <cell r="L200" t="str">
            <v>VGA</v>
          </cell>
          <cell r="M200">
            <v>45090</v>
          </cell>
          <cell r="N200">
            <v>45203</v>
          </cell>
          <cell r="O200">
            <v>47100</v>
          </cell>
          <cell r="P200">
            <v>0</v>
          </cell>
          <cell r="Q200">
            <v>35367.334068999997</v>
          </cell>
          <cell r="R200">
            <v>34706.22</v>
          </cell>
          <cell r="S200">
            <v>0.24910118749469223</v>
          </cell>
          <cell r="T200">
            <v>0.26292993630573247</v>
          </cell>
          <cell r="U200">
            <v>68</v>
          </cell>
          <cell r="V200">
            <v>34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7600</v>
          </cell>
          <cell r="AB200">
            <v>1462</v>
          </cell>
          <cell r="AC200">
            <v>0</v>
          </cell>
          <cell r="AD200">
            <v>0.80763157894736848</v>
          </cell>
          <cell r="AE200">
            <v>39500</v>
          </cell>
          <cell r="AF200">
            <v>33905.334068999997</v>
          </cell>
          <cell r="AG200">
            <v>33244.22</v>
          </cell>
          <cell r="AH200">
            <v>661.11406899999565</v>
          </cell>
          <cell r="AI200">
            <v>661.11</v>
          </cell>
          <cell r="AJ200">
            <v>0</v>
          </cell>
          <cell r="AK200">
            <v>0</v>
          </cell>
          <cell r="AL200">
            <v>3302.8124379999936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0.14163711217721531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47100</v>
          </cell>
          <cell r="AZ200">
            <v>0</v>
          </cell>
          <cell r="BA200">
            <v>46219.569697021827</v>
          </cell>
          <cell r="BB200">
            <v>34706.22</v>
          </cell>
          <cell r="BC200">
            <v>661.11406899999565</v>
          </cell>
          <cell r="BD200">
            <v>0.98130721225099427</v>
          </cell>
          <cell r="BE200">
            <v>1</v>
          </cell>
          <cell r="BF200">
            <v>-880.43030297817006</v>
          </cell>
          <cell r="BG200">
            <v>0</v>
          </cell>
          <cell r="BH200">
            <v>0</v>
          </cell>
          <cell r="BI200">
            <v>105</v>
          </cell>
          <cell r="BJ200">
            <v>0.98130721225099427</v>
          </cell>
          <cell r="BK200">
            <v>0</v>
          </cell>
          <cell r="BL200">
            <v>3302.8124379999936</v>
          </cell>
          <cell r="BM200">
            <v>-1.869273688281714E-2</v>
          </cell>
          <cell r="BN200">
            <v>46219.569697021827</v>
          </cell>
          <cell r="BO200">
            <v>34706.22</v>
          </cell>
          <cell r="BP200">
            <v>11513.349697021826</v>
          </cell>
          <cell r="BQ200">
            <v>47100</v>
          </cell>
          <cell r="BR200">
            <v>-880.42790718068863</v>
          </cell>
          <cell r="BS200">
            <v>2641.7000000000007</v>
          </cell>
          <cell r="BT200">
            <v>-3522.1279071806894</v>
          </cell>
          <cell r="BU200">
            <v>0</v>
          </cell>
          <cell r="BV200">
            <v>0</v>
          </cell>
          <cell r="BX200">
            <v>880.43030297817313</v>
          </cell>
          <cell r="BY200">
            <v>34</v>
          </cell>
          <cell r="BZ200">
            <v>0</v>
          </cell>
          <cell r="CA200">
            <v>33244.22</v>
          </cell>
        </row>
        <row r="201">
          <cell r="H201" t="str">
            <v>C233763</v>
          </cell>
          <cell r="I201" t="str">
            <v xml:space="preserve">A380 FULL Y PROJECT           </v>
          </cell>
          <cell r="J201" t="str">
            <v xml:space="preserve">                              </v>
          </cell>
          <cell r="K201" t="str">
            <v>CHELSEA GREEN AIRCRAFT LTD</v>
          </cell>
          <cell r="L201" t="str">
            <v>JFA</v>
          </cell>
          <cell r="M201">
            <v>45078</v>
          </cell>
          <cell r="N201">
            <v>45237</v>
          </cell>
          <cell r="O201">
            <v>17710</v>
          </cell>
          <cell r="P201">
            <v>0</v>
          </cell>
          <cell r="Q201">
            <v>6452.71</v>
          </cell>
          <cell r="R201">
            <v>6452.71</v>
          </cell>
          <cell r="S201">
            <v>0.63564596273291918</v>
          </cell>
          <cell r="T201">
            <v>0.59</v>
          </cell>
          <cell r="U201">
            <v>168</v>
          </cell>
          <cell r="V201">
            <v>149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17710</v>
          </cell>
          <cell r="AB201">
            <v>6407</v>
          </cell>
          <cell r="AC201">
            <v>0</v>
          </cell>
          <cell r="AD201">
            <v>0.63822699040090347</v>
          </cell>
          <cell r="AE201">
            <v>0</v>
          </cell>
          <cell r="AF201">
            <v>31.8</v>
          </cell>
          <cell r="AG201">
            <v>31.8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13.91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17710</v>
          </cell>
          <cell r="AZ201">
            <v>0</v>
          </cell>
          <cell r="BA201">
            <v>17710</v>
          </cell>
          <cell r="BB201">
            <v>6452.71</v>
          </cell>
          <cell r="BC201">
            <v>0</v>
          </cell>
          <cell r="BD201">
            <v>1</v>
          </cell>
          <cell r="BE201">
            <v>1</v>
          </cell>
          <cell r="BF201">
            <v>0</v>
          </cell>
          <cell r="BG201">
            <v>0</v>
          </cell>
          <cell r="BH201">
            <v>0</v>
          </cell>
          <cell r="BI201">
            <v>105</v>
          </cell>
          <cell r="BJ201">
            <v>1</v>
          </cell>
          <cell r="BK201">
            <v>0</v>
          </cell>
          <cell r="BL201">
            <v>0</v>
          </cell>
          <cell r="BM201">
            <v>0</v>
          </cell>
          <cell r="BN201">
            <v>17710</v>
          </cell>
          <cell r="BO201">
            <v>6452.71</v>
          </cell>
          <cell r="BP201">
            <v>11257.29</v>
          </cell>
          <cell r="BQ201">
            <v>17710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X201">
            <v>0</v>
          </cell>
          <cell r="BY201">
            <v>149</v>
          </cell>
          <cell r="BZ201">
            <v>0</v>
          </cell>
          <cell r="CA201">
            <v>45.71</v>
          </cell>
        </row>
        <row r="202">
          <cell r="H202" t="str">
            <v>C233765</v>
          </cell>
          <cell r="I202" t="str">
            <v xml:space="preserve">RTU POB FWI &amp; FBU FLEET       </v>
          </cell>
          <cell r="J202" t="str">
            <v xml:space="preserve">                              </v>
          </cell>
          <cell r="K202" t="str">
            <v xml:space="preserve">AIR CARAIBES ATLANTIQUE </v>
          </cell>
          <cell r="L202" t="str">
            <v>VGA</v>
          </cell>
          <cell r="M202">
            <v>45062</v>
          </cell>
          <cell r="N202">
            <v>45134</v>
          </cell>
          <cell r="O202">
            <v>7000</v>
          </cell>
          <cell r="P202">
            <v>0</v>
          </cell>
          <cell r="Q202">
            <v>3311</v>
          </cell>
          <cell r="R202">
            <v>3311</v>
          </cell>
          <cell r="S202">
            <v>0.52700000000000002</v>
          </cell>
          <cell r="T202">
            <v>0.59</v>
          </cell>
          <cell r="U202">
            <v>66</v>
          </cell>
          <cell r="V202">
            <v>77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7000</v>
          </cell>
          <cell r="AB202">
            <v>3311</v>
          </cell>
          <cell r="AC202">
            <v>0</v>
          </cell>
          <cell r="AD202">
            <v>0.52700000000000002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7000</v>
          </cell>
          <cell r="AZ202">
            <v>0</v>
          </cell>
          <cell r="BA202">
            <v>7000</v>
          </cell>
          <cell r="BB202">
            <v>3311</v>
          </cell>
          <cell r="BC202">
            <v>0</v>
          </cell>
          <cell r="BD202">
            <v>1</v>
          </cell>
          <cell r="BE202">
            <v>1</v>
          </cell>
          <cell r="BF202">
            <v>0</v>
          </cell>
          <cell r="BG202">
            <v>0</v>
          </cell>
          <cell r="BH202">
            <v>0</v>
          </cell>
          <cell r="BI202">
            <v>105</v>
          </cell>
          <cell r="BJ202">
            <v>1</v>
          </cell>
          <cell r="BK202">
            <v>0</v>
          </cell>
          <cell r="BL202">
            <v>0</v>
          </cell>
          <cell r="BM202">
            <v>0</v>
          </cell>
          <cell r="BN202">
            <v>7000</v>
          </cell>
          <cell r="BO202">
            <v>3311</v>
          </cell>
          <cell r="BP202">
            <v>3689</v>
          </cell>
          <cell r="BQ202">
            <v>7000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X202">
            <v>0</v>
          </cell>
          <cell r="BY202">
            <v>77</v>
          </cell>
          <cell r="BZ202">
            <v>0</v>
          </cell>
          <cell r="CA202">
            <v>0</v>
          </cell>
        </row>
        <row r="203">
          <cell r="H203" t="str">
            <v>C233770</v>
          </cell>
          <cell r="I203" t="str">
            <v xml:space="preserve">MODIFICATION DOSSIER AE20057  </v>
          </cell>
          <cell r="J203" t="str">
            <v xml:space="preserve">23058                         </v>
          </cell>
          <cell r="K203" t="str">
            <v xml:space="preserve">RESEAUX TRANSPORT ELECTRICITE </v>
          </cell>
          <cell r="L203" t="str">
            <v>LJA</v>
          </cell>
          <cell r="M203">
            <v>45103</v>
          </cell>
          <cell r="N203">
            <v>45120</v>
          </cell>
          <cell r="O203">
            <v>32848.5</v>
          </cell>
          <cell r="P203">
            <v>0</v>
          </cell>
          <cell r="Q203">
            <v>23490.34</v>
          </cell>
          <cell r="R203">
            <v>23490.34</v>
          </cell>
          <cell r="S203">
            <v>0.28488850328021065</v>
          </cell>
          <cell r="T203">
            <v>0.22503949952052607</v>
          </cell>
          <cell r="U203">
            <v>26.5</v>
          </cell>
          <cell r="V203">
            <v>28.5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2109</v>
          </cell>
          <cell r="AB203">
            <v>1225.5</v>
          </cell>
          <cell r="AC203">
            <v>0</v>
          </cell>
          <cell r="AD203">
            <v>0.41891891891891897</v>
          </cell>
          <cell r="AE203">
            <v>30739.5</v>
          </cell>
          <cell r="AF203">
            <v>17944.84</v>
          </cell>
          <cell r="AG203">
            <v>17944.84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4320</v>
          </cell>
          <cell r="AN203">
            <v>4320</v>
          </cell>
          <cell r="AO203">
            <v>0</v>
          </cell>
          <cell r="AP203">
            <v>0</v>
          </cell>
          <cell r="AQ203">
            <v>0</v>
          </cell>
          <cell r="AR203">
            <v>0.27569283820491552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32848.5</v>
          </cell>
          <cell r="AZ203">
            <v>0</v>
          </cell>
          <cell r="BA203">
            <v>32848.5</v>
          </cell>
          <cell r="BB203">
            <v>23490.34</v>
          </cell>
          <cell r="BC203">
            <v>0</v>
          </cell>
          <cell r="BD203">
            <v>1</v>
          </cell>
          <cell r="BE203">
            <v>1</v>
          </cell>
          <cell r="BF203">
            <v>0</v>
          </cell>
          <cell r="BG203">
            <v>0</v>
          </cell>
          <cell r="BH203">
            <v>0</v>
          </cell>
          <cell r="BI203">
            <v>105</v>
          </cell>
          <cell r="BJ203">
            <v>1</v>
          </cell>
          <cell r="BK203">
            <v>0</v>
          </cell>
          <cell r="BL203">
            <v>0</v>
          </cell>
          <cell r="BM203">
            <v>0</v>
          </cell>
          <cell r="BN203">
            <v>32848.5</v>
          </cell>
          <cell r="BO203">
            <v>23490.34</v>
          </cell>
          <cell r="BP203">
            <v>9358.16</v>
          </cell>
          <cell r="BQ203">
            <v>32848.5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X203">
            <v>0</v>
          </cell>
          <cell r="BY203">
            <v>28.5</v>
          </cell>
          <cell r="BZ203">
            <v>0</v>
          </cell>
          <cell r="CA203">
            <v>17944.84</v>
          </cell>
        </row>
        <row r="204">
          <cell r="H204" t="str">
            <v>C233776</v>
          </cell>
          <cell r="I204" t="str">
            <v xml:space="preserve">RTU STC 0²                    </v>
          </cell>
          <cell r="J204" t="str">
            <v xml:space="preserve">                              </v>
          </cell>
          <cell r="K204" t="str">
            <v xml:space="preserve">CORSAIR </v>
          </cell>
          <cell r="L204" t="str">
            <v>VGA</v>
          </cell>
          <cell r="M204">
            <v>45078</v>
          </cell>
          <cell r="N204">
            <v>45107</v>
          </cell>
          <cell r="O204">
            <v>7000</v>
          </cell>
          <cell r="P204">
            <v>0</v>
          </cell>
          <cell r="Q204">
            <v>2666</v>
          </cell>
          <cell r="R204">
            <v>2666</v>
          </cell>
          <cell r="S204">
            <v>0.61914285714285722</v>
          </cell>
          <cell r="T204">
            <v>0.59</v>
          </cell>
          <cell r="U204">
            <v>60.04</v>
          </cell>
          <cell r="V204">
            <v>62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7000</v>
          </cell>
          <cell r="AB204">
            <v>2666</v>
          </cell>
          <cell r="AC204">
            <v>0</v>
          </cell>
          <cell r="AD204">
            <v>0.61914285714285722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7000</v>
          </cell>
          <cell r="AZ204">
            <v>0</v>
          </cell>
          <cell r="BA204">
            <v>7000</v>
          </cell>
          <cell r="BB204">
            <v>2666</v>
          </cell>
          <cell r="BC204">
            <v>0</v>
          </cell>
          <cell r="BD204">
            <v>1</v>
          </cell>
          <cell r="BE204">
            <v>1</v>
          </cell>
          <cell r="BF204">
            <v>0</v>
          </cell>
          <cell r="BG204">
            <v>0</v>
          </cell>
          <cell r="BH204">
            <v>0</v>
          </cell>
          <cell r="BI204">
            <v>105</v>
          </cell>
          <cell r="BJ204">
            <v>1</v>
          </cell>
          <cell r="BK204">
            <v>0</v>
          </cell>
          <cell r="BL204">
            <v>0</v>
          </cell>
          <cell r="BM204">
            <v>0</v>
          </cell>
          <cell r="BN204">
            <v>7000</v>
          </cell>
          <cell r="BO204">
            <v>2666</v>
          </cell>
          <cell r="BP204">
            <v>4334</v>
          </cell>
          <cell r="BQ204">
            <v>7000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X204">
            <v>0</v>
          </cell>
          <cell r="BY204">
            <v>62</v>
          </cell>
          <cell r="BZ204">
            <v>0</v>
          </cell>
          <cell r="CA204">
            <v>0</v>
          </cell>
        </row>
        <row r="205">
          <cell r="H205" t="str">
            <v>C233779</v>
          </cell>
          <cell r="I205" t="str">
            <v>SERVICE BULLETIN FOR OVEN INST</v>
          </cell>
          <cell r="J205" t="str">
            <v xml:space="preserve">                              </v>
          </cell>
          <cell r="K205" t="str">
            <v>FTL AIRLINES</v>
          </cell>
          <cell r="L205" t="str">
            <v>VGA</v>
          </cell>
          <cell r="M205">
            <v>45090</v>
          </cell>
          <cell r="N205" t="str">
            <v/>
          </cell>
          <cell r="O205">
            <v>23870</v>
          </cell>
          <cell r="P205">
            <v>0</v>
          </cell>
          <cell r="Q205">
            <v>11474.780809</v>
          </cell>
          <cell r="R205">
            <v>11474.779999999999</v>
          </cell>
          <cell r="S205">
            <v>0.51132045207373267</v>
          </cell>
          <cell r="T205">
            <v>0.44050272308336824</v>
          </cell>
          <cell r="U205">
            <v>130</v>
          </cell>
          <cell r="V205">
            <v>128</v>
          </cell>
          <cell r="W205">
            <v>0</v>
          </cell>
          <cell r="X205">
            <v>4</v>
          </cell>
          <cell r="Y205">
            <v>4.5</v>
          </cell>
          <cell r="Z205">
            <v>2</v>
          </cell>
          <cell r="AA205">
            <v>14720</v>
          </cell>
          <cell r="AB205">
            <v>5504</v>
          </cell>
          <cell r="AC205">
            <v>190</v>
          </cell>
          <cell r="AD205">
            <v>0.61317934782608696</v>
          </cell>
          <cell r="AE205">
            <v>9150</v>
          </cell>
          <cell r="AF205">
            <v>4879.8208090000007</v>
          </cell>
          <cell r="AG205">
            <v>4879.82</v>
          </cell>
          <cell r="AH205">
            <v>8.0900000102701597E-4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1090.96</v>
          </cell>
          <cell r="AN205">
            <v>1090.96</v>
          </cell>
          <cell r="AO205">
            <v>0</v>
          </cell>
          <cell r="AP205">
            <v>0</v>
          </cell>
          <cell r="AQ205">
            <v>0</v>
          </cell>
          <cell r="AR205">
            <v>0.34745564928961736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14960</v>
          </cell>
          <cell r="AZ205">
            <v>0</v>
          </cell>
          <cell r="BA205">
            <v>23481.195496504246</v>
          </cell>
          <cell r="BB205">
            <v>11474.779999999999</v>
          </cell>
          <cell r="BC205">
            <v>190.00080900000103</v>
          </cell>
          <cell r="BD205">
            <v>0.98371158343126297</v>
          </cell>
          <cell r="BE205">
            <v>0.62672811059907829</v>
          </cell>
          <cell r="BF205">
            <v>0</v>
          </cell>
          <cell r="BG205">
            <v>8521.1954965042478</v>
          </cell>
          <cell r="BH205">
            <v>0</v>
          </cell>
          <cell r="BI205">
            <v>105</v>
          </cell>
          <cell r="BJ205">
            <v>0.98371158343126297</v>
          </cell>
          <cell r="BK205">
            <v>0</v>
          </cell>
          <cell r="BL205">
            <v>62.250000000000909</v>
          </cell>
          <cell r="BM205">
            <v>2.1343579550932024E-3</v>
          </cell>
          <cell r="BN205">
            <v>23481.195496504246</v>
          </cell>
          <cell r="BO205">
            <v>11474.779999999999</v>
          </cell>
          <cell r="BP205">
            <v>12006.415496504247</v>
          </cell>
          <cell r="BQ205">
            <v>14960</v>
          </cell>
          <cell r="BR205">
            <v>50.947124388072552</v>
          </cell>
          <cell r="BS205">
            <v>86</v>
          </cell>
          <cell r="BT205">
            <v>-35.052875611927448</v>
          </cell>
          <cell r="BU205">
            <v>0</v>
          </cell>
          <cell r="BV205">
            <v>0</v>
          </cell>
          <cell r="BX205">
            <v>388.80450349575403</v>
          </cell>
          <cell r="BY205">
            <v>128</v>
          </cell>
          <cell r="BZ205">
            <v>0</v>
          </cell>
          <cell r="CA205">
            <v>4879.82</v>
          </cell>
        </row>
        <row r="206">
          <cell r="H206" t="str">
            <v>C233781</v>
          </cell>
          <cell r="I206" t="str">
            <v xml:space="preserve">EXTENSION DE GARANTIE         </v>
          </cell>
          <cell r="J206" t="str">
            <v xml:space="preserve">                              </v>
          </cell>
          <cell r="K206" t="str">
            <v xml:space="preserve">DAHER AEROSPACE </v>
          </cell>
          <cell r="L206" t="str">
            <v>BAZ</v>
          </cell>
          <cell r="M206">
            <v>45107</v>
          </cell>
          <cell r="O206">
            <v>84371.914426000003</v>
          </cell>
          <cell r="P206">
            <v>0</v>
          </cell>
          <cell r="Q206">
            <v>57523.617184000002</v>
          </cell>
          <cell r="R206">
            <v>57512.570000000007</v>
          </cell>
          <cell r="S206">
            <v>0.31821367838639969</v>
          </cell>
          <cell r="T206">
            <v>0.2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84371.914426000003</v>
          </cell>
          <cell r="AF206">
            <v>57523.617184000002</v>
          </cell>
          <cell r="AG206">
            <v>57512.570000000007</v>
          </cell>
          <cell r="AH206">
            <v>11.047183999995468</v>
          </cell>
          <cell r="AI206">
            <v>-11.049999999995634</v>
          </cell>
          <cell r="AJ206">
            <v>0</v>
          </cell>
          <cell r="AK206">
            <v>0</v>
          </cell>
          <cell r="AL206">
            <v>-2186.1428159999996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0.31821367838639969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84759.360000000001</v>
          </cell>
          <cell r="AZ206">
            <v>0</v>
          </cell>
          <cell r="BA206">
            <v>84355.711132314318</v>
          </cell>
          <cell r="BB206">
            <v>57512.570000000007</v>
          </cell>
          <cell r="BC206">
            <v>11.047183999995468</v>
          </cell>
          <cell r="BD206">
            <v>0.9998079539406457</v>
          </cell>
          <cell r="BE206">
            <v>1.0045921154762918</v>
          </cell>
          <cell r="BF206">
            <v>-403.64886768569284</v>
          </cell>
          <cell r="BG206">
            <v>0</v>
          </cell>
          <cell r="BH206">
            <v>0</v>
          </cell>
          <cell r="BI206">
            <v>105</v>
          </cell>
          <cell r="BJ206">
            <v>0.9998079539406457</v>
          </cell>
          <cell r="BK206">
            <v>0</v>
          </cell>
          <cell r="BL206">
            <v>-10623.3342586</v>
          </cell>
          <cell r="BM206">
            <v>0.12361674162657199</v>
          </cell>
          <cell r="BN206">
            <v>84355.711132314318</v>
          </cell>
          <cell r="BO206">
            <v>57512.570000000007</v>
          </cell>
          <cell r="BP206">
            <v>26843.141132314311</v>
          </cell>
          <cell r="BQ206">
            <v>84759.360000000001</v>
          </cell>
          <cell r="BR206">
            <v>10429.781146138092</v>
          </cell>
          <cell r="BS206">
            <v>-2197.1899999999951</v>
          </cell>
          <cell r="BT206">
            <v>12626.971146138087</v>
          </cell>
          <cell r="BU206">
            <v>0</v>
          </cell>
          <cell r="BV206">
            <v>0</v>
          </cell>
          <cell r="BX206">
            <v>16.203293685684912</v>
          </cell>
          <cell r="BY206">
            <v>0</v>
          </cell>
          <cell r="BZ206">
            <v>0</v>
          </cell>
          <cell r="CA206">
            <v>57512.570000000007</v>
          </cell>
        </row>
        <row r="207">
          <cell r="H207" t="str">
            <v>C233782</v>
          </cell>
          <cell r="I207" t="str">
            <v xml:space="preserve">REVISION AE18031SB            </v>
          </cell>
          <cell r="J207" t="str">
            <v xml:space="preserve">                              </v>
          </cell>
          <cell r="K207" t="str">
            <v xml:space="preserve">AIR CARAIBES ATLANTIQUE </v>
          </cell>
          <cell r="L207" t="str">
            <v>VGA</v>
          </cell>
          <cell r="M207">
            <v>45072</v>
          </cell>
          <cell r="N207">
            <v>45107</v>
          </cell>
          <cell r="O207">
            <v>4800</v>
          </cell>
          <cell r="P207">
            <v>0</v>
          </cell>
          <cell r="Q207">
            <v>1892</v>
          </cell>
          <cell r="R207">
            <v>1892</v>
          </cell>
          <cell r="S207">
            <v>0.60583333333333333</v>
          </cell>
          <cell r="T207">
            <v>0.59</v>
          </cell>
          <cell r="U207">
            <v>44</v>
          </cell>
          <cell r="V207">
            <v>44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4800</v>
          </cell>
          <cell r="AB207">
            <v>1892</v>
          </cell>
          <cell r="AC207">
            <v>0</v>
          </cell>
          <cell r="AD207">
            <v>0.60583333333333333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4800</v>
          </cell>
          <cell r="AZ207">
            <v>0</v>
          </cell>
          <cell r="BA207">
            <v>4800</v>
          </cell>
          <cell r="BB207">
            <v>1892</v>
          </cell>
          <cell r="BC207">
            <v>0</v>
          </cell>
          <cell r="BD207">
            <v>1</v>
          </cell>
          <cell r="BE207">
            <v>1</v>
          </cell>
          <cell r="BF207">
            <v>0</v>
          </cell>
          <cell r="BG207">
            <v>0</v>
          </cell>
          <cell r="BH207">
            <v>0</v>
          </cell>
          <cell r="BI207">
            <v>105</v>
          </cell>
          <cell r="BJ207">
            <v>1</v>
          </cell>
          <cell r="BK207">
            <v>0</v>
          </cell>
          <cell r="BL207">
            <v>0</v>
          </cell>
          <cell r="BM207">
            <v>0</v>
          </cell>
          <cell r="BN207">
            <v>4800</v>
          </cell>
          <cell r="BO207">
            <v>1892</v>
          </cell>
          <cell r="BP207">
            <v>2908</v>
          </cell>
          <cell r="BQ207">
            <v>4800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X207">
            <v>0</v>
          </cell>
          <cell r="BY207">
            <v>44</v>
          </cell>
          <cell r="BZ207">
            <v>0</v>
          </cell>
          <cell r="CA207">
            <v>0</v>
          </cell>
        </row>
        <row r="208">
          <cell r="H208" t="str">
            <v>C233783</v>
          </cell>
          <cell r="I208" t="str">
            <v>SERVICE BULLETIN B737 MSN TBD-</v>
          </cell>
          <cell r="J208" t="str">
            <v xml:space="preserve">                              </v>
          </cell>
          <cell r="K208" t="str">
            <v>AERO CABIN SOLUTIONS</v>
          </cell>
          <cell r="L208" t="str">
            <v>FDE</v>
          </cell>
          <cell r="M208">
            <v>45076</v>
          </cell>
          <cell r="N208">
            <v>45107</v>
          </cell>
          <cell r="O208">
            <v>4500</v>
          </cell>
          <cell r="P208">
            <v>0</v>
          </cell>
          <cell r="Q208">
            <v>1720</v>
          </cell>
          <cell r="R208">
            <v>1720</v>
          </cell>
          <cell r="S208">
            <v>0.61777777777777776</v>
          </cell>
          <cell r="T208">
            <v>0.59</v>
          </cell>
          <cell r="U208">
            <v>42.857142857142854</v>
          </cell>
          <cell r="V208">
            <v>40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4500</v>
          </cell>
          <cell r="AB208">
            <v>1720</v>
          </cell>
          <cell r="AC208">
            <v>0</v>
          </cell>
          <cell r="AD208">
            <v>0.61777777777777776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4500</v>
          </cell>
          <cell r="AZ208">
            <v>0</v>
          </cell>
          <cell r="BA208">
            <v>4500</v>
          </cell>
          <cell r="BB208">
            <v>1720</v>
          </cell>
          <cell r="BC208">
            <v>0</v>
          </cell>
          <cell r="BD208">
            <v>1</v>
          </cell>
          <cell r="BE208">
            <v>1</v>
          </cell>
          <cell r="BF208">
            <v>0</v>
          </cell>
          <cell r="BG208">
            <v>0</v>
          </cell>
          <cell r="BH208">
            <v>0</v>
          </cell>
          <cell r="BI208">
            <v>105</v>
          </cell>
          <cell r="BJ208">
            <v>1</v>
          </cell>
          <cell r="BK208">
            <v>0</v>
          </cell>
          <cell r="BL208">
            <v>0</v>
          </cell>
          <cell r="BM208">
            <v>0</v>
          </cell>
          <cell r="BN208">
            <v>4500</v>
          </cell>
          <cell r="BO208">
            <v>1720</v>
          </cell>
          <cell r="BP208">
            <v>2780</v>
          </cell>
          <cell r="BQ208">
            <v>4500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X208">
            <v>0</v>
          </cell>
          <cell r="BY208">
            <v>40</v>
          </cell>
          <cell r="BZ208">
            <v>0</v>
          </cell>
          <cell r="CA208">
            <v>0</v>
          </cell>
        </row>
        <row r="209">
          <cell r="H209" t="str">
            <v>C233784</v>
          </cell>
          <cell r="I209" t="str">
            <v xml:space="preserve">SB - B737 MSN 39419           </v>
          </cell>
          <cell r="J209" t="str">
            <v xml:space="preserve">                              </v>
          </cell>
          <cell r="K209" t="str">
            <v>AERO CABIN SOLUTIONS</v>
          </cell>
          <cell r="L209" t="str">
            <v>FDE</v>
          </cell>
          <cell r="M209">
            <v>45092</v>
          </cell>
          <cell r="N209">
            <v>45174</v>
          </cell>
          <cell r="O209">
            <v>3200</v>
          </cell>
          <cell r="P209">
            <v>0</v>
          </cell>
          <cell r="Q209">
            <v>2107</v>
          </cell>
          <cell r="R209">
            <v>2107</v>
          </cell>
          <cell r="S209">
            <v>0.34156249999999999</v>
          </cell>
          <cell r="T209">
            <v>0.59</v>
          </cell>
          <cell r="U209">
            <v>30</v>
          </cell>
          <cell r="V209">
            <v>49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3200</v>
          </cell>
          <cell r="AB209">
            <v>2107</v>
          </cell>
          <cell r="AC209">
            <v>0</v>
          </cell>
          <cell r="AD209">
            <v>0.34156249999999999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3200</v>
          </cell>
          <cell r="AZ209">
            <v>0</v>
          </cell>
          <cell r="BA209">
            <v>3200</v>
          </cell>
          <cell r="BB209">
            <v>2107</v>
          </cell>
          <cell r="BC209">
            <v>0</v>
          </cell>
          <cell r="BD209">
            <v>1</v>
          </cell>
          <cell r="BE209">
            <v>1</v>
          </cell>
          <cell r="BF209">
            <v>0</v>
          </cell>
          <cell r="BG209">
            <v>0</v>
          </cell>
          <cell r="BH209">
            <v>0</v>
          </cell>
          <cell r="BI209">
            <v>105</v>
          </cell>
          <cell r="BJ209">
            <v>1</v>
          </cell>
          <cell r="BK209">
            <v>0</v>
          </cell>
          <cell r="BL209">
            <v>0</v>
          </cell>
          <cell r="BM209">
            <v>0</v>
          </cell>
          <cell r="BN209">
            <v>3200</v>
          </cell>
          <cell r="BO209">
            <v>2107</v>
          </cell>
          <cell r="BP209">
            <v>1093</v>
          </cell>
          <cell r="BQ209">
            <v>3200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X209">
            <v>0</v>
          </cell>
          <cell r="BY209">
            <v>49</v>
          </cell>
          <cell r="BZ209">
            <v>0</v>
          </cell>
          <cell r="CA209">
            <v>0</v>
          </cell>
        </row>
        <row r="210">
          <cell r="H210" t="str">
            <v>C233785</v>
          </cell>
          <cell r="I210" t="str">
            <v xml:space="preserve">AJOUT D'APPLICABILITÉ         </v>
          </cell>
          <cell r="J210" t="str">
            <v xml:space="preserve">14216                         </v>
          </cell>
          <cell r="K210" t="str">
            <v>ROTOR TEAM</v>
          </cell>
          <cell r="L210" t="str">
            <v>LJA</v>
          </cell>
          <cell r="M210">
            <v>45082</v>
          </cell>
          <cell r="N210">
            <v>45120</v>
          </cell>
          <cell r="O210">
            <v>700</v>
          </cell>
          <cell r="P210">
            <v>0</v>
          </cell>
          <cell r="Q210">
            <v>258</v>
          </cell>
          <cell r="R210">
            <v>258</v>
          </cell>
          <cell r="S210">
            <v>0.63142857142857145</v>
          </cell>
          <cell r="T210">
            <v>0.59</v>
          </cell>
          <cell r="U210">
            <v>6</v>
          </cell>
          <cell r="V210">
            <v>6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700</v>
          </cell>
          <cell r="AB210">
            <v>258</v>
          </cell>
          <cell r="AC210">
            <v>0</v>
          </cell>
          <cell r="AD210">
            <v>0.63142857142857145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700</v>
          </cell>
          <cell r="AZ210">
            <v>0</v>
          </cell>
          <cell r="BA210">
            <v>700</v>
          </cell>
          <cell r="BB210">
            <v>258</v>
          </cell>
          <cell r="BC210">
            <v>0</v>
          </cell>
          <cell r="BD210">
            <v>1</v>
          </cell>
          <cell r="BE210">
            <v>1</v>
          </cell>
          <cell r="BF210">
            <v>0</v>
          </cell>
          <cell r="BG210">
            <v>0</v>
          </cell>
          <cell r="BH210">
            <v>0</v>
          </cell>
          <cell r="BI210">
            <v>105</v>
          </cell>
          <cell r="BJ210">
            <v>1</v>
          </cell>
          <cell r="BK210">
            <v>0</v>
          </cell>
          <cell r="BL210">
            <v>0</v>
          </cell>
          <cell r="BM210">
            <v>0</v>
          </cell>
          <cell r="BN210">
            <v>700</v>
          </cell>
          <cell r="BO210">
            <v>258</v>
          </cell>
          <cell r="BP210">
            <v>442</v>
          </cell>
          <cell r="BQ210">
            <v>700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X210">
            <v>0</v>
          </cell>
          <cell r="BY210">
            <v>6</v>
          </cell>
          <cell r="BZ210">
            <v>0</v>
          </cell>
          <cell r="CA210">
            <v>0</v>
          </cell>
        </row>
        <row r="211">
          <cell r="H211" t="str">
            <v>C233786</v>
          </cell>
          <cell r="I211" t="str">
            <v>AJOUT D'APPLICABILITE S/N 9254</v>
          </cell>
          <cell r="J211" t="str">
            <v xml:space="preserve">14143                         </v>
          </cell>
          <cell r="K211" t="str">
            <v xml:space="preserve">HDF MAINTENANCE </v>
          </cell>
          <cell r="L211" t="str">
            <v>LJA</v>
          </cell>
          <cell r="M211">
            <v>45077</v>
          </cell>
          <cell r="N211" t="str">
            <v/>
          </cell>
          <cell r="O211">
            <v>2600</v>
          </cell>
          <cell r="P211">
            <v>0</v>
          </cell>
          <cell r="Q211">
            <v>0</v>
          </cell>
          <cell r="R211">
            <v>0</v>
          </cell>
          <cell r="S211">
            <v>0.63461538461538458</v>
          </cell>
          <cell r="T211">
            <v>0.59</v>
          </cell>
          <cell r="U211">
            <v>24.761904761904763</v>
          </cell>
          <cell r="V211">
            <v>0</v>
          </cell>
          <cell r="W211">
            <v>0</v>
          </cell>
          <cell r="X211">
            <v>20</v>
          </cell>
          <cell r="Y211">
            <v>20</v>
          </cell>
          <cell r="Z211">
            <v>0</v>
          </cell>
          <cell r="AA211">
            <v>2600</v>
          </cell>
          <cell r="AB211">
            <v>0</v>
          </cell>
          <cell r="AC211">
            <v>950</v>
          </cell>
          <cell r="AD211">
            <v>0.63461538461538458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950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105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X211">
            <v>2600</v>
          </cell>
          <cell r="BY211">
            <v>0</v>
          </cell>
          <cell r="BZ211">
            <v>0</v>
          </cell>
          <cell r="CA211">
            <v>0</v>
          </cell>
        </row>
        <row r="212">
          <cell r="H212" t="str">
            <v>C233787</v>
          </cell>
          <cell r="I212" t="str">
            <v xml:space="preserve">MODIFICATION DOSSIER AE23037  </v>
          </cell>
          <cell r="J212" t="str">
            <v xml:space="preserve">23037                         </v>
          </cell>
          <cell r="K212" t="str">
            <v xml:space="preserve">ROTORTRADE SASU </v>
          </cell>
          <cell r="L212" t="str">
            <v>LJA</v>
          </cell>
          <cell r="M212">
            <v>45082</v>
          </cell>
          <cell r="N212">
            <v>45107</v>
          </cell>
          <cell r="O212">
            <v>1450</v>
          </cell>
          <cell r="P212">
            <v>0</v>
          </cell>
          <cell r="Q212">
            <v>525</v>
          </cell>
          <cell r="R212">
            <v>525</v>
          </cell>
          <cell r="S212">
            <v>0.63793103448275867</v>
          </cell>
          <cell r="T212">
            <v>0.59</v>
          </cell>
          <cell r="U212">
            <v>14</v>
          </cell>
          <cell r="V212">
            <v>11</v>
          </cell>
          <cell r="W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1450</v>
          </cell>
          <cell r="AB212">
            <v>525</v>
          </cell>
          <cell r="AC212">
            <v>0</v>
          </cell>
          <cell r="AD212">
            <v>0.63793103448275867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1450</v>
          </cell>
          <cell r="AZ212">
            <v>0</v>
          </cell>
          <cell r="BA212">
            <v>1450</v>
          </cell>
          <cell r="BB212">
            <v>525</v>
          </cell>
          <cell r="BC212">
            <v>0</v>
          </cell>
          <cell r="BD212">
            <v>1</v>
          </cell>
          <cell r="BE212">
            <v>1</v>
          </cell>
          <cell r="BF212">
            <v>0</v>
          </cell>
          <cell r="BG212">
            <v>0</v>
          </cell>
          <cell r="BH212">
            <v>0</v>
          </cell>
          <cell r="BI212">
            <v>105</v>
          </cell>
          <cell r="BJ212">
            <v>1</v>
          </cell>
          <cell r="BK212">
            <v>0</v>
          </cell>
          <cell r="BL212">
            <v>0</v>
          </cell>
          <cell r="BM212">
            <v>0</v>
          </cell>
          <cell r="BN212">
            <v>1450</v>
          </cell>
          <cell r="BO212">
            <v>525</v>
          </cell>
          <cell r="BP212">
            <v>925</v>
          </cell>
          <cell r="BQ212">
            <v>1450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X212">
            <v>0</v>
          </cell>
          <cell r="BY212">
            <v>12</v>
          </cell>
          <cell r="BZ212">
            <v>1</v>
          </cell>
          <cell r="CA212">
            <v>0</v>
          </cell>
        </row>
        <row r="213">
          <cell r="H213" t="str">
            <v>C233788</v>
          </cell>
          <cell r="I213" t="str">
            <v xml:space="preserve">49331-01                      </v>
          </cell>
          <cell r="J213" t="str">
            <v xml:space="preserve">                              </v>
          </cell>
          <cell r="K213" t="str">
            <v xml:space="preserve">DAHER AEROSPACE MERPINS </v>
          </cell>
          <cell r="L213" t="str">
            <v>JFA</v>
          </cell>
          <cell r="M213">
            <v>45091</v>
          </cell>
          <cell r="N213">
            <v>45205</v>
          </cell>
          <cell r="O213">
            <v>1258.8399999999999</v>
          </cell>
          <cell r="P213">
            <v>0</v>
          </cell>
          <cell r="Q213">
            <v>762.58302400000002</v>
          </cell>
          <cell r="R213">
            <v>762.58</v>
          </cell>
          <cell r="S213">
            <v>0.3942176734136188</v>
          </cell>
          <cell r="T213">
            <v>0.33011979282514059</v>
          </cell>
          <cell r="U213">
            <v>4</v>
          </cell>
          <cell r="V213">
            <v>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420</v>
          </cell>
          <cell r="AB213">
            <v>172</v>
          </cell>
          <cell r="AC213">
            <v>0</v>
          </cell>
          <cell r="AD213">
            <v>0.59047619047619049</v>
          </cell>
          <cell r="AE213">
            <v>838.83999999999992</v>
          </cell>
          <cell r="AF213">
            <v>590.58302400000002</v>
          </cell>
          <cell r="AG213">
            <v>590.58000000000004</v>
          </cell>
          <cell r="AH213">
            <v>3.0239999999821521E-3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0.29595271565495196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1258.8399999999999</v>
          </cell>
          <cell r="AZ213">
            <v>0</v>
          </cell>
          <cell r="BA213">
            <v>1258.835008107917</v>
          </cell>
          <cell r="BB213">
            <v>762.58</v>
          </cell>
          <cell r="BC213">
            <v>3.0239999999821521E-3</v>
          </cell>
          <cell r="BD213">
            <v>0.99999603453013663</v>
          </cell>
          <cell r="BE213">
            <v>1</v>
          </cell>
          <cell r="BF213">
            <v>-4.9918920827985236E-3</v>
          </cell>
          <cell r="BG213">
            <v>0</v>
          </cell>
          <cell r="BH213">
            <v>0</v>
          </cell>
          <cell r="BI213">
            <v>105</v>
          </cell>
          <cell r="BJ213">
            <v>0.99999603453013663</v>
          </cell>
          <cell r="BK213">
            <v>0</v>
          </cell>
          <cell r="BL213">
            <v>0</v>
          </cell>
          <cell r="BM213">
            <v>0</v>
          </cell>
          <cell r="BN213">
            <v>1258.835008107917</v>
          </cell>
          <cell r="BO213">
            <v>762.58</v>
          </cell>
          <cell r="BP213">
            <v>496.25500810791698</v>
          </cell>
          <cell r="BQ213">
            <v>1258.8399999999999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X213">
            <v>4.9918920828986302E-3</v>
          </cell>
          <cell r="BY213">
            <v>4</v>
          </cell>
          <cell r="BZ213">
            <v>0</v>
          </cell>
          <cell r="CA213">
            <v>590.58000000000004</v>
          </cell>
        </row>
        <row r="214">
          <cell r="H214" t="str">
            <v>C233792</v>
          </cell>
          <cell r="I214" t="str">
            <v>AJOUT D'APPLICABILITÉ S/N 9229</v>
          </cell>
          <cell r="J214" t="str">
            <v xml:space="preserve">17174                         </v>
          </cell>
          <cell r="K214" t="str">
            <v>BABCOCK MCS FRANCE</v>
          </cell>
          <cell r="L214" t="str">
            <v>LJA</v>
          </cell>
          <cell r="M214">
            <v>45085</v>
          </cell>
          <cell r="N214">
            <v>45120</v>
          </cell>
          <cell r="O214">
            <v>9112.14</v>
          </cell>
          <cell r="P214">
            <v>0</v>
          </cell>
          <cell r="Q214">
            <v>5952</v>
          </cell>
          <cell r="R214">
            <v>5952</v>
          </cell>
          <cell r="S214">
            <v>0.34680547050418453</v>
          </cell>
          <cell r="T214">
            <v>0.27318807656598781</v>
          </cell>
          <cell r="U214">
            <v>8.5</v>
          </cell>
          <cell r="V214">
            <v>8.5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1710</v>
          </cell>
          <cell r="AB214">
            <v>365.5</v>
          </cell>
          <cell r="AC214">
            <v>0</v>
          </cell>
          <cell r="AD214">
            <v>0.78625730994152043</v>
          </cell>
          <cell r="AE214">
            <v>7402.14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5586.5</v>
          </cell>
          <cell r="AN214">
            <v>5586.5</v>
          </cell>
          <cell r="AO214">
            <v>0</v>
          </cell>
          <cell r="AP214">
            <v>0</v>
          </cell>
          <cell r="AQ214">
            <v>0</v>
          </cell>
          <cell r="AR214">
            <v>0.24528582274855648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9112.14</v>
          </cell>
          <cell r="AZ214">
            <v>0</v>
          </cell>
          <cell r="BA214">
            <v>9112.14</v>
          </cell>
          <cell r="BB214">
            <v>5952</v>
          </cell>
          <cell r="BC214">
            <v>0</v>
          </cell>
          <cell r="BD214">
            <v>1</v>
          </cell>
          <cell r="BE214">
            <v>1</v>
          </cell>
          <cell r="BF214">
            <v>0</v>
          </cell>
          <cell r="BG214">
            <v>0</v>
          </cell>
          <cell r="BH214">
            <v>0</v>
          </cell>
          <cell r="BI214">
            <v>105</v>
          </cell>
          <cell r="BJ214">
            <v>1</v>
          </cell>
          <cell r="BK214">
            <v>-9.0949470177292824E-13</v>
          </cell>
          <cell r="BL214">
            <v>0</v>
          </cell>
          <cell r="BM214">
            <v>0</v>
          </cell>
          <cell r="BN214">
            <v>9112.14</v>
          </cell>
          <cell r="BO214">
            <v>5952</v>
          </cell>
          <cell r="BP214">
            <v>3160.1399999999994</v>
          </cell>
          <cell r="BQ214">
            <v>9112.14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X214">
            <v>0</v>
          </cell>
          <cell r="BY214">
            <v>8.5</v>
          </cell>
          <cell r="BZ214">
            <v>0</v>
          </cell>
          <cell r="CA214">
            <v>0</v>
          </cell>
        </row>
        <row r="215">
          <cell r="H215" t="str">
            <v>C233793</v>
          </cell>
          <cell r="I215" t="str">
            <v>AJOUT D'APPLICABILITÉ S/N 9229</v>
          </cell>
          <cell r="J215" t="str">
            <v xml:space="preserve">17175                         </v>
          </cell>
          <cell r="K215" t="str">
            <v>BABCOCK MCS FRANCE</v>
          </cell>
          <cell r="L215" t="str">
            <v>LJA</v>
          </cell>
          <cell r="M215">
            <v>45085</v>
          </cell>
          <cell r="N215">
            <v>45134</v>
          </cell>
          <cell r="O215">
            <v>900</v>
          </cell>
          <cell r="P215">
            <v>0</v>
          </cell>
          <cell r="Q215">
            <v>365.5</v>
          </cell>
          <cell r="R215">
            <v>365.5</v>
          </cell>
          <cell r="S215">
            <v>0.59388888888888891</v>
          </cell>
          <cell r="T215">
            <v>0.59</v>
          </cell>
          <cell r="U215">
            <v>8.5</v>
          </cell>
          <cell r="V215">
            <v>8.5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900</v>
          </cell>
          <cell r="AB215">
            <v>365.5</v>
          </cell>
          <cell r="AC215">
            <v>0</v>
          </cell>
          <cell r="AD215">
            <v>0.59388888888888891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900</v>
          </cell>
          <cell r="AZ215">
            <v>0</v>
          </cell>
          <cell r="BA215">
            <v>900</v>
          </cell>
          <cell r="BB215">
            <v>365.5</v>
          </cell>
          <cell r="BC215">
            <v>0</v>
          </cell>
          <cell r="BD215">
            <v>1</v>
          </cell>
          <cell r="BE215">
            <v>1</v>
          </cell>
          <cell r="BF215">
            <v>0</v>
          </cell>
          <cell r="BG215">
            <v>0</v>
          </cell>
          <cell r="BH215">
            <v>0</v>
          </cell>
          <cell r="BI215">
            <v>105</v>
          </cell>
          <cell r="BJ215">
            <v>1</v>
          </cell>
          <cell r="BK215">
            <v>0</v>
          </cell>
          <cell r="BL215">
            <v>0</v>
          </cell>
          <cell r="BM215">
            <v>0</v>
          </cell>
          <cell r="BN215">
            <v>900</v>
          </cell>
          <cell r="BO215">
            <v>365.5</v>
          </cell>
          <cell r="BP215">
            <v>534.5</v>
          </cell>
          <cell r="BQ215">
            <v>900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X215">
            <v>0</v>
          </cell>
          <cell r="BY215">
            <v>8.5</v>
          </cell>
          <cell r="BZ215">
            <v>0</v>
          </cell>
          <cell r="CA215">
            <v>0</v>
          </cell>
        </row>
        <row r="216">
          <cell r="H216" t="str">
            <v>C233794</v>
          </cell>
          <cell r="I216" t="str">
            <v xml:space="preserve">AJOUT D'APPLICABILITÉ         </v>
          </cell>
          <cell r="J216" t="str">
            <v xml:space="preserve">23030                         </v>
          </cell>
          <cell r="K216" t="str">
            <v>ROTOR TEAM</v>
          </cell>
          <cell r="L216" t="str">
            <v>LJA</v>
          </cell>
          <cell r="M216">
            <v>45103</v>
          </cell>
          <cell r="N216">
            <v>45120</v>
          </cell>
          <cell r="O216">
            <v>1207.5</v>
          </cell>
          <cell r="P216">
            <v>0</v>
          </cell>
          <cell r="Q216">
            <v>494.5</v>
          </cell>
          <cell r="R216">
            <v>494.5</v>
          </cell>
          <cell r="S216">
            <v>0.59047619047619049</v>
          </cell>
          <cell r="T216">
            <v>0.59</v>
          </cell>
          <cell r="U216">
            <v>11.5</v>
          </cell>
          <cell r="V216">
            <v>11.5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1207.5</v>
          </cell>
          <cell r="AB216">
            <v>494.5</v>
          </cell>
          <cell r="AC216">
            <v>0</v>
          </cell>
          <cell r="AD216">
            <v>0.59047619047619049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1207.5</v>
          </cell>
          <cell r="AZ216">
            <v>0</v>
          </cell>
          <cell r="BA216">
            <v>1207.5</v>
          </cell>
          <cell r="BB216">
            <v>494.5</v>
          </cell>
          <cell r="BC216">
            <v>0</v>
          </cell>
          <cell r="BD216">
            <v>1</v>
          </cell>
          <cell r="BE216">
            <v>1</v>
          </cell>
          <cell r="BF216">
            <v>0</v>
          </cell>
          <cell r="BG216">
            <v>0</v>
          </cell>
          <cell r="BH216">
            <v>0</v>
          </cell>
          <cell r="BI216">
            <v>105</v>
          </cell>
          <cell r="BJ216">
            <v>1</v>
          </cell>
          <cell r="BK216">
            <v>0</v>
          </cell>
          <cell r="BL216">
            <v>0</v>
          </cell>
          <cell r="BM216">
            <v>0</v>
          </cell>
          <cell r="BN216">
            <v>1207.5</v>
          </cell>
          <cell r="BO216">
            <v>494.5</v>
          </cell>
          <cell r="BP216">
            <v>713</v>
          </cell>
          <cell r="BQ216">
            <v>1207.5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X216">
            <v>0</v>
          </cell>
          <cell r="BY216">
            <v>11.5</v>
          </cell>
          <cell r="BZ216">
            <v>0</v>
          </cell>
          <cell r="CA216">
            <v>0</v>
          </cell>
        </row>
        <row r="217">
          <cell r="H217" t="str">
            <v>C233795</v>
          </cell>
          <cell r="I217" t="str">
            <v xml:space="preserve">622-9210-501                  </v>
          </cell>
          <cell r="J217" t="str">
            <v xml:space="preserve">                              </v>
          </cell>
          <cell r="K217" t="str">
            <v xml:space="preserve">SARAH AIRWAYS </v>
          </cell>
          <cell r="L217" t="str">
            <v>JFA</v>
          </cell>
          <cell r="M217">
            <v>45082</v>
          </cell>
          <cell r="N217">
            <v>45203</v>
          </cell>
          <cell r="O217">
            <v>0</v>
          </cell>
          <cell r="P217">
            <v>0</v>
          </cell>
          <cell r="Q217">
            <v>903</v>
          </cell>
          <cell r="R217">
            <v>903</v>
          </cell>
          <cell r="S217">
            <v>0</v>
          </cell>
          <cell r="T217">
            <v>0</v>
          </cell>
          <cell r="U217">
            <v>404.04</v>
          </cell>
          <cell r="V217">
            <v>21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903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903</v>
          </cell>
          <cell r="BC217">
            <v>0</v>
          </cell>
          <cell r="BD217">
            <v>1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105</v>
          </cell>
          <cell r="BJ217">
            <v>1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903</v>
          </cell>
          <cell r="BP217">
            <v>-903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X217">
            <v>0</v>
          </cell>
          <cell r="BY217">
            <v>21</v>
          </cell>
          <cell r="BZ217">
            <v>0</v>
          </cell>
          <cell r="CA217">
            <v>0</v>
          </cell>
        </row>
        <row r="218">
          <cell r="H218" t="str">
            <v>C233796</v>
          </cell>
          <cell r="I218" t="str">
            <v xml:space="preserve">INSTALLATION USB SUR AS332    </v>
          </cell>
          <cell r="J218" t="str">
            <v xml:space="preserve">                              </v>
          </cell>
          <cell r="K218" t="str">
            <v>SAF HELICOPTERES</v>
          </cell>
          <cell r="L218" t="str">
            <v>LJA</v>
          </cell>
          <cell r="M218">
            <v>45090</v>
          </cell>
          <cell r="N218">
            <v>45120</v>
          </cell>
          <cell r="O218">
            <v>4200</v>
          </cell>
          <cell r="P218">
            <v>0</v>
          </cell>
          <cell r="Q218">
            <v>1763</v>
          </cell>
          <cell r="R218">
            <v>1763</v>
          </cell>
          <cell r="S218">
            <v>0.58023809523809522</v>
          </cell>
          <cell r="T218">
            <v>0.59</v>
          </cell>
          <cell r="U218">
            <v>40</v>
          </cell>
          <cell r="V218">
            <v>41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4200</v>
          </cell>
          <cell r="AB218">
            <v>1763</v>
          </cell>
          <cell r="AC218">
            <v>0</v>
          </cell>
          <cell r="AD218">
            <v>0.58023809523809522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4200</v>
          </cell>
          <cell r="AZ218">
            <v>0</v>
          </cell>
          <cell r="BA218">
            <v>4200</v>
          </cell>
          <cell r="BB218">
            <v>1763</v>
          </cell>
          <cell r="BC218">
            <v>0</v>
          </cell>
          <cell r="BD218">
            <v>1</v>
          </cell>
          <cell r="BE218">
            <v>1</v>
          </cell>
          <cell r="BF218">
            <v>0</v>
          </cell>
          <cell r="BG218">
            <v>0</v>
          </cell>
          <cell r="BH218">
            <v>0</v>
          </cell>
          <cell r="BI218">
            <v>105</v>
          </cell>
          <cell r="BJ218">
            <v>1</v>
          </cell>
          <cell r="BK218">
            <v>0</v>
          </cell>
          <cell r="BL218">
            <v>0</v>
          </cell>
          <cell r="BM218">
            <v>0</v>
          </cell>
          <cell r="BN218">
            <v>4200</v>
          </cell>
          <cell r="BO218">
            <v>1763</v>
          </cell>
          <cell r="BP218">
            <v>2437</v>
          </cell>
          <cell r="BQ218">
            <v>4200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X218">
            <v>0</v>
          </cell>
          <cell r="BY218">
            <v>41</v>
          </cell>
          <cell r="BZ218">
            <v>0</v>
          </cell>
          <cell r="CA218">
            <v>0</v>
          </cell>
        </row>
        <row r="219">
          <cell r="H219" t="str">
            <v>C233797</v>
          </cell>
          <cell r="I219" t="str">
            <v xml:space="preserve">NRC SERVICE BULLETIN EASA     </v>
          </cell>
          <cell r="J219" t="str">
            <v xml:space="preserve">23102                         </v>
          </cell>
          <cell r="K219" t="str">
            <v>FRENCH BEE</v>
          </cell>
          <cell r="L219" t="str">
            <v>VGA</v>
          </cell>
          <cell r="M219">
            <v>45133</v>
          </cell>
          <cell r="O219">
            <v>16910</v>
          </cell>
          <cell r="P219">
            <v>0</v>
          </cell>
          <cell r="Q219">
            <v>11734.5</v>
          </cell>
          <cell r="R219">
            <v>10861.7</v>
          </cell>
          <cell r="S219">
            <v>0.30606150206978122</v>
          </cell>
          <cell r="T219">
            <v>0.34114725014784153</v>
          </cell>
          <cell r="U219">
            <v>55</v>
          </cell>
          <cell r="V219">
            <v>67.5</v>
          </cell>
          <cell r="W219">
            <v>2</v>
          </cell>
          <cell r="X219">
            <v>0</v>
          </cell>
          <cell r="Y219">
            <v>0</v>
          </cell>
          <cell r="Z219">
            <v>5</v>
          </cell>
          <cell r="AA219">
            <v>6120</v>
          </cell>
          <cell r="AB219">
            <v>3006.5</v>
          </cell>
          <cell r="AC219">
            <v>0</v>
          </cell>
          <cell r="AD219">
            <v>0.50874183006535945</v>
          </cell>
          <cell r="AE219">
            <v>10790</v>
          </cell>
          <cell r="AF219">
            <v>8728</v>
          </cell>
          <cell r="AG219">
            <v>7855.2</v>
          </cell>
          <cell r="AH219">
            <v>872.80000000000018</v>
          </cell>
          <cell r="AI219">
            <v>7855.2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0.19110287303058382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8455</v>
          </cell>
          <cell r="AZ219">
            <v>0</v>
          </cell>
          <cell r="BA219">
            <v>15652.251651114237</v>
          </cell>
          <cell r="BB219">
            <v>10861.7</v>
          </cell>
          <cell r="BC219">
            <v>872.80000000000018</v>
          </cell>
          <cell r="BD219">
            <v>0.92562103199965917</v>
          </cell>
          <cell r="BE219">
            <v>0.5</v>
          </cell>
          <cell r="BF219">
            <v>0</v>
          </cell>
          <cell r="BG219">
            <v>7197.2516511142367</v>
          </cell>
          <cell r="BH219">
            <v>0</v>
          </cell>
          <cell r="BI219">
            <v>105</v>
          </cell>
          <cell r="BJ219">
            <v>0.92562103199965917</v>
          </cell>
          <cell r="BK219">
            <v>0</v>
          </cell>
          <cell r="BL219">
            <v>215</v>
          </cell>
          <cell r="BM219">
            <v>0.11503897548678965</v>
          </cell>
          <cell r="BN219">
            <v>15652.251651114237</v>
          </cell>
          <cell r="BO219">
            <v>10861.7</v>
          </cell>
          <cell r="BP219">
            <v>4790.5516511142359</v>
          </cell>
          <cell r="BQ219">
            <v>8455</v>
          </cell>
          <cell r="BR219">
            <v>1945.309075481613</v>
          </cell>
          <cell r="BS219">
            <v>1524.2000000000007</v>
          </cell>
          <cell r="BT219">
            <v>421.10907548161231</v>
          </cell>
          <cell r="BU219">
            <v>0</v>
          </cell>
          <cell r="BV219">
            <v>0</v>
          </cell>
          <cell r="BX219">
            <v>1257.7483488857633</v>
          </cell>
          <cell r="BY219">
            <v>67.5</v>
          </cell>
          <cell r="BZ219">
            <v>2</v>
          </cell>
          <cell r="CA219">
            <v>7855.2</v>
          </cell>
        </row>
        <row r="220">
          <cell r="H220" t="str">
            <v>C233800</v>
          </cell>
          <cell r="I220" t="str">
            <v>AJOUT D'APPLICABILITE S/N 4415</v>
          </cell>
          <cell r="J220" t="str">
            <v xml:space="preserve">14143                         </v>
          </cell>
          <cell r="K220" t="str">
            <v xml:space="preserve">HDF MAINTENANCE </v>
          </cell>
          <cell r="L220" t="str">
            <v>LJA</v>
          </cell>
          <cell r="M220">
            <v>45092</v>
          </cell>
          <cell r="N220">
            <v>45120</v>
          </cell>
          <cell r="O220">
            <v>1200</v>
          </cell>
          <cell r="P220">
            <v>0</v>
          </cell>
          <cell r="Q220">
            <v>638</v>
          </cell>
          <cell r="R220">
            <v>638</v>
          </cell>
          <cell r="S220">
            <v>0.46833333333333338</v>
          </cell>
          <cell r="T220">
            <v>0.59</v>
          </cell>
          <cell r="U220">
            <v>11.5</v>
          </cell>
          <cell r="V220">
            <v>10</v>
          </cell>
          <cell r="W220">
            <v>4</v>
          </cell>
          <cell r="X220">
            <v>0</v>
          </cell>
          <cell r="Y220">
            <v>0</v>
          </cell>
          <cell r="Z220">
            <v>0</v>
          </cell>
          <cell r="AA220">
            <v>1200</v>
          </cell>
          <cell r="AB220">
            <v>638</v>
          </cell>
          <cell r="AC220">
            <v>0</v>
          </cell>
          <cell r="AD220">
            <v>0.46833333333333338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1200</v>
          </cell>
          <cell r="AZ220">
            <v>0</v>
          </cell>
          <cell r="BA220">
            <v>1200</v>
          </cell>
          <cell r="BB220">
            <v>638</v>
          </cell>
          <cell r="BC220">
            <v>0</v>
          </cell>
          <cell r="BD220">
            <v>1</v>
          </cell>
          <cell r="BE220">
            <v>1</v>
          </cell>
          <cell r="BF220">
            <v>0</v>
          </cell>
          <cell r="BG220">
            <v>0</v>
          </cell>
          <cell r="BH220">
            <v>0</v>
          </cell>
          <cell r="BI220">
            <v>105</v>
          </cell>
          <cell r="BJ220">
            <v>1</v>
          </cell>
          <cell r="BK220">
            <v>0</v>
          </cell>
          <cell r="BL220">
            <v>0</v>
          </cell>
          <cell r="BM220">
            <v>0</v>
          </cell>
          <cell r="BN220">
            <v>1200</v>
          </cell>
          <cell r="BO220">
            <v>638</v>
          </cell>
          <cell r="BP220">
            <v>562</v>
          </cell>
          <cell r="BQ220">
            <v>1200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X220">
            <v>0</v>
          </cell>
          <cell r="BY220">
            <v>14</v>
          </cell>
          <cell r="BZ220">
            <v>4</v>
          </cell>
          <cell r="CA220">
            <v>0</v>
          </cell>
        </row>
        <row r="221">
          <cell r="H221" t="str">
            <v>C233805</v>
          </cell>
          <cell r="I221" t="str">
            <v xml:space="preserve">IDITION DOCUMENTS AE14216     </v>
          </cell>
          <cell r="J221" t="str">
            <v xml:space="preserve">14216                         </v>
          </cell>
          <cell r="K221" t="str">
            <v>OXYGENE AVIATION</v>
          </cell>
          <cell r="L221" t="str">
            <v>LJA</v>
          </cell>
          <cell r="M221">
            <v>45093</v>
          </cell>
          <cell r="N221">
            <v>45100</v>
          </cell>
          <cell r="O221">
            <v>500</v>
          </cell>
          <cell r="P221">
            <v>0</v>
          </cell>
          <cell r="Q221">
            <v>193.5</v>
          </cell>
          <cell r="R221">
            <v>193.5</v>
          </cell>
          <cell r="S221">
            <v>0.61299999999999999</v>
          </cell>
          <cell r="T221">
            <v>0.59</v>
          </cell>
          <cell r="U221">
            <v>4.5</v>
          </cell>
          <cell r="V221">
            <v>4.5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500</v>
          </cell>
          <cell r="AB221">
            <v>193.5</v>
          </cell>
          <cell r="AC221">
            <v>0</v>
          </cell>
          <cell r="AD221">
            <v>0.61299999999999999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500</v>
          </cell>
          <cell r="AZ221">
            <v>0</v>
          </cell>
          <cell r="BA221">
            <v>500</v>
          </cell>
          <cell r="BB221">
            <v>193.5</v>
          </cell>
          <cell r="BC221">
            <v>0</v>
          </cell>
          <cell r="BD221">
            <v>1</v>
          </cell>
          <cell r="BE221">
            <v>1</v>
          </cell>
          <cell r="BF221">
            <v>0</v>
          </cell>
          <cell r="BG221">
            <v>0</v>
          </cell>
          <cell r="BH221">
            <v>0</v>
          </cell>
          <cell r="BI221">
            <v>105</v>
          </cell>
          <cell r="BJ221">
            <v>1</v>
          </cell>
          <cell r="BK221">
            <v>0</v>
          </cell>
          <cell r="BL221">
            <v>0</v>
          </cell>
          <cell r="BM221">
            <v>0</v>
          </cell>
          <cell r="BN221">
            <v>500</v>
          </cell>
          <cell r="BO221">
            <v>193.5</v>
          </cell>
          <cell r="BP221">
            <v>306.5</v>
          </cell>
          <cell r="BQ221">
            <v>500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X221">
            <v>0</v>
          </cell>
          <cell r="BY221">
            <v>4.5</v>
          </cell>
          <cell r="BZ221">
            <v>0</v>
          </cell>
          <cell r="CA221">
            <v>0</v>
          </cell>
        </row>
        <row r="222">
          <cell r="H222" t="str">
            <v>C233807</v>
          </cell>
          <cell r="I222" t="str">
            <v xml:space="preserve">EMBRAER LEGACY 500            </v>
          </cell>
          <cell r="J222" t="str">
            <v xml:space="preserve">                              </v>
          </cell>
          <cell r="K222" t="str">
            <v xml:space="preserve">LUXAVIATION MALTA </v>
          </cell>
          <cell r="L222" t="str">
            <v>VGA</v>
          </cell>
          <cell r="M222">
            <v>45118</v>
          </cell>
          <cell r="N222">
            <v>45174</v>
          </cell>
          <cell r="O222">
            <v>3800</v>
          </cell>
          <cell r="P222">
            <v>0</v>
          </cell>
          <cell r="Q222">
            <v>1462</v>
          </cell>
          <cell r="R222">
            <v>1462</v>
          </cell>
          <cell r="S222">
            <v>0.61526315789473685</v>
          </cell>
          <cell r="T222">
            <v>0.59</v>
          </cell>
          <cell r="U222">
            <v>34</v>
          </cell>
          <cell r="V222">
            <v>34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3800</v>
          </cell>
          <cell r="AB222">
            <v>1462</v>
          </cell>
          <cell r="AC222">
            <v>0</v>
          </cell>
          <cell r="AD222">
            <v>0.61526315789473685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3800</v>
          </cell>
          <cell r="AZ222">
            <v>0</v>
          </cell>
          <cell r="BA222">
            <v>3800</v>
          </cell>
          <cell r="BB222">
            <v>1462</v>
          </cell>
          <cell r="BC222">
            <v>0</v>
          </cell>
          <cell r="BD222">
            <v>1</v>
          </cell>
          <cell r="BE222">
            <v>1</v>
          </cell>
          <cell r="BF222">
            <v>0</v>
          </cell>
          <cell r="BG222">
            <v>0</v>
          </cell>
          <cell r="BH222">
            <v>0</v>
          </cell>
          <cell r="BI222">
            <v>105</v>
          </cell>
          <cell r="BJ222">
            <v>1</v>
          </cell>
          <cell r="BK222">
            <v>0</v>
          </cell>
          <cell r="BL222">
            <v>0</v>
          </cell>
          <cell r="BM222">
            <v>0</v>
          </cell>
          <cell r="BN222">
            <v>3800</v>
          </cell>
          <cell r="BO222">
            <v>1462</v>
          </cell>
          <cell r="BP222">
            <v>2338</v>
          </cell>
          <cell r="BQ222">
            <v>3800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X222">
            <v>0</v>
          </cell>
          <cell r="BY222">
            <v>34</v>
          </cell>
          <cell r="BZ222">
            <v>0</v>
          </cell>
          <cell r="CA222">
            <v>0</v>
          </cell>
        </row>
        <row r="223">
          <cell r="H223" t="str">
            <v>C233808</v>
          </cell>
          <cell r="I223" t="str">
            <v xml:space="preserve">NOUVEAU DOSSIER AS350         </v>
          </cell>
          <cell r="J223" t="str">
            <v xml:space="preserve">23060                         </v>
          </cell>
          <cell r="K223" t="str">
            <v>SAF HELICOPTERES</v>
          </cell>
          <cell r="L223" t="str">
            <v>LJA</v>
          </cell>
          <cell r="M223">
            <v>45096</v>
          </cell>
          <cell r="N223">
            <v>45169</v>
          </cell>
          <cell r="O223">
            <v>4515</v>
          </cell>
          <cell r="P223">
            <v>0</v>
          </cell>
          <cell r="Q223">
            <v>2107</v>
          </cell>
          <cell r="R223">
            <v>2107</v>
          </cell>
          <cell r="S223">
            <v>0.53333333333333333</v>
          </cell>
          <cell r="T223">
            <v>0.59</v>
          </cell>
          <cell r="U223">
            <v>42.01</v>
          </cell>
          <cell r="V223">
            <v>49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4515</v>
          </cell>
          <cell r="AB223">
            <v>2107</v>
          </cell>
          <cell r="AC223">
            <v>0</v>
          </cell>
          <cell r="AD223">
            <v>0.53333333333333333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4515</v>
          </cell>
          <cell r="AZ223">
            <v>0</v>
          </cell>
          <cell r="BA223">
            <v>4515</v>
          </cell>
          <cell r="BB223">
            <v>2107</v>
          </cell>
          <cell r="BC223">
            <v>0</v>
          </cell>
          <cell r="BD223">
            <v>1</v>
          </cell>
          <cell r="BE223">
            <v>1</v>
          </cell>
          <cell r="BF223">
            <v>0</v>
          </cell>
          <cell r="BG223">
            <v>0</v>
          </cell>
          <cell r="BH223">
            <v>0</v>
          </cell>
          <cell r="BI223">
            <v>105</v>
          </cell>
          <cell r="BJ223">
            <v>1</v>
          </cell>
          <cell r="BK223">
            <v>0</v>
          </cell>
          <cell r="BL223">
            <v>0</v>
          </cell>
          <cell r="BM223">
            <v>0</v>
          </cell>
          <cell r="BN223">
            <v>4515</v>
          </cell>
          <cell r="BO223">
            <v>2107</v>
          </cell>
          <cell r="BP223">
            <v>2408</v>
          </cell>
          <cell r="BQ223">
            <v>4515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X223">
            <v>0</v>
          </cell>
          <cell r="BY223">
            <v>49</v>
          </cell>
          <cell r="BZ223">
            <v>0</v>
          </cell>
          <cell r="CA223">
            <v>0</v>
          </cell>
        </row>
        <row r="224">
          <cell r="H224" t="str">
            <v>C233809</v>
          </cell>
          <cell r="I224" t="str">
            <v xml:space="preserve">PC12/47E SN 2030 - MOD 21176  </v>
          </cell>
          <cell r="J224" t="str">
            <v xml:space="preserve">                              </v>
          </cell>
          <cell r="K224" t="str">
            <v xml:space="preserve">JG AVIATION </v>
          </cell>
          <cell r="L224" t="str">
            <v>VGA</v>
          </cell>
          <cell r="M224">
            <v>45106</v>
          </cell>
          <cell r="N224">
            <v>45134</v>
          </cell>
          <cell r="O224">
            <v>500</v>
          </cell>
          <cell r="P224">
            <v>0</v>
          </cell>
          <cell r="Q224">
            <v>215</v>
          </cell>
          <cell r="R224">
            <v>215</v>
          </cell>
          <cell r="S224">
            <v>0.57000000000000006</v>
          </cell>
          <cell r="T224">
            <v>0.59</v>
          </cell>
          <cell r="U224">
            <v>4.04</v>
          </cell>
          <cell r="V224">
            <v>5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500</v>
          </cell>
          <cell r="AB224">
            <v>215</v>
          </cell>
          <cell r="AC224">
            <v>0</v>
          </cell>
          <cell r="AD224">
            <v>0.57000000000000006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500</v>
          </cell>
          <cell r="AZ224">
            <v>0</v>
          </cell>
          <cell r="BA224">
            <v>500</v>
          </cell>
          <cell r="BB224">
            <v>215</v>
          </cell>
          <cell r="BC224">
            <v>0</v>
          </cell>
          <cell r="BD224">
            <v>1</v>
          </cell>
          <cell r="BE224">
            <v>1</v>
          </cell>
          <cell r="BF224">
            <v>0</v>
          </cell>
          <cell r="BG224">
            <v>0</v>
          </cell>
          <cell r="BH224">
            <v>0</v>
          </cell>
          <cell r="BI224">
            <v>105</v>
          </cell>
          <cell r="BJ224">
            <v>1</v>
          </cell>
          <cell r="BK224">
            <v>0</v>
          </cell>
          <cell r="BL224">
            <v>0</v>
          </cell>
          <cell r="BM224">
            <v>0</v>
          </cell>
          <cell r="BN224">
            <v>500</v>
          </cell>
          <cell r="BO224">
            <v>215</v>
          </cell>
          <cell r="BP224">
            <v>285</v>
          </cell>
          <cell r="BQ224">
            <v>500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X224">
            <v>0</v>
          </cell>
          <cell r="BY224">
            <v>5</v>
          </cell>
          <cell r="BZ224">
            <v>0</v>
          </cell>
          <cell r="CA224">
            <v>0</v>
          </cell>
        </row>
        <row r="225">
          <cell r="H225" t="str">
            <v>C233812</v>
          </cell>
          <cell r="I225" t="str">
            <v xml:space="preserve">INSTALLATION COMMANDE         </v>
          </cell>
          <cell r="J225" t="str">
            <v xml:space="preserve">23061                         </v>
          </cell>
          <cell r="K225" t="str">
            <v>ROTOR TEAM</v>
          </cell>
          <cell r="L225" t="str">
            <v>LJA</v>
          </cell>
          <cell r="M225">
            <v>45103</v>
          </cell>
          <cell r="N225">
            <v>45142</v>
          </cell>
          <cell r="O225">
            <v>3045</v>
          </cell>
          <cell r="P225">
            <v>0</v>
          </cell>
          <cell r="Q225">
            <v>1247</v>
          </cell>
          <cell r="R225">
            <v>1247</v>
          </cell>
          <cell r="S225">
            <v>0.59047619047619049</v>
          </cell>
          <cell r="T225">
            <v>0.59</v>
          </cell>
          <cell r="U225">
            <v>29</v>
          </cell>
          <cell r="V225">
            <v>29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3045</v>
          </cell>
          <cell r="AB225">
            <v>1247</v>
          </cell>
          <cell r="AC225">
            <v>0</v>
          </cell>
          <cell r="AD225">
            <v>0.59047619047619049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3045</v>
          </cell>
          <cell r="AZ225">
            <v>0</v>
          </cell>
          <cell r="BA225">
            <v>3045</v>
          </cell>
          <cell r="BB225">
            <v>1247</v>
          </cell>
          <cell r="BC225">
            <v>0</v>
          </cell>
          <cell r="BD225">
            <v>1</v>
          </cell>
          <cell r="BE225">
            <v>1</v>
          </cell>
          <cell r="BF225">
            <v>0</v>
          </cell>
          <cell r="BG225">
            <v>0</v>
          </cell>
          <cell r="BH225">
            <v>0</v>
          </cell>
          <cell r="BI225">
            <v>105</v>
          </cell>
          <cell r="BJ225">
            <v>1</v>
          </cell>
          <cell r="BK225">
            <v>0</v>
          </cell>
          <cell r="BL225">
            <v>0</v>
          </cell>
          <cell r="BM225">
            <v>0</v>
          </cell>
          <cell r="BN225">
            <v>3045</v>
          </cell>
          <cell r="BO225">
            <v>1247</v>
          </cell>
          <cell r="BP225">
            <v>1798</v>
          </cell>
          <cell r="BQ225">
            <v>3045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X225">
            <v>0</v>
          </cell>
          <cell r="BY225">
            <v>29</v>
          </cell>
          <cell r="BZ225">
            <v>0</v>
          </cell>
          <cell r="CA225">
            <v>0</v>
          </cell>
        </row>
        <row r="226">
          <cell r="H226" t="str">
            <v>C233814</v>
          </cell>
          <cell r="I226" t="str">
            <v xml:space="preserve">A330-200 MSN 493              </v>
          </cell>
          <cell r="J226" t="str">
            <v xml:space="preserve">                              </v>
          </cell>
          <cell r="K226" t="str">
            <v xml:space="preserve">AIR CARAIBES ATLANTIQUE </v>
          </cell>
          <cell r="L226" t="str">
            <v>VGA</v>
          </cell>
          <cell r="M226">
            <v>45100</v>
          </cell>
          <cell r="N226">
            <v>45174</v>
          </cell>
          <cell r="O226">
            <v>900</v>
          </cell>
          <cell r="P226">
            <v>0</v>
          </cell>
          <cell r="Q226">
            <v>344</v>
          </cell>
          <cell r="R226">
            <v>344</v>
          </cell>
          <cell r="S226">
            <v>0.61777777777777776</v>
          </cell>
          <cell r="T226">
            <v>0.59</v>
          </cell>
          <cell r="U226">
            <v>8</v>
          </cell>
          <cell r="V226">
            <v>8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900</v>
          </cell>
          <cell r="AB226">
            <v>344</v>
          </cell>
          <cell r="AC226">
            <v>0</v>
          </cell>
          <cell r="AD226">
            <v>0.61777777777777776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900</v>
          </cell>
          <cell r="AZ226">
            <v>0</v>
          </cell>
          <cell r="BA226">
            <v>900</v>
          </cell>
          <cell r="BB226">
            <v>344</v>
          </cell>
          <cell r="BC226">
            <v>0</v>
          </cell>
          <cell r="BD226">
            <v>1</v>
          </cell>
          <cell r="BE226">
            <v>1</v>
          </cell>
          <cell r="BF226">
            <v>0</v>
          </cell>
          <cell r="BG226">
            <v>0</v>
          </cell>
          <cell r="BH226">
            <v>0</v>
          </cell>
          <cell r="BI226">
            <v>105</v>
          </cell>
          <cell r="BJ226">
            <v>1</v>
          </cell>
          <cell r="BK226">
            <v>0</v>
          </cell>
          <cell r="BL226">
            <v>0</v>
          </cell>
          <cell r="BM226">
            <v>0</v>
          </cell>
          <cell r="BN226">
            <v>900</v>
          </cell>
          <cell r="BO226">
            <v>344</v>
          </cell>
          <cell r="BP226">
            <v>556</v>
          </cell>
          <cell r="BQ226">
            <v>900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X226">
            <v>0</v>
          </cell>
          <cell r="BY226">
            <v>8</v>
          </cell>
          <cell r="BZ226">
            <v>0</v>
          </cell>
          <cell r="CA226">
            <v>0</v>
          </cell>
        </row>
        <row r="227">
          <cell r="H227" t="str">
            <v>C233815</v>
          </cell>
          <cell r="I227" t="str">
            <v xml:space="preserve">MISSIONS                      </v>
          </cell>
          <cell r="J227" t="str">
            <v xml:space="preserve">                              </v>
          </cell>
          <cell r="K227" t="str">
            <v xml:space="preserve">AIR CARAIBES ATLANTIQUE </v>
          </cell>
          <cell r="L227" t="str">
            <v>VGA</v>
          </cell>
          <cell r="M227">
            <v>45107</v>
          </cell>
          <cell r="N227">
            <v>45174</v>
          </cell>
          <cell r="O227">
            <v>1789</v>
          </cell>
          <cell r="P227">
            <v>0</v>
          </cell>
          <cell r="Q227">
            <v>861.83</v>
          </cell>
          <cell r="R227">
            <v>861.83</v>
          </cell>
          <cell r="S227">
            <v>0.51826159865846844</v>
          </cell>
          <cell r="T227">
            <v>0.46159865846841808</v>
          </cell>
          <cell r="U227">
            <v>8</v>
          </cell>
          <cell r="V227">
            <v>8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1200</v>
          </cell>
          <cell r="AB227">
            <v>344</v>
          </cell>
          <cell r="AC227">
            <v>0</v>
          </cell>
          <cell r="AD227">
            <v>0.71333333333333337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589</v>
          </cell>
          <cell r="AT227">
            <v>517.83000000000004</v>
          </cell>
          <cell r="AU227">
            <v>0</v>
          </cell>
          <cell r="AV227">
            <v>0</v>
          </cell>
          <cell r="AW227">
            <v>0</v>
          </cell>
          <cell r="AX227">
            <v>0.12083191850594222</v>
          </cell>
          <cell r="AY227">
            <v>1789</v>
          </cell>
          <cell r="AZ227">
            <v>0</v>
          </cell>
          <cell r="BA227">
            <v>1789</v>
          </cell>
          <cell r="BB227">
            <v>861.83</v>
          </cell>
          <cell r="BC227">
            <v>0</v>
          </cell>
          <cell r="BD227">
            <v>1</v>
          </cell>
          <cell r="BE227">
            <v>1</v>
          </cell>
          <cell r="BF227">
            <v>0</v>
          </cell>
          <cell r="BG227">
            <v>0</v>
          </cell>
          <cell r="BH227">
            <v>0</v>
          </cell>
          <cell r="BI227">
            <v>105</v>
          </cell>
          <cell r="BJ227">
            <v>1</v>
          </cell>
          <cell r="BK227">
            <v>0</v>
          </cell>
          <cell r="BL227">
            <v>0</v>
          </cell>
          <cell r="BM227">
            <v>0</v>
          </cell>
          <cell r="BN227">
            <v>1789</v>
          </cell>
          <cell r="BO227">
            <v>861.83</v>
          </cell>
          <cell r="BP227">
            <v>927.17</v>
          </cell>
          <cell r="BQ227">
            <v>1789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X227">
            <v>0</v>
          </cell>
          <cell r="BY227">
            <v>8</v>
          </cell>
          <cell r="BZ227">
            <v>0</v>
          </cell>
          <cell r="CA227">
            <v>517.83000000000004</v>
          </cell>
        </row>
        <row r="228">
          <cell r="H228" t="str">
            <v>C233817</v>
          </cell>
          <cell r="I228" t="str">
            <v xml:space="preserve">DEVELOPPEMENT SB              </v>
          </cell>
          <cell r="J228" t="str">
            <v xml:space="preserve">                              </v>
          </cell>
          <cell r="K228" t="str">
            <v xml:space="preserve">REGIO LEASE </v>
          </cell>
          <cell r="L228" t="str">
            <v>VGA</v>
          </cell>
          <cell r="M228">
            <v>45106</v>
          </cell>
          <cell r="N228">
            <v>45174</v>
          </cell>
          <cell r="O228">
            <v>4200</v>
          </cell>
          <cell r="P228">
            <v>0</v>
          </cell>
          <cell r="Q228">
            <v>1634</v>
          </cell>
          <cell r="R228">
            <v>1634</v>
          </cell>
          <cell r="S228">
            <v>0.61095238095238091</v>
          </cell>
          <cell r="T228">
            <v>0.59</v>
          </cell>
          <cell r="U228">
            <v>38</v>
          </cell>
          <cell r="V228">
            <v>38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4200</v>
          </cell>
          <cell r="AB228">
            <v>1634</v>
          </cell>
          <cell r="AC228">
            <v>0</v>
          </cell>
          <cell r="AD228">
            <v>0.61095238095238091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4200</v>
          </cell>
          <cell r="AZ228">
            <v>0</v>
          </cell>
          <cell r="BA228">
            <v>4200</v>
          </cell>
          <cell r="BB228">
            <v>1634</v>
          </cell>
          <cell r="BC228">
            <v>0</v>
          </cell>
          <cell r="BD228">
            <v>1</v>
          </cell>
          <cell r="BE228">
            <v>1</v>
          </cell>
          <cell r="BF228">
            <v>0</v>
          </cell>
          <cell r="BG228">
            <v>0</v>
          </cell>
          <cell r="BH228">
            <v>0</v>
          </cell>
          <cell r="BI228">
            <v>105</v>
          </cell>
          <cell r="BJ228">
            <v>1</v>
          </cell>
          <cell r="BK228">
            <v>0</v>
          </cell>
          <cell r="BL228">
            <v>0</v>
          </cell>
          <cell r="BM228">
            <v>0</v>
          </cell>
          <cell r="BN228">
            <v>4200</v>
          </cell>
          <cell r="BO228">
            <v>1634</v>
          </cell>
          <cell r="BP228">
            <v>2566</v>
          </cell>
          <cell r="BQ228">
            <v>4200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X228">
            <v>0</v>
          </cell>
          <cell r="BY228">
            <v>38</v>
          </cell>
          <cell r="BZ228">
            <v>0</v>
          </cell>
          <cell r="CA228">
            <v>0</v>
          </cell>
        </row>
        <row r="229">
          <cell r="H229" t="str">
            <v>C233818</v>
          </cell>
          <cell r="I229" t="str">
            <v xml:space="preserve">AJOUR D'APPLICABILITÉ AE19028 </v>
          </cell>
          <cell r="J229" t="str">
            <v xml:space="preserve">19028                         </v>
          </cell>
          <cell r="K229" t="str">
            <v>ROTOR TEAM</v>
          </cell>
          <cell r="L229" t="str">
            <v>LJA</v>
          </cell>
          <cell r="M229">
            <v>45111</v>
          </cell>
          <cell r="N229">
            <v>45174</v>
          </cell>
          <cell r="O229">
            <v>700</v>
          </cell>
          <cell r="P229">
            <v>0</v>
          </cell>
          <cell r="Q229">
            <v>215</v>
          </cell>
          <cell r="R229">
            <v>215</v>
          </cell>
          <cell r="S229">
            <v>0.69285714285714284</v>
          </cell>
          <cell r="T229">
            <v>0.59</v>
          </cell>
          <cell r="U229">
            <v>6.5</v>
          </cell>
          <cell r="V229">
            <v>5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700</v>
          </cell>
          <cell r="AB229">
            <v>215</v>
          </cell>
          <cell r="AC229">
            <v>0</v>
          </cell>
          <cell r="AD229">
            <v>0.69285714285714284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700</v>
          </cell>
          <cell r="AZ229">
            <v>0</v>
          </cell>
          <cell r="BA229">
            <v>700</v>
          </cell>
          <cell r="BB229">
            <v>215</v>
          </cell>
          <cell r="BC229">
            <v>0</v>
          </cell>
          <cell r="BD229">
            <v>1</v>
          </cell>
          <cell r="BE229">
            <v>1</v>
          </cell>
          <cell r="BF229">
            <v>0</v>
          </cell>
          <cell r="BG229">
            <v>0</v>
          </cell>
          <cell r="BH229">
            <v>0</v>
          </cell>
          <cell r="BI229">
            <v>105</v>
          </cell>
          <cell r="BJ229">
            <v>1</v>
          </cell>
          <cell r="BK229">
            <v>0</v>
          </cell>
          <cell r="BL229">
            <v>0</v>
          </cell>
          <cell r="BM229">
            <v>0</v>
          </cell>
          <cell r="BN229">
            <v>700</v>
          </cell>
          <cell r="BO229">
            <v>215</v>
          </cell>
          <cell r="BP229">
            <v>485</v>
          </cell>
          <cell r="BQ229">
            <v>700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X229">
            <v>0</v>
          </cell>
          <cell r="BY229">
            <v>5</v>
          </cell>
          <cell r="BZ229">
            <v>0</v>
          </cell>
          <cell r="CA229">
            <v>0</v>
          </cell>
        </row>
        <row r="230">
          <cell r="H230" t="str">
            <v>C233819</v>
          </cell>
          <cell r="I230" t="str">
            <v xml:space="preserve">NOUVEAU DOSSIER PROVISION     </v>
          </cell>
          <cell r="J230" t="str">
            <v xml:space="preserve">                              </v>
          </cell>
          <cell r="K230" t="str">
            <v>ROTOR TEAM</v>
          </cell>
          <cell r="L230" t="str">
            <v>LJA</v>
          </cell>
          <cell r="M230">
            <v>45111</v>
          </cell>
          <cell r="N230">
            <v>45142</v>
          </cell>
          <cell r="O230">
            <v>2500</v>
          </cell>
          <cell r="P230">
            <v>0</v>
          </cell>
          <cell r="Q230">
            <v>1204</v>
          </cell>
          <cell r="R230">
            <v>1204</v>
          </cell>
          <cell r="S230">
            <v>0.51839999999999997</v>
          </cell>
          <cell r="T230">
            <v>0.59</v>
          </cell>
          <cell r="U230">
            <v>24</v>
          </cell>
          <cell r="V230">
            <v>28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2500</v>
          </cell>
          <cell r="AB230">
            <v>1204</v>
          </cell>
          <cell r="AC230">
            <v>0</v>
          </cell>
          <cell r="AD230">
            <v>0.51839999999999997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2500</v>
          </cell>
          <cell r="AZ230">
            <v>0</v>
          </cell>
          <cell r="BA230">
            <v>2500</v>
          </cell>
          <cell r="BB230">
            <v>1204</v>
          </cell>
          <cell r="BC230">
            <v>0</v>
          </cell>
          <cell r="BD230">
            <v>1</v>
          </cell>
          <cell r="BE230">
            <v>1</v>
          </cell>
          <cell r="BF230">
            <v>0</v>
          </cell>
          <cell r="BG230">
            <v>0</v>
          </cell>
          <cell r="BH230">
            <v>0</v>
          </cell>
          <cell r="BI230">
            <v>105</v>
          </cell>
          <cell r="BJ230">
            <v>1</v>
          </cell>
          <cell r="BK230">
            <v>0</v>
          </cell>
          <cell r="BL230">
            <v>0</v>
          </cell>
          <cell r="BM230">
            <v>0</v>
          </cell>
          <cell r="BN230">
            <v>2500</v>
          </cell>
          <cell r="BO230">
            <v>1204</v>
          </cell>
          <cell r="BP230">
            <v>1296</v>
          </cell>
          <cell r="BQ230">
            <v>2500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X230">
            <v>0</v>
          </cell>
          <cell r="BY230">
            <v>28</v>
          </cell>
          <cell r="BZ230">
            <v>0</v>
          </cell>
          <cell r="CA230">
            <v>0</v>
          </cell>
        </row>
        <row r="231">
          <cell r="H231" t="str">
            <v>C233821</v>
          </cell>
          <cell r="I231" t="str">
            <v xml:space="preserve">F7X-040 REGISTRATION CHANGE   </v>
          </cell>
          <cell r="J231" t="str">
            <v xml:space="preserve">                              </v>
          </cell>
          <cell r="K231" t="str">
            <v xml:space="preserve">DASSAULT AVIATION BUSINESS SERVICES </v>
          </cell>
          <cell r="L231" t="str">
            <v>VGA</v>
          </cell>
          <cell r="M231">
            <v>45105</v>
          </cell>
          <cell r="N231">
            <v>45174</v>
          </cell>
          <cell r="O231">
            <v>2350</v>
          </cell>
          <cell r="P231">
            <v>0</v>
          </cell>
          <cell r="Q231">
            <v>860</v>
          </cell>
          <cell r="R231">
            <v>860</v>
          </cell>
          <cell r="S231">
            <v>0.63404255319148939</v>
          </cell>
          <cell r="T231">
            <v>0.59</v>
          </cell>
          <cell r="U231">
            <v>21</v>
          </cell>
          <cell r="V231">
            <v>20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2350</v>
          </cell>
          <cell r="AB231">
            <v>860</v>
          </cell>
          <cell r="AC231">
            <v>0</v>
          </cell>
          <cell r="AD231">
            <v>0.63404255319148939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2350</v>
          </cell>
          <cell r="AZ231">
            <v>0</v>
          </cell>
          <cell r="BA231">
            <v>2350</v>
          </cell>
          <cell r="BB231">
            <v>860</v>
          </cell>
          <cell r="BC231">
            <v>0</v>
          </cell>
          <cell r="BD231">
            <v>1</v>
          </cell>
          <cell r="BE231">
            <v>1</v>
          </cell>
          <cell r="BF231">
            <v>0</v>
          </cell>
          <cell r="BG231">
            <v>0</v>
          </cell>
          <cell r="BH231">
            <v>0</v>
          </cell>
          <cell r="BI231">
            <v>105</v>
          </cell>
          <cell r="BJ231">
            <v>1</v>
          </cell>
          <cell r="BK231">
            <v>0</v>
          </cell>
          <cell r="BL231">
            <v>0</v>
          </cell>
          <cell r="BM231">
            <v>0</v>
          </cell>
          <cell r="BN231">
            <v>2350</v>
          </cell>
          <cell r="BO231">
            <v>860</v>
          </cell>
          <cell r="BP231">
            <v>1490</v>
          </cell>
          <cell r="BQ231">
            <v>2350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X231">
            <v>0</v>
          </cell>
          <cell r="BY231">
            <v>20</v>
          </cell>
          <cell r="BZ231">
            <v>0</v>
          </cell>
          <cell r="CA231">
            <v>0</v>
          </cell>
        </row>
        <row r="232">
          <cell r="H232" t="str">
            <v>C233822</v>
          </cell>
          <cell r="I232" t="str">
            <v xml:space="preserve">PC-12 NGX EXTERNAL LIVERY     </v>
          </cell>
          <cell r="J232" t="str">
            <v xml:space="preserve">                              </v>
          </cell>
          <cell r="K232" t="str">
            <v xml:space="preserve">JG AVIATION </v>
          </cell>
          <cell r="L232" t="str">
            <v>VGA</v>
          </cell>
          <cell r="M232">
            <v>45104</v>
          </cell>
          <cell r="N232">
            <v>45134</v>
          </cell>
          <cell r="O232">
            <v>1800</v>
          </cell>
          <cell r="P232">
            <v>0</v>
          </cell>
          <cell r="Q232">
            <v>817</v>
          </cell>
          <cell r="R232">
            <v>817</v>
          </cell>
          <cell r="S232">
            <v>0.5461111111111111</v>
          </cell>
          <cell r="T232">
            <v>0.59</v>
          </cell>
          <cell r="U232">
            <v>16</v>
          </cell>
          <cell r="V232">
            <v>19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1800</v>
          </cell>
          <cell r="AB232">
            <v>817</v>
          </cell>
          <cell r="AC232">
            <v>0</v>
          </cell>
          <cell r="AD232">
            <v>0.5461111111111111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1800</v>
          </cell>
          <cell r="AZ232">
            <v>0</v>
          </cell>
          <cell r="BA232">
            <v>1800</v>
          </cell>
          <cell r="BB232">
            <v>817</v>
          </cell>
          <cell r="BC232">
            <v>0</v>
          </cell>
          <cell r="BD232">
            <v>1</v>
          </cell>
          <cell r="BE232">
            <v>1</v>
          </cell>
          <cell r="BF232">
            <v>0</v>
          </cell>
          <cell r="BG232">
            <v>0</v>
          </cell>
          <cell r="BH232">
            <v>0</v>
          </cell>
          <cell r="BI232">
            <v>105</v>
          </cell>
          <cell r="BJ232">
            <v>1</v>
          </cell>
          <cell r="BK232">
            <v>0</v>
          </cell>
          <cell r="BL232">
            <v>0</v>
          </cell>
          <cell r="BM232">
            <v>0</v>
          </cell>
          <cell r="BN232">
            <v>1800</v>
          </cell>
          <cell r="BO232">
            <v>817</v>
          </cell>
          <cell r="BP232">
            <v>983</v>
          </cell>
          <cell r="BQ232">
            <v>1800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X232">
            <v>0</v>
          </cell>
          <cell r="BY232">
            <v>19</v>
          </cell>
          <cell r="BZ232">
            <v>0</v>
          </cell>
          <cell r="CA232">
            <v>0</v>
          </cell>
        </row>
        <row r="233">
          <cell r="H233" t="str">
            <v>C233826</v>
          </cell>
          <cell r="I233" t="str">
            <v xml:space="preserve">MOD INSTALLATION TEMPORAIRE   </v>
          </cell>
          <cell r="J233" t="str">
            <v xml:space="preserve">                              </v>
          </cell>
          <cell r="K233" t="str">
            <v xml:space="preserve">D.T.I </v>
          </cell>
          <cell r="L233" t="str">
            <v>JFA</v>
          </cell>
          <cell r="M233">
            <v>45125</v>
          </cell>
          <cell r="N233" t="str">
            <v/>
          </cell>
          <cell r="O233">
            <v>9345</v>
          </cell>
          <cell r="P233">
            <v>0</v>
          </cell>
          <cell r="Q233">
            <v>7331.5</v>
          </cell>
          <cell r="R233">
            <v>7331.5</v>
          </cell>
          <cell r="S233">
            <v>0.19513108614232211</v>
          </cell>
          <cell r="T233">
            <v>0.59</v>
          </cell>
          <cell r="U233">
            <v>89</v>
          </cell>
          <cell r="V233">
            <v>170.5</v>
          </cell>
          <cell r="W233">
            <v>0</v>
          </cell>
          <cell r="X233">
            <v>4</v>
          </cell>
          <cell r="Y233">
            <v>4</v>
          </cell>
          <cell r="Z233">
            <v>0</v>
          </cell>
          <cell r="AA233">
            <v>9345</v>
          </cell>
          <cell r="AB233">
            <v>7331.5</v>
          </cell>
          <cell r="AC233">
            <v>190</v>
          </cell>
          <cell r="AD233">
            <v>0.19513108614232211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9108.9367147510475</v>
          </cell>
          <cell r="BB233">
            <v>7331.5</v>
          </cell>
          <cell r="BC233">
            <v>190</v>
          </cell>
          <cell r="BD233">
            <v>0.97473908130027254</v>
          </cell>
          <cell r="BE233">
            <v>0</v>
          </cell>
          <cell r="BF233">
            <v>0</v>
          </cell>
          <cell r="BG233">
            <v>9108.9367147510475</v>
          </cell>
          <cell r="BH233">
            <v>0</v>
          </cell>
          <cell r="BI233">
            <v>105</v>
          </cell>
          <cell r="BJ233">
            <v>0.97473908130027254</v>
          </cell>
          <cell r="BK233">
            <v>0</v>
          </cell>
          <cell r="BL233">
            <v>0</v>
          </cell>
          <cell r="BM233">
            <v>0</v>
          </cell>
          <cell r="BN233">
            <v>9108.9367147510475</v>
          </cell>
          <cell r="BO233">
            <v>7331.5</v>
          </cell>
          <cell r="BP233">
            <v>1777.4367147510475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X233">
            <v>236.06328524895252</v>
          </cell>
          <cell r="BY233">
            <v>170.5</v>
          </cell>
          <cell r="BZ233">
            <v>0</v>
          </cell>
          <cell r="CA233">
            <v>0</v>
          </cell>
        </row>
        <row r="234">
          <cell r="H234" t="str">
            <v>C233830</v>
          </cell>
          <cell r="I234" t="str">
            <v xml:space="preserve">RAS MINEURE SKI               </v>
          </cell>
          <cell r="J234" t="str">
            <v xml:space="preserve">23105                         </v>
          </cell>
          <cell r="K234" t="str">
            <v xml:space="preserve">HELIDAX </v>
          </cell>
          <cell r="L234" t="str">
            <v>JFA</v>
          </cell>
          <cell r="M234">
            <v>45203</v>
          </cell>
          <cell r="O234">
            <v>12960</v>
          </cell>
          <cell r="P234">
            <v>0</v>
          </cell>
          <cell r="Q234">
            <v>3452.21</v>
          </cell>
          <cell r="R234">
            <v>3452.21</v>
          </cell>
          <cell r="S234">
            <v>0.47031558641975313</v>
          </cell>
          <cell r="T234">
            <v>0.47956018518518517</v>
          </cell>
          <cell r="U234">
            <v>88.5</v>
          </cell>
          <cell r="V234">
            <v>21.5</v>
          </cell>
          <cell r="W234">
            <v>20</v>
          </cell>
          <cell r="X234">
            <v>47</v>
          </cell>
          <cell r="Y234">
            <v>64</v>
          </cell>
          <cell r="Z234">
            <v>17</v>
          </cell>
          <cell r="AA234">
            <v>9290</v>
          </cell>
          <cell r="AB234">
            <v>1964.5</v>
          </cell>
          <cell r="AC234">
            <v>2232.5</v>
          </cell>
          <cell r="AD234">
            <v>0.54822389666307858</v>
          </cell>
          <cell r="AE234">
            <v>2490</v>
          </cell>
          <cell r="AF234">
            <v>1487.71</v>
          </cell>
          <cell r="AG234">
            <v>1487.71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0.40252610441767067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6517.4845841994784</v>
          </cell>
          <cell r="BB234">
            <v>3452.21</v>
          </cell>
          <cell r="BC234">
            <v>3412.5</v>
          </cell>
          <cell r="BD234">
            <v>0.50289232902773751</v>
          </cell>
          <cell r="BE234">
            <v>0</v>
          </cell>
          <cell r="BF234">
            <v>0</v>
          </cell>
          <cell r="BG234">
            <v>6517.4845841994784</v>
          </cell>
          <cell r="BH234">
            <v>1180</v>
          </cell>
          <cell r="BI234">
            <v>105</v>
          </cell>
          <cell r="BJ234">
            <v>0.50289232902773751</v>
          </cell>
          <cell r="BK234">
            <v>0</v>
          </cell>
          <cell r="BL234">
            <v>-76.5</v>
          </cell>
          <cell r="BM234">
            <v>0.11085549395143235</v>
          </cell>
          <cell r="BN234">
            <v>6517.4845841994784</v>
          </cell>
          <cell r="BO234">
            <v>3452.21</v>
          </cell>
          <cell r="BP234">
            <v>3065.2745841994783</v>
          </cell>
          <cell r="BQ234">
            <v>0</v>
          </cell>
          <cell r="BR234">
            <v>1436.6872016105635</v>
          </cell>
          <cell r="BS234">
            <v>731</v>
          </cell>
          <cell r="BT234">
            <v>705.68720161056353</v>
          </cell>
          <cell r="BU234">
            <v>0</v>
          </cell>
          <cell r="BV234">
            <v>0</v>
          </cell>
          <cell r="BX234">
            <v>6442.5154158005216</v>
          </cell>
          <cell r="BY234">
            <v>41.5</v>
          </cell>
          <cell r="BZ234">
            <v>20</v>
          </cell>
          <cell r="CA234">
            <v>1487.71</v>
          </cell>
        </row>
        <row r="235">
          <cell r="H235" t="str">
            <v>C233833</v>
          </cell>
          <cell r="I235" t="str">
            <v xml:space="preserve">NOUVEAU DOSSIER AS350         </v>
          </cell>
          <cell r="J235" t="str">
            <v xml:space="preserve">                              </v>
          </cell>
          <cell r="K235" t="str">
            <v>SAF HELICOPTERES</v>
          </cell>
          <cell r="L235" t="str">
            <v>LJA</v>
          </cell>
          <cell r="M235">
            <v>45125</v>
          </cell>
          <cell r="N235">
            <v>45142</v>
          </cell>
          <cell r="O235">
            <v>2550</v>
          </cell>
          <cell r="P235">
            <v>0</v>
          </cell>
          <cell r="Q235">
            <v>1204</v>
          </cell>
          <cell r="R235">
            <v>1204</v>
          </cell>
          <cell r="S235">
            <v>0.52784313725490195</v>
          </cell>
          <cell r="T235">
            <v>0.59</v>
          </cell>
          <cell r="U235">
            <v>24</v>
          </cell>
          <cell r="V235">
            <v>28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2550</v>
          </cell>
          <cell r="AB235">
            <v>1204</v>
          </cell>
          <cell r="AC235">
            <v>0</v>
          </cell>
          <cell r="AD235">
            <v>0.52784313725490195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2550</v>
          </cell>
          <cell r="AZ235">
            <v>0</v>
          </cell>
          <cell r="BA235">
            <v>2550</v>
          </cell>
          <cell r="BB235">
            <v>1204</v>
          </cell>
          <cell r="BC235">
            <v>0</v>
          </cell>
          <cell r="BD235">
            <v>1</v>
          </cell>
          <cell r="BE235">
            <v>1</v>
          </cell>
          <cell r="BF235">
            <v>0</v>
          </cell>
          <cell r="BG235">
            <v>0</v>
          </cell>
          <cell r="BH235">
            <v>0</v>
          </cell>
          <cell r="BI235">
            <v>105</v>
          </cell>
          <cell r="BJ235">
            <v>1</v>
          </cell>
          <cell r="BK235">
            <v>0</v>
          </cell>
          <cell r="BL235">
            <v>0</v>
          </cell>
          <cell r="BM235">
            <v>0</v>
          </cell>
          <cell r="BN235">
            <v>2550</v>
          </cell>
          <cell r="BO235">
            <v>1204</v>
          </cell>
          <cell r="BP235">
            <v>1346</v>
          </cell>
          <cell r="BQ235">
            <v>2550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X235">
            <v>0</v>
          </cell>
          <cell r="BY235">
            <v>28</v>
          </cell>
          <cell r="BZ235">
            <v>0</v>
          </cell>
          <cell r="CA235">
            <v>0</v>
          </cell>
        </row>
        <row r="236">
          <cell r="H236" t="str">
            <v>C233834</v>
          </cell>
          <cell r="I236" t="str">
            <v xml:space="preserve">REVISION OF MOD22088          </v>
          </cell>
          <cell r="J236" t="str">
            <v xml:space="preserve">                              </v>
          </cell>
          <cell r="K236" t="str">
            <v xml:space="preserve">DASSAULT AVIATION BUSINESS SERVICES </v>
          </cell>
          <cell r="L236" t="str">
            <v>PNA</v>
          </cell>
          <cell r="M236">
            <v>45120</v>
          </cell>
          <cell r="N236">
            <v>45174</v>
          </cell>
          <cell r="O236">
            <v>900</v>
          </cell>
          <cell r="P236">
            <v>0</v>
          </cell>
          <cell r="Q236">
            <v>344</v>
          </cell>
          <cell r="R236">
            <v>344</v>
          </cell>
          <cell r="S236">
            <v>0.61777777777777776</v>
          </cell>
          <cell r="T236">
            <v>0.59</v>
          </cell>
          <cell r="U236">
            <v>8</v>
          </cell>
          <cell r="V236">
            <v>8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900</v>
          </cell>
          <cell r="AB236">
            <v>344</v>
          </cell>
          <cell r="AC236">
            <v>0</v>
          </cell>
          <cell r="AD236">
            <v>0.61777777777777776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900</v>
          </cell>
          <cell r="AZ236">
            <v>0</v>
          </cell>
          <cell r="BA236">
            <v>900</v>
          </cell>
          <cell r="BB236">
            <v>344</v>
          </cell>
          <cell r="BC236">
            <v>0</v>
          </cell>
          <cell r="BD236">
            <v>1</v>
          </cell>
          <cell r="BE236">
            <v>1</v>
          </cell>
          <cell r="BF236">
            <v>0</v>
          </cell>
          <cell r="BG236">
            <v>0</v>
          </cell>
          <cell r="BH236">
            <v>0</v>
          </cell>
          <cell r="BI236">
            <v>105</v>
          </cell>
          <cell r="BJ236">
            <v>1</v>
          </cell>
          <cell r="BK236">
            <v>0</v>
          </cell>
          <cell r="BL236">
            <v>0</v>
          </cell>
          <cell r="BM236">
            <v>0</v>
          </cell>
          <cell r="BN236">
            <v>900</v>
          </cell>
          <cell r="BO236">
            <v>344</v>
          </cell>
          <cell r="BP236">
            <v>556</v>
          </cell>
          <cell r="BQ236">
            <v>900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X236">
            <v>0</v>
          </cell>
          <cell r="BY236">
            <v>8</v>
          </cell>
          <cell r="BZ236">
            <v>0</v>
          </cell>
          <cell r="CA236">
            <v>0</v>
          </cell>
        </row>
        <row r="237">
          <cell r="H237" t="str">
            <v>C233836</v>
          </cell>
          <cell r="I237" t="str">
            <v xml:space="preserve">INSTALLATION CRADLE TPH 900   </v>
          </cell>
          <cell r="J237" t="str">
            <v xml:space="preserve">23100 - 23103                 </v>
          </cell>
          <cell r="K237" t="str">
            <v xml:space="preserve">HELILAGON </v>
          </cell>
          <cell r="L237" t="str">
            <v>LJA</v>
          </cell>
          <cell r="M237">
            <v>45196</v>
          </cell>
          <cell r="N237" t="str">
            <v/>
          </cell>
          <cell r="O237">
            <v>3990</v>
          </cell>
          <cell r="P237">
            <v>0</v>
          </cell>
          <cell r="Q237">
            <v>709.5</v>
          </cell>
          <cell r="R237">
            <v>709.5</v>
          </cell>
          <cell r="S237">
            <v>0.56622807017543852</v>
          </cell>
          <cell r="T237">
            <v>0.59</v>
          </cell>
          <cell r="U237">
            <v>38</v>
          </cell>
          <cell r="V237">
            <v>16.5</v>
          </cell>
          <cell r="W237">
            <v>0</v>
          </cell>
          <cell r="X237">
            <v>21.5</v>
          </cell>
          <cell r="Y237">
            <v>21.5</v>
          </cell>
          <cell r="Z237">
            <v>0</v>
          </cell>
          <cell r="AA237">
            <v>3990</v>
          </cell>
          <cell r="AB237">
            <v>709.5</v>
          </cell>
          <cell r="AC237">
            <v>1021.25</v>
          </cell>
          <cell r="AD237">
            <v>0.56622807017543852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1635.6521739130435</v>
          </cell>
          <cell r="BB237">
            <v>709.5</v>
          </cell>
          <cell r="BC237">
            <v>1021.25</v>
          </cell>
          <cell r="BD237">
            <v>0.40993788819875776</v>
          </cell>
          <cell r="BE237">
            <v>0</v>
          </cell>
          <cell r="BF237">
            <v>0</v>
          </cell>
          <cell r="BG237">
            <v>1635.6521739130435</v>
          </cell>
          <cell r="BH237">
            <v>0</v>
          </cell>
          <cell r="BI237">
            <v>105</v>
          </cell>
          <cell r="BJ237">
            <v>0.40993788819875776</v>
          </cell>
          <cell r="BK237">
            <v>0</v>
          </cell>
          <cell r="BL237">
            <v>0</v>
          </cell>
          <cell r="BM237">
            <v>0</v>
          </cell>
          <cell r="BN237">
            <v>1635.6521739130435</v>
          </cell>
          <cell r="BO237">
            <v>709.5</v>
          </cell>
          <cell r="BP237">
            <v>926.1521739130435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X237">
            <v>2354.3478260869565</v>
          </cell>
          <cell r="BY237">
            <v>16.5</v>
          </cell>
          <cell r="BZ237">
            <v>0</v>
          </cell>
          <cell r="CA237">
            <v>0</v>
          </cell>
        </row>
        <row r="238">
          <cell r="H238" t="str">
            <v>C233841</v>
          </cell>
          <cell r="I238" t="str">
            <v>F7X MSN148 REGISTRATION CHANGE</v>
          </cell>
          <cell r="J238" t="str">
            <v xml:space="preserve">                              </v>
          </cell>
          <cell r="K238" t="str">
            <v xml:space="preserve">DASSAULT AVIATION BUSINESS SERVICES </v>
          </cell>
          <cell r="L238" t="str">
            <v>VGA</v>
          </cell>
          <cell r="M238">
            <v>45131</v>
          </cell>
          <cell r="N238">
            <v>45174</v>
          </cell>
          <cell r="O238">
            <v>2350</v>
          </cell>
          <cell r="P238">
            <v>0</v>
          </cell>
          <cell r="Q238">
            <v>1247</v>
          </cell>
          <cell r="R238">
            <v>1247</v>
          </cell>
          <cell r="S238">
            <v>0.4693617021276596</v>
          </cell>
          <cell r="T238">
            <v>0.59</v>
          </cell>
          <cell r="U238">
            <v>21</v>
          </cell>
          <cell r="V238">
            <v>29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2350</v>
          </cell>
          <cell r="AB238">
            <v>1247</v>
          </cell>
          <cell r="AC238">
            <v>0</v>
          </cell>
          <cell r="AD238">
            <v>0.4693617021276596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2350</v>
          </cell>
          <cell r="AZ238">
            <v>0</v>
          </cell>
          <cell r="BA238">
            <v>2350</v>
          </cell>
          <cell r="BB238">
            <v>1247</v>
          </cell>
          <cell r="BC238">
            <v>0</v>
          </cell>
          <cell r="BD238">
            <v>1</v>
          </cell>
          <cell r="BE238">
            <v>1</v>
          </cell>
          <cell r="BF238">
            <v>0</v>
          </cell>
          <cell r="BG238">
            <v>0</v>
          </cell>
          <cell r="BH238">
            <v>0</v>
          </cell>
          <cell r="BI238">
            <v>105</v>
          </cell>
          <cell r="BJ238">
            <v>1</v>
          </cell>
          <cell r="BK238">
            <v>0</v>
          </cell>
          <cell r="BL238">
            <v>0</v>
          </cell>
          <cell r="BM238">
            <v>0</v>
          </cell>
          <cell r="BN238">
            <v>2350</v>
          </cell>
          <cell r="BO238">
            <v>1247</v>
          </cell>
          <cell r="BP238">
            <v>1103</v>
          </cell>
          <cell r="BQ238">
            <v>2350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X238">
            <v>0</v>
          </cell>
          <cell r="BY238">
            <v>29</v>
          </cell>
          <cell r="BZ238">
            <v>0</v>
          </cell>
          <cell r="CA238">
            <v>0</v>
          </cell>
        </row>
        <row r="239">
          <cell r="H239" t="str">
            <v>C233842</v>
          </cell>
          <cell r="I239" t="str">
            <v xml:space="preserve">COCKPIT SEAT REFURBISHMENT    </v>
          </cell>
          <cell r="J239" t="str">
            <v xml:space="preserve">                              </v>
          </cell>
          <cell r="K239" t="str">
            <v xml:space="preserve">JV AEROSERVICES </v>
          </cell>
          <cell r="L239" t="str">
            <v>VGA</v>
          </cell>
          <cell r="M239">
            <v>45131</v>
          </cell>
          <cell r="N239">
            <v>45203</v>
          </cell>
          <cell r="O239">
            <v>4000</v>
          </cell>
          <cell r="P239">
            <v>0</v>
          </cell>
          <cell r="Q239">
            <v>1333</v>
          </cell>
          <cell r="R239">
            <v>1333</v>
          </cell>
          <cell r="S239">
            <v>0.66674999999999995</v>
          </cell>
          <cell r="T239">
            <v>0.59</v>
          </cell>
          <cell r="U239">
            <v>36</v>
          </cell>
          <cell r="V239">
            <v>31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4000</v>
          </cell>
          <cell r="AB239">
            <v>1333</v>
          </cell>
          <cell r="AC239">
            <v>0</v>
          </cell>
          <cell r="AD239">
            <v>0.66674999999999995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4000</v>
          </cell>
          <cell r="AZ239">
            <v>0</v>
          </cell>
          <cell r="BA239">
            <v>4000</v>
          </cell>
          <cell r="BB239">
            <v>1333</v>
          </cell>
          <cell r="BC239">
            <v>0</v>
          </cell>
          <cell r="BD239">
            <v>1</v>
          </cell>
          <cell r="BE239">
            <v>1</v>
          </cell>
          <cell r="BF239">
            <v>0</v>
          </cell>
          <cell r="BG239">
            <v>0</v>
          </cell>
          <cell r="BH239">
            <v>0</v>
          </cell>
          <cell r="BI239">
            <v>105</v>
          </cell>
          <cell r="BJ239">
            <v>1</v>
          </cell>
          <cell r="BK239">
            <v>0</v>
          </cell>
          <cell r="BL239">
            <v>0</v>
          </cell>
          <cell r="BM239">
            <v>0</v>
          </cell>
          <cell r="BN239">
            <v>4000</v>
          </cell>
          <cell r="BO239">
            <v>1333</v>
          </cell>
          <cell r="BP239">
            <v>2667</v>
          </cell>
          <cell r="BQ239">
            <v>4000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X239">
            <v>0</v>
          </cell>
          <cell r="BY239">
            <v>31</v>
          </cell>
          <cell r="BZ239">
            <v>0</v>
          </cell>
          <cell r="CA239">
            <v>0</v>
          </cell>
        </row>
        <row r="240">
          <cell r="H240" t="str">
            <v>C233843</v>
          </cell>
          <cell r="I240" t="str">
            <v>AIRBUS ATLANT. VSB ENDORSEMENT</v>
          </cell>
          <cell r="J240" t="str">
            <v xml:space="preserve">                              </v>
          </cell>
          <cell r="K240" t="str">
            <v xml:space="preserve">AIR CARAIBES ATLANTIQUE </v>
          </cell>
          <cell r="L240" t="str">
            <v>VGA</v>
          </cell>
          <cell r="M240">
            <v>45134</v>
          </cell>
          <cell r="N240">
            <v>45260</v>
          </cell>
          <cell r="O240">
            <v>6600</v>
          </cell>
          <cell r="P240">
            <v>0</v>
          </cell>
          <cell r="Q240">
            <v>2580</v>
          </cell>
          <cell r="R240">
            <v>2580</v>
          </cell>
          <cell r="S240">
            <v>0.60909090909090913</v>
          </cell>
          <cell r="T240">
            <v>0.59</v>
          </cell>
          <cell r="U240">
            <v>50</v>
          </cell>
          <cell r="V240">
            <v>60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6600</v>
          </cell>
          <cell r="AB240">
            <v>2580</v>
          </cell>
          <cell r="AC240">
            <v>0</v>
          </cell>
          <cell r="AD240">
            <v>0.60909090909090913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6600</v>
          </cell>
          <cell r="AZ240">
            <v>0</v>
          </cell>
          <cell r="BA240">
            <v>6600</v>
          </cell>
          <cell r="BB240">
            <v>2580</v>
          </cell>
          <cell r="BC240">
            <v>0</v>
          </cell>
          <cell r="BD240">
            <v>1</v>
          </cell>
          <cell r="BE240">
            <v>1</v>
          </cell>
          <cell r="BF240">
            <v>0</v>
          </cell>
          <cell r="BG240">
            <v>0</v>
          </cell>
          <cell r="BH240">
            <v>0</v>
          </cell>
          <cell r="BI240">
            <v>105</v>
          </cell>
          <cell r="BJ240">
            <v>1</v>
          </cell>
          <cell r="BK240">
            <v>0</v>
          </cell>
          <cell r="BL240">
            <v>0</v>
          </cell>
          <cell r="BM240">
            <v>0</v>
          </cell>
          <cell r="BN240">
            <v>6600</v>
          </cell>
          <cell r="BO240">
            <v>2580</v>
          </cell>
          <cell r="BP240">
            <v>4020</v>
          </cell>
          <cell r="BQ240">
            <v>6600</v>
          </cell>
          <cell r="BR240">
            <v>0</v>
          </cell>
          <cell r="BS240">
            <v>0</v>
          </cell>
          <cell r="BT240">
            <v>0</v>
          </cell>
          <cell r="BU240">
            <v>6600</v>
          </cell>
          <cell r="BV240">
            <v>0</v>
          </cell>
          <cell r="BX240">
            <v>0</v>
          </cell>
          <cell r="BY240">
            <v>60</v>
          </cell>
          <cell r="BZ240">
            <v>0</v>
          </cell>
          <cell r="CA240">
            <v>0</v>
          </cell>
        </row>
        <row r="241">
          <cell r="H241" t="str">
            <v>C233844</v>
          </cell>
          <cell r="I241" t="str">
            <v xml:space="preserve">A310 ZERO G EXTERNAL LIVERY   </v>
          </cell>
          <cell r="J241" t="str">
            <v xml:space="preserve">                              </v>
          </cell>
          <cell r="K241" t="str">
            <v xml:space="preserve">NOVESPACE </v>
          </cell>
          <cell r="L241" t="str">
            <v>VGA</v>
          </cell>
          <cell r="M241">
            <v>45137</v>
          </cell>
          <cell r="N241">
            <v>45174</v>
          </cell>
          <cell r="O241">
            <v>1800</v>
          </cell>
          <cell r="P241">
            <v>0</v>
          </cell>
          <cell r="Q241">
            <v>602</v>
          </cell>
          <cell r="R241">
            <v>602</v>
          </cell>
          <cell r="S241">
            <v>0.66555555555555557</v>
          </cell>
          <cell r="T241">
            <v>0.59</v>
          </cell>
          <cell r="U241">
            <v>16</v>
          </cell>
          <cell r="V241">
            <v>14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1800</v>
          </cell>
          <cell r="AB241">
            <v>602</v>
          </cell>
          <cell r="AC241">
            <v>0</v>
          </cell>
          <cell r="AD241">
            <v>0.66555555555555557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1800</v>
          </cell>
          <cell r="AZ241">
            <v>0</v>
          </cell>
          <cell r="BA241">
            <v>1800</v>
          </cell>
          <cell r="BB241">
            <v>602</v>
          </cell>
          <cell r="BC241">
            <v>0</v>
          </cell>
          <cell r="BD241">
            <v>1</v>
          </cell>
          <cell r="BE241">
            <v>1</v>
          </cell>
          <cell r="BF241">
            <v>0</v>
          </cell>
          <cell r="BG241">
            <v>0</v>
          </cell>
          <cell r="BH241">
            <v>0</v>
          </cell>
          <cell r="BI241">
            <v>105</v>
          </cell>
          <cell r="BJ241">
            <v>1</v>
          </cell>
          <cell r="BK241">
            <v>0</v>
          </cell>
          <cell r="BL241">
            <v>0</v>
          </cell>
          <cell r="BM241">
            <v>0</v>
          </cell>
          <cell r="BN241">
            <v>1800</v>
          </cell>
          <cell r="BO241">
            <v>602</v>
          </cell>
          <cell r="BP241">
            <v>1198</v>
          </cell>
          <cell r="BQ241">
            <v>1800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X241">
            <v>0</v>
          </cell>
          <cell r="BY241">
            <v>14</v>
          </cell>
          <cell r="BZ241">
            <v>0</v>
          </cell>
          <cell r="CA241">
            <v>0</v>
          </cell>
        </row>
        <row r="242">
          <cell r="H242" t="str">
            <v>C233846</v>
          </cell>
          <cell r="I242" t="str">
            <v xml:space="preserve">AJOUT D'APPLICABILITE         </v>
          </cell>
          <cell r="J242" t="str">
            <v xml:space="preserve">17173                         </v>
          </cell>
          <cell r="K242" t="str">
            <v>BABCOCK MCS FRANCE</v>
          </cell>
          <cell r="L242" t="str">
            <v>LJA</v>
          </cell>
          <cell r="M242">
            <v>45148</v>
          </cell>
          <cell r="N242">
            <v>45195</v>
          </cell>
          <cell r="O242">
            <v>2400</v>
          </cell>
          <cell r="P242">
            <v>0</v>
          </cell>
          <cell r="Q242">
            <v>946</v>
          </cell>
          <cell r="R242">
            <v>946</v>
          </cell>
          <cell r="S242">
            <v>0.60583333333333333</v>
          </cell>
          <cell r="T242">
            <v>0.59</v>
          </cell>
          <cell r="U242">
            <v>22.857142857142858</v>
          </cell>
          <cell r="V242">
            <v>22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2400</v>
          </cell>
          <cell r="AB242">
            <v>946</v>
          </cell>
          <cell r="AC242">
            <v>0</v>
          </cell>
          <cell r="AD242">
            <v>0.60583333333333333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2400</v>
          </cell>
          <cell r="AZ242">
            <v>0</v>
          </cell>
          <cell r="BA242">
            <v>2400</v>
          </cell>
          <cell r="BB242">
            <v>946</v>
          </cell>
          <cell r="BC242">
            <v>0</v>
          </cell>
          <cell r="BD242">
            <v>1</v>
          </cell>
          <cell r="BE242">
            <v>1</v>
          </cell>
          <cell r="BF242">
            <v>0</v>
          </cell>
          <cell r="BG242">
            <v>0</v>
          </cell>
          <cell r="BH242">
            <v>0</v>
          </cell>
          <cell r="BI242">
            <v>105</v>
          </cell>
          <cell r="BJ242">
            <v>1</v>
          </cell>
          <cell r="BK242">
            <v>0</v>
          </cell>
          <cell r="BL242">
            <v>0</v>
          </cell>
          <cell r="BM242">
            <v>0</v>
          </cell>
          <cell r="BN242">
            <v>2400</v>
          </cell>
          <cell r="BO242">
            <v>946</v>
          </cell>
          <cell r="BP242">
            <v>1454</v>
          </cell>
          <cell r="BQ242">
            <v>2400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X242">
            <v>0</v>
          </cell>
          <cell r="BY242">
            <v>22</v>
          </cell>
          <cell r="BZ242">
            <v>0</v>
          </cell>
          <cell r="CA242">
            <v>0</v>
          </cell>
        </row>
        <row r="243">
          <cell r="H243" t="str">
            <v>C233849</v>
          </cell>
          <cell r="I243" t="str">
            <v xml:space="preserve">AJOUT D'APPLI AE23061         </v>
          </cell>
          <cell r="J243" t="str">
            <v xml:space="preserve">23061                         </v>
          </cell>
          <cell r="K243" t="str">
            <v>ROTOR TEAM</v>
          </cell>
          <cell r="L243" t="str">
            <v>LJA</v>
          </cell>
          <cell r="M243">
            <v>45138</v>
          </cell>
          <cell r="N243">
            <v>45163</v>
          </cell>
          <cell r="O243">
            <v>700</v>
          </cell>
          <cell r="P243">
            <v>0</v>
          </cell>
          <cell r="Q243">
            <v>301</v>
          </cell>
          <cell r="R243">
            <v>301</v>
          </cell>
          <cell r="S243">
            <v>0.57000000000000006</v>
          </cell>
          <cell r="T243">
            <v>0.59</v>
          </cell>
          <cell r="U243">
            <v>6.5</v>
          </cell>
          <cell r="V243">
            <v>7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700</v>
          </cell>
          <cell r="AB243">
            <v>301</v>
          </cell>
          <cell r="AC243">
            <v>0</v>
          </cell>
          <cell r="AD243">
            <v>0.57000000000000006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700</v>
          </cell>
          <cell r="AZ243">
            <v>0</v>
          </cell>
          <cell r="BA243">
            <v>700</v>
          </cell>
          <cell r="BB243">
            <v>301</v>
          </cell>
          <cell r="BC243">
            <v>0</v>
          </cell>
          <cell r="BD243">
            <v>1</v>
          </cell>
          <cell r="BE243">
            <v>1</v>
          </cell>
          <cell r="BF243">
            <v>0</v>
          </cell>
          <cell r="BG243">
            <v>0</v>
          </cell>
          <cell r="BH243">
            <v>0</v>
          </cell>
          <cell r="BI243">
            <v>105</v>
          </cell>
          <cell r="BJ243">
            <v>1</v>
          </cell>
          <cell r="BK243">
            <v>0</v>
          </cell>
          <cell r="BL243">
            <v>0</v>
          </cell>
          <cell r="BM243">
            <v>0</v>
          </cell>
          <cell r="BN243">
            <v>700</v>
          </cell>
          <cell r="BO243">
            <v>301</v>
          </cell>
          <cell r="BP243">
            <v>399</v>
          </cell>
          <cell r="BQ243">
            <v>700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X243">
            <v>0</v>
          </cell>
          <cell r="BY243">
            <v>7</v>
          </cell>
          <cell r="BZ243">
            <v>0</v>
          </cell>
          <cell r="CA243">
            <v>0</v>
          </cell>
        </row>
        <row r="244">
          <cell r="H244" t="str">
            <v>C233851</v>
          </cell>
          <cell r="I244" t="str">
            <v xml:space="preserve"> MODIFICATION NACELLE T1      </v>
          </cell>
          <cell r="J244" t="str">
            <v xml:space="preserve">                              </v>
          </cell>
          <cell r="K244" t="str">
            <v xml:space="preserve">RESEAUX TRANSPORT ELECTRICITE </v>
          </cell>
          <cell r="L244" t="str">
            <v>LJA</v>
          </cell>
          <cell r="M244">
            <v>45152</v>
          </cell>
          <cell r="N244">
            <v>45195</v>
          </cell>
          <cell r="O244">
            <v>17339.2</v>
          </cell>
          <cell r="P244">
            <v>0</v>
          </cell>
          <cell r="Q244">
            <v>13177.36</v>
          </cell>
          <cell r="R244">
            <v>13177.36</v>
          </cell>
          <cell r="S244">
            <v>0.24002491464427422</v>
          </cell>
          <cell r="T244">
            <v>0.31075251453354247</v>
          </cell>
          <cell r="U244">
            <v>58.5</v>
          </cell>
          <cell r="V244">
            <v>63.5</v>
          </cell>
          <cell r="W244">
            <v>2</v>
          </cell>
          <cell r="X244">
            <v>0</v>
          </cell>
          <cell r="Y244">
            <v>0</v>
          </cell>
          <cell r="Z244">
            <v>0</v>
          </cell>
          <cell r="AA244">
            <v>4924</v>
          </cell>
          <cell r="AB244">
            <v>2834.5</v>
          </cell>
          <cell r="AC244">
            <v>0</v>
          </cell>
          <cell r="AD244">
            <v>0.42435012185215271</v>
          </cell>
          <cell r="AE244">
            <v>12415.2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10342.86</v>
          </cell>
          <cell r="AN244">
            <v>10342.86</v>
          </cell>
          <cell r="AO244">
            <v>0</v>
          </cell>
          <cell r="AP244">
            <v>0</v>
          </cell>
          <cell r="AQ244">
            <v>0</v>
          </cell>
          <cell r="AR244">
            <v>0.16691958244732263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17339.2</v>
          </cell>
          <cell r="AZ244">
            <v>0</v>
          </cell>
          <cell r="BA244">
            <v>17339.2</v>
          </cell>
          <cell r="BB244">
            <v>13177.36</v>
          </cell>
          <cell r="BC244">
            <v>0</v>
          </cell>
          <cell r="BD244">
            <v>1</v>
          </cell>
          <cell r="BE244">
            <v>1</v>
          </cell>
          <cell r="BF244">
            <v>0</v>
          </cell>
          <cell r="BG244">
            <v>0</v>
          </cell>
          <cell r="BH244">
            <v>0</v>
          </cell>
          <cell r="BI244">
            <v>105</v>
          </cell>
          <cell r="BJ244">
            <v>1</v>
          </cell>
          <cell r="BK244">
            <v>0</v>
          </cell>
          <cell r="BL244">
            <v>0</v>
          </cell>
          <cell r="BM244">
            <v>0</v>
          </cell>
          <cell r="BN244">
            <v>17339.2</v>
          </cell>
          <cell r="BO244">
            <v>13177.36</v>
          </cell>
          <cell r="BP244">
            <v>4161.84</v>
          </cell>
          <cell r="BQ244">
            <v>17339.2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X244">
            <v>0</v>
          </cell>
          <cell r="BY244">
            <v>65.5</v>
          </cell>
          <cell r="BZ244">
            <v>2</v>
          </cell>
          <cell r="CA244">
            <v>0</v>
          </cell>
        </row>
        <row r="245">
          <cell r="H245" t="str">
            <v>C233858</v>
          </cell>
          <cell r="I245" t="str">
            <v xml:space="preserve">DEVELOPMENT OF A MODIFICATION </v>
          </cell>
          <cell r="J245" t="str">
            <v xml:space="preserve">23086                         </v>
          </cell>
          <cell r="K245" t="str">
            <v xml:space="preserve">JG AVIATION </v>
          </cell>
          <cell r="L245" t="str">
            <v>VGA</v>
          </cell>
          <cell r="M245">
            <v>45161</v>
          </cell>
          <cell r="N245">
            <v>45291</v>
          </cell>
          <cell r="O245">
            <v>15040</v>
          </cell>
          <cell r="P245">
            <v>0</v>
          </cell>
          <cell r="Q245">
            <v>12690.330000000002</v>
          </cell>
          <cell r="R245">
            <v>12656.73</v>
          </cell>
          <cell r="S245">
            <v>0.15622805851063815</v>
          </cell>
          <cell r="T245">
            <v>0.46968085106382979</v>
          </cell>
          <cell r="U245">
            <v>94.7</v>
          </cell>
          <cell r="V245">
            <v>108.5</v>
          </cell>
          <cell r="W245">
            <v>25</v>
          </cell>
          <cell r="X245">
            <v>0</v>
          </cell>
          <cell r="Y245">
            <v>1.5</v>
          </cell>
          <cell r="Z245">
            <v>11.5</v>
          </cell>
          <cell r="AA245">
            <v>10400</v>
          </cell>
          <cell r="AB245">
            <v>5965.5</v>
          </cell>
          <cell r="AC245">
            <v>0</v>
          </cell>
          <cell r="AD245">
            <v>0.42639423076923078</v>
          </cell>
          <cell r="AE245">
            <v>4640</v>
          </cell>
          <cell r="AF245">
            <v>141.55000000000109</v>
          </cell>
          <cell r="AG245">
            <v>107.94999999999999</v>
          </cell>
          <cell r="AH245">
            <v>33.600000000001103</v>
          </cell>
          <cell r="AI245">
            <v>33.6</v>
          </cell>
          <cell r="AJ245">
            <v>0</v>
          </cell>
          <cell r="AK245">
            <v>50</v>
          </cell>
          <cell r="AL245">
            <v>74.350000000001273</v>
          </cell>
          <cell r="AM245">
            <v>6583.28</v>
          </cell>
          <cell r="AN245">
            <v>6583.28</v>
          </cell>
          <cell r="AO245">
            <v>0</v>
          </cell>
          <cell r="AP245">
            <v>0</v>
          </cell>
          <cell r="AQ245">
            <v>0</v>
          </cell>
          <cell r="AR245">
            <v>-0.44931681034482773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15040</v>
          </cell>
          <cell r="AZ245">
            <v>0</v>
          </cell>
          <cell r="BA245">
            <v>15000.178813316908</v>
          </cell>
          <cell r="BB245">
            <v>12656.73</v>
          </cell>
          <cell r="BC245">
            <v>33.600000000001273</v>
          </cell>
          <cell r="BD245">
            <v>0.99735231471522001</v>
          </cell>
          <cell r="BE245">
            <v>1</v>
          </cell>
          <cell r="BF245">
            <v>-39.821186683091021</v>
          </cell>
          <cell r="BG245">
            <v>0</v>
          </cell>
          <cell r="BH245">
            <v>0</v>
          </cell>
          <cell r="BI245">
            <v>105</v>
          </cell>
          <cell r="BJ245">
            <v>0.99735231471522001</v>
          </cell>
          <cell r="BK245">
            <v>0</v>
          </cell>
          <cell r="BL245">
            <v>447.60000000000309</v>
          </cell>
          <cell r="BM245">
            <v>1.2745123345321407E-2</v>
          </cell>
          <cell r="BN245">
            <v>15000.178813316908</v>
          </cell>
          <cell r="BO245">
            <v>12656.73</v>
          </cell>
          <cell r="BP245">
            <v>2343.4488133169089</v>
          </cell>
          <cell r="BQ245">
            <v>15040</v>
          </cell>
          <cell r="BR245">
            <v>191.68665511363361</v>
          </cell>
          <cell r="BS245">
            <v>602.45000000000073</v>
          </cell>
          <cell r="BT245">
            <v>-410.76334488636712</v>
          </cell>
          <cell r="BU245">
            <v>7520</v>
          </cell>
          <cell r="BV245">
            <v>0</v>
          </cell>
          <cell r="BX245">
            <v>39.821186683091582</v>
          </cell>
          <cell r="BY245">
            <v>133.5</v>
          </cell>
          <cell r="BZ245">
            <v>25</v>
          </cell>
          <cell r="CA245">
            <v>107.94999999999999</v>
          </cell>
        </row>
        <row r="246">
          <cell r="H246" t="str">
            <v>C233861</v>
          </cell>
          <cell r="I246" t="str">
            <v xml:space="preserve">SERVICE BULLETIN DEVELOPMENT  </v>
          </cell>
          <cell r="J246" t="str">
            <v xml:space="preserve">                              </v>
          </cell>
          <cell r="K246" t="str">
            <v xml:space="preserve">DASSAULT AVIATION BUSINESS SERVICES </v>
          </cell>
          <cell r="L246" t="str">
            <v>PNA</v>
          </cell>
          <cell r="M246">
            <v>45161</v>
          </cell>
          <cell r="N246">
            <v>45203</v>
          </cell>
          <cell r="O246">
            <v>1600</v>
          </cell>
          <cell r="P246">
            <v>0</v>
          </cell>
          <cell r="Q246">
            <v>1075</v>
          </cell>
          <cell r="R246">
            <v>1075</v>
          </cell>
          <cell r="S246">
            <v>0.328125</v>
          </cell>
          <cell r="T246">
            <v>0.59</v>
          </cell>
          <cell r="U246">
            <v>15</v>
          </cell>
          <cell r="V246">
            <v>25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1600</v>
          </cell>
          <cell r="AB246">
            <v>1075</v>
          </cell>
          <cell r="AC246">
            <v>0</v>
          </cell>
          <cell r="AD246">
            <v>0.328125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1600</v>
          </cell>
          <cell r="AZ246">
            <v>0</v>
          </cell>
          <cell r="BA246">
            <v>1600</v>
          </cell>
          <cell r="BB246">
            <v>1075</v>
          </cell>
          <cell r="BC246">
            <v>0</v>
          </cell>
          <cell r="BD246">
            <v>1</v>
          </cell>
          <cell r="BE246">
            <v>1</v>
          </cell>
          <cell r="BF246">
            <v>0</v>
          </cell>
          <cell r="BG246">
            <v>0</v>
          </cell>
          <cell r="BH246">
            <v>0</v>
          </cell>
          <cell r="BI246">
            <v>105</v>
          </cell>
          <cell r="BJ246">
            <v>1</v>
          </cell>
          <cell r="BK246">
            <v>0</v>
          </cell>
          <cell r="BL246">
            <v>0</v>
          </cell>
          <cell r="BM246">
            <v>0</v>
          </cell>
          <cell r="BN246">
            <v>1600</v>
          </cell>
          <cell r="BO246">
            <v>1075</v>
          </cell>
          <cell r="BP246">
            <v>525</v>
          </cell>
          <cell r="BQ246">
            <v>1600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X246">
            <v>0</v>
          </cell>
          <cell r="BY246">
            <v>25</v>
          </cell>
          <cell r="BZ246">
            <v>0</v>
          </cell>
          <cell r="CA246">
            <v>0</v>
          </cell>
        </row>
        <row r="247">
          <cell r="H247" t="str">
            <v>C233863</v>
          </cell>
          <cell r="I247" t="str">
            <v xml:space="preserve">MISSIONS                      </v>
          </cell>
          <cell r="J247" t="str">
            <v xml:space="preserve">                              </v>
          </cell>
          <cell r="K247" t="str">
            <v xml:space="preserve">JETTIME A/S </v>
          </cell>
          <cell r="L247" t="str">
            <v>FDE</v>
          </cell>
          <cell r="M247">
            <v>45162</v>
          </cell>
          <cell r="N247">
            <v>45203</v>
          </cell>
          <cell r="O247">
            <v>10408.959999999999</v>
          </cell>
          <cell r="P247">
            <v>0</v>
          </cell>
          <cell r="Q247">
            <v>6633.48</v>
          </cell>
          <cell r="R247">
            <v>6633.48</v>
          </cell>
          <cell r="S247">
            <v>0.36271443064436792</v>
          </cell>
          <cell r="T247">
            <v>0.46976758484997538</v>
          </cell>
          <cell r="U247">
            <v>72.010000000000005</v>
          </cell>
          <cell r="V247">
            <v>74.75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7200</v>
          </cell>
          <cell r="AB247">
            <v>3214.25</v>
          </cell>
          <cell r="AC247">
            <v>0</v>
          </cell>
          <cell r="AD247">
            <v>0.55357638888888894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3208.96</v>
          </cell>
          <cell r="AT247">
            <v>3419.23</v>
          </cell>
          <cell r="AU247">
            <v>0</v>
          </cell>
          <cell r="AV247">
            <v>0</v>
          </cell>
          <cell r="AW247">
            <v>0</v>
          </cell>
          <cell r="AX247">
            <v>-6.5525902473075437E-2</v>
          </cell>
          <cell r="AY247">
            <v>10408.959999999999</v>
          </cell>
          <cell r="AZ247">
            <v>0</v>
          </cell>
          <cell r="BA247">
            <v>10408.959999999999</v>
          </cell>
          <cell r="BB247">
            <v>6633.48</v>
          </cell>
          <cell r="BC247">
            <v>0</v>
          </cell>
          <cell r="BD247">
            <v>1</v>
          </cell>
          <cell r="BE247">
            <v>1</v>
          </cell>
          <cell r="BF247">
            <v>0</v>
          </cell>
          <cell r="BG247">
            <v>0</v>
          </cell>
          <cell r="BH247">
            <v>0</v>
          </cell>
          <cell r="BI247">
            <v>105</v>
          </cell>
          <cell r="BJ247">
            <v>1</v>
          </cell>
          <cell r="BK247">
            <v>-9.0949470177292824E-13</v>
          </cell>
          <cell r="BL247">
            <v>0</v>
          </cell>
          <cell r="BM247">
            <v>0</v>
          </cell>
          <cell r="BN247">
            <v>10408.959999999999</v>
          </cell>
          <cell r="BO247">
            <v>6633.48</v>
          </cell>
          <cell r="BP247">
            <v>3775.4799999999996</v>
          </cell>
          <cell r="BQ247">
            <v>10408.959999999999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X247">
            <v>0</v>
          </cell>
          <cell r="BY247">
            <v>74.75</v>
          </cell>
          <cell r="BZ247">
            <v>0</v>
          </cell>
          <cell r="CA247">
            <v>3419.23</v>
          </cell>
        </row>
        <row r="248">
          <cell r="H248" t="str">
            <v>C233864</v>
          </cell>
          <cell r="I248" t="str">
            <v xml:space="preserve">DESINSTALLATION RADIO KHF 950 </v>
          </cell>
          <cell r="J248" t="str">
            <v xml:space="preserve">23085                         </v>
          </cell>
          <cell r="K248" t="str">
            <v xml:space="preserve">HDF MAINTENANCE </v>
          </cell>
          <cell r="L248" t="str">
            <v>LJA</v>
          </cell>
          <cell r="M248">
            <v>45161</v>
          </cell>
          <cell r="N248">
            <v>45195</v>
          </cell>
          <cell r="O248">
            <v>1950</v>
          </cell>
          <cell r="P248">
            <v>0</v>
          </cell>
          <cell r="Q248">
            <v>774</v>
          </cell>
          <cell r="R248">
            <v>774</v>
          </cell>
          <cell r="S248">
            <v>0.60307692307692307</v>
          </cell>
          <cell r="T248">
            <v>0.59</v>
          </cell>
          <cell r="U248">
            <v>18.5</v>
          </cell>
          <cell r="V248">
            <v>18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1950</v>
          </cell>
          <cell r="AB248">
            <v>774</v>
          </cell>
          <cell r="AC248">
            <v>0</v>
          </cell>
          <cell r="AD248">
            <v>0.60307692307692307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1950</v>
          </cell>
          <cell r="AZ248">
            <v>0</v>
          </cell>
          <cell r="BA248">
            <v>1950</v>
          </cell>
          <cell r="BB248">
            <v>774</v>
          </cell>
          <cell r="BC248">
            <v>0</v>
          </cell>
          <cell r="BD248">
            <v>1</v>
          </cell>
          <cell r="BE248">
            <v>1</v>
          </cell>
          <cell r="BF248">
            <v>0</v>
          </cell>
          <cell r="BG248">
            <v>0</v>
          </cell>
          <cell r="BH248">
            <v>0</v>
          </cell>
          <cell r="BI248">
            <v>105</v>
          </cell>
          <cell r="BJ248">
            <v>1</v>
          </cell>
          <cell r="BK248">
            <v>0</v>
          </cell>
          <cell r="BL248">
            <v>0</v>
          </cell>
          <cell r="BM248">
            <v>0</v>
          </cell>
          <cell r="BN248">
            <v>1950</v>
          </cell>
          <cell r="BO248">
            <v>774</v>
          </cell>
          <cell r="BP248">
            <v>1176</v>
          </cell>
          <cell r="BQ248">
            <v>1950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X248">
            <v>0</v>
          </cell>
          <cell r="BY248">
            <v>18</v>
          </cell>
          <cell r="BZ248">
            <v>0</v>
          </cell>
          <cell r="CA248">
            <v>0</v>
          </cell>
        </row>
        <row r="249">
          <cell r="H249" t="str">
            <v>C233865</v>
          </cell>
          <cell r="I249" t="str">
            <v xml:space="preserve">MISE À JOUR DOSSIER AE18133   </v>
          </cell>
          <cell r="J249" t="str">
            <v xml:space="preserve">18133                         </v>
          </cell>
          <cell r="K249" t="str">
            <v xml:space="preserve">HELIDAX </v>
          </cell>
          <cell r="L249" t="str">
            <v>LJA</v>
          </cell>
          <cell r="M249">
            <v>45205</v>
          </cell>
          <cell r="N249">
            <v>45260</v>
          </cell>
          <cell r="O249">
            <v>900</v>
          </cell>
          <cell r="P249">
            <v>0</v>
          </cell>
          <cell r="Q249">
            <v>0</v>
          </cell>
          <cell r="R249">
            <v>0</v>
          </cell>
          <cell r="S249">
            <v>1</v>
          </cell>
          <cell r="T249">
            <v>0.59</v>
          </cell>
          <cell r="U249">
            <v>8.5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900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900</v>
          </cell>
          <cell r="BB249">
            <v>0</v>
          </cell>
          <cell r="BC249">
            <v>0</v>
          </cell>
          <cell r="BD249">
            <v>1</v>
          </cell>
          <cell r="BE249">
            <v>0</v>
          </cell>
          <cell r="BF249">
            <v>0</v>
          </cell>
          <cell r="BG249">
            <v>900</v>
          </cell>
          <cell r="BH249">
            <v>0</v>
          </cell>
          <cell r="BI249">
            <v>105</v>
          </cell>
          <cell r="BJ249">
            <v>1</v>
          </cell>
          <cell r="BK249">
            <v>0</v>
          </cell>
          <cell r="BL249">
            <v>0</v>
          </cell>
          <cell r="BM249">
            <v>0</v>
          </cell>
          <cell r="BN249">
            <v>900</v>
          </cell>
          <cell r="BO249">
            <v>0</v>
          </cell>
          <cell r="BP249">
            <v>900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</row>
        <row r="250">
          <cell r="H250" t="str">
            <v>C233866</v>
          </cell>
          <cell r="I250" t="str">
            <v xml:space="preserve">CL604 SN 5593 DEMODIFICATION  </v>
          </cell>
          <cell r="J250" t="str">
            <v xml:space="preserve">23089                         </v>
          </cell>
          <cell r="K250" t="str">
            <v xml:space="preserve">DASSAULT AVIATION BUSINESS SERVICES </v>
          </cell>
          <cell r="L250" t="str">
            <v>PNA</v>
          </cell>
          <cell r="M250">
            <v>45169</v>
          </cell>
          <cell r="N250">
            <v>45291</v>
          </cell>
          <cell r="O250">
            <v>10300</v>
          </cell>
          <cell r="P250">
            <v>0</v>
          </cell>
          <cell r="Q250">
            <v>5224.5</v>
          </cell>
          <cell r="R250">
            <v>5224.5</v>
          </cell>
          <cell r="S250">
            <v>0.49276699029126214</v>
          </cell>
          <cell r="T250">
            <v>0.59</v>
          </cell>
          <cell r="U250">
            <v>93</v>
          </cell>
          <cell r="V250">
            <v>121.5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10300</v>
          </cell>
          <cell r="AB250">
            <v>5224.5</v>
          </cell>
          <cell r="AC250">
            <v>0</v>
          </cell>
          <cell r="AD250">
            <v>0.49276699029126214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10300</v>
          </cell>
          <cell r="AZ250">
            <v>0</v>
          </cell>
          <cell r="BA250">
            <v>10300</v>
          </cell>
          <cell r="BB250">
            <v>5224.5</v>
          </cell>
          <cell r="BC250">
            <v>0</v>
          </cell>
          <cell r="BD250">
            <v>1</v>
          </cell>
          <cell r="BE250">
            <v>1</v>
          </cell>
          <cell r="BF250">
            <v>0</v>
          </cell>
          <cell r="BG250">
            <v>0</v>
          </cell>
          <cell r="BH250">
            <v>0</v>
          </cell>
          <cell r="BI250">
            <v>105</v>
          </cell>
          <cell r="BJ250">
            <v>1</v>
          </cell>
          <cell r="BK250">
            <v>0</v>
          </cell>
          <cell r="BL250">
            <v>0</v>
          </cell>
          <cell r="BM250">
            <v>0</v>
          </cell>
          <cell r="BN250">
            <v>10300</v>
          </cell>
          <cell r="BO250">
            <v>5224.5</v>
          </cell>
          <cell r="BP250">
            <v>5075.5</v>
          </cell>
          <cell r="BQ250">
            <v>10300</v>
          </cell>
          <cell r="BR250">
            <v>0</v>
          </cell>
          <cell r="BS250">
            <v>0</v>
          </cell>
          <cell r="BT250">
            <v>0</v>
          </cell>
          <cell r="BU250">
            <v>5150</v>
          </cell>
          <cell r="BV250">
            <v>0</v>
          </cell>
          <cell r="BX250">
            <v>0</v>
          </cell>
          <cell r="BY250">
            <v>121.5</v>
          </cell>
          <cell r="BZ250">
            <v>0</v>
          </cell>
          <cell r="CA250">
            <v>0</v>
          </cell>
        </row>
        <row r="251">
          <cell r="H251" t="str">
            <v>C233867</v>
          </cell>
          <cell r="I251" t="str">
            <v xml:space="preserve">DEVELOPMENT OF A MODIFICATION </v>
          </cell>
          <cell r="J251" t="str">
            <v xml:space="preserve">23088                         </v>
          </cell>
          <cell r="K251" t="str">
            <v xml:space="preserve">DASSAULT AVIATION BUSINESS SERVICES </v>
          </cell>
          <cell r="L251" t="str">
            <v>PNA</v>
          </cell>
          <cell r="M251">
            <v>45169</v>
          </cell>
          <cell r="N251">
            <v>45291</v>
          </cell>
          <cell r="O251">
            <v>36050</v>
          </cell>
          <cell r="P251">
            <v>0</v>
          </cell>
          <cell r="Q251">
            <v>26932.074305000002</v>
          </cell>
          <cell r="R251">
            <v>26932.079999999998</v>
          </cell>
          <cell r="S251">
            <v>0.25292442981969476</v>
          </cell>
          <cell r="T251">
            <v>0.2930374479889043</v>
          </cell>
          <cell r="U251">
            <v>78</v>
          </cell>
          <cell r="V251">
            <v>77</v>
          </cell>
          <cell r="W251">
            <v>0</v>
          </cell>
          <cell r="X251">
            <v>0</v>
          </cell>
          <cell r="Y251">
            <v>6</v>
          </cell>
          <cell r="Z251">
            <v>5</v>
          </cell>
          <cell r="AA251">
            <v>8600</v>
          </cell>
          <cell r="AB251">
            <v>3311</v>
          </cell>
          <cell r="AC251">
            <v>0</v>
          </cell>
          <cell r="AD251">
            <v>0.61499999999999999</v>
          </cell>
          <cell r="AE251">
            <v>27450</v>
          </cell>
          <cell r="AF251">
            <v>23621.074305000002</v>
          </cell>
          <cell r="AG251">
            <v>23621.079999999998</v>
          </cell>
          <cell r="AH251">
            <v>-5.6949999961943831E-3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0.13948727486338786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36050</v>
          </cell>
          <cell r="AZ251">
            <v>0</v>
          </cell>
          <cell r="BA251">
            <v>36050.007623057456</v>
          </cell>
          <cell r="BB251">
            <v>26932.079999999998</v>
          </cell>
          <cell r="BC251">
            <v>-5.6949999961943831E-3</v>
          </cell>
          <cell r="BD251">
            <v>1.0000002114579045</v>
          </cell>
          <cell r="BE251">
            <v>1</v>
          </cell>
          <cell r="BF251">
            <v>0</v>
          </cell>
          <cell r="BG251">
            <v>7.6230574579394528E-3</v>
          </cell>
          <cell r="BH251">
            <v>0</v>
          </cell>
          <cell r="BI251">
            <v>105</v>
          </cell>
          <cell r="BJ251">
            <v>1.0000002114579045</v>
          </cell>
          <cell r="BK251">
            <v>0</v>
          </cell>
          <cell r="BL251">
            <v>-70</v>
          </cell>
          <cell r="BM251">
            <v>1.0554745223750439E-2</v>
          </cell>
          <cell r="BN251">
            <v>36050.007623057456</v>
          </cell>
          <cell r="BO251">
            <v>26932.079999999998</v>
          </cell>
          <cell r="BP251">
            <v>9117.9276230574578</v>
          </cell>
          <cell r="BQ251">
            <v>36050</v>
          </cell>
          <cell r="BR251">
            <v>380.49856531620026</v>
          </cell>
          <cell r="BS251">
            <v>215</v>
          </cell>
          <cell r="BT251">
            <v>165.49856531620026</v>
          </cell>
          <cell r="BU251">
            <v>8600</v>
          </cell>
          <cell r="BV251">
            <v>0</v>
          </cell>
          <cell r="BX251">
            <v>-7.6230574559303932E-3</v>
          </cell>
          <cell r="BY251">
            <v>77</v>
          </cell>
          <cell r="BZ251">
            <v>0</v>
          </cell>
          <cell r="CA251">
            <v>23621.079999999998</v>
          </cell>
        </row>
        <row r="252">
          <cell r="H252" t="str">
            <v>C233869</v>
          </cell>
          <cell r="I252" t="str">
            <v xml:space="preserve">A320 MSN 3621 &amp; 4533          </v>
          </cell>
          <cell r="J252" t="str">
            <v xml:space="preserve">23098                         </v>
          </cell>
          <cell r="K252" t="str">
            <v>AERO CABIN SOLUTIONS</v>
          </cell>
          <cell r="L252" t="str">
            <v>FDE</v>
          </cell>
          <cell r="M252">
            <v>45194</v>
          </cell>
          <cell r="N252" t="str">
            <v/>
          </cell>
          <cell r="O252">
            <v>60300</v>
          </cell>
          <cell r="P252">
            <v>0</v>
          </cell>
          <cell r="Q252">
            <v>45106.86</v>
          </cell>
          <cell r="R252">
            <v>37536.86</v>
          </cell>
          <cell r="S252">
            <v>0.22399485903814265</v>
          </cell>
          <cell r="T252">
            <v>0.42636815920398008</v>
          </cell>
          <cell r="U252">
            <v>293</v>
          </cell>
          <cell r="V252">
            <v>257.5</v>
          </cell>
          <cell r="W252">
            <v>0</v>
          </cell>
          <cell r="X252">
            <v>35.5</v>
          </cell>
          <cell r="Y252">
            <v>83.5</v>
          </cell>
          <cell r="Z252">
            <v>44.5</v>
          </cell>
          <cell r="AA252">
            <v>35000</v>
          </cell>
          <cell r="AB252">
            <v>11072.5</v>
          </cell>
          <cell r="AC252">
            <v>1686.25</v>
          </cell>
          <cell r="AD252">
            <v>0.6354642857142857</v>
          </cell>
          <cell r="AE252">
            <v>25300</v>
          </cell>
          <cell r="AF252">
            <v>34034.36</v>
          </cell>
          <cell r="AG252">
            <v>26464.36</v>
          </cell>
          <cell r="AH252">
            <v>7570</v>
          </cell>
          <cell r="AI252">
            <v>12020</v>
          </cell>
          <cell r="AJ252">
            <v>0</v>
          </cell>
          <cell r="AK252">
            <v>9130</v>
          </cell>
          <cell r="AL252">
            <v>9130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-0.34523162055335965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12650</v>
          </cell>
          <cell r="AZ252">
            <v>0</v>
          </cell>
          <cell r="BA252">
            <v>55110.151806436887</v>
          </cell>
          <cell r="BB252">
            <v>37536.86</v>
          </cell>
          <cell r="BC252">
            <v>9256.25</v>
          </cell>
          <cell r="BD252">
            <v>0.9139328657783895</v>
          </cell>
          <cell r="BE252">
            <v>0.20978441127694858</v>
          </cell>
          <cell r="BF252">
            <v>0</v>
          </cell>
          <cell r="BG252">
            <v>42460.151806436887</v>
          </cell>
          <cell r="BH252">
            <v>0</v>
          </cell>
          <cell r="BI252">
            <v>105</v>
          </cell>
          <cell r="BJ252">
            <v>0.9139328657783895</v>
          </cell>
          <cell r="BK252">
            <v>0</v>
          </cell>
          <cell r="BL252">
            <v>-366.5</v>
          </cell>
          <cell r="BM252">
            <v>0.30168828396378056</v>
          </cell>
          <cell r="BN252">
            <v>55110.151806436887</v>
          </cell>
          <cell r="BO252">
            <v>37536.86</v>
          </cell>
          <cell r="BP252">
            <v>17573.291806436886</v>
          </cell>
          <cell r="BQ252">
            <v>12650</v>
          </cell>
          <cell r="BR252">
            <v>18191.803523015966</v>
          </cell>
          <cell r="BS252">
            <v>13933.5</v>
          </cell>
          <cell r="BT252">
            <v>4258.3035230159658</v>
          </cell>
          <cell r="BU252">
            <v>0</v>
          </cell>
          <cell r="BV252">
            <v>0</v>
          </cell>
          <cell r="BX252">
            <v>5189.8481935631135</v>
          </cell>
          <cell r="BY252">
            <v>257.5</v>
          </cell>
          <cell r="BZ252">
            <v>0</v>
          </cell>
          <cell r="CA252">
            <v>26464.36</v>
          </cell>
        </row>
        <row r="253">
          <cell r="H253" t="str">
            <v>C233870</v>
          </cell>
          <cell r="I253" t="str">
            <v xml:space="preserve">F900 PILOT SEAT               </v>
          </cell>
          <cell r="J253" t="str">
            <v xml:space="preserve">23090                         </v>
          </cell>
          <cell r="K253" t="str">
            <v xml:space="preserve">SDA </v>
          </cell>
          <cell r="L253" t="str">
            <v>PNA</v>
          </cell>
          <cell r="M253">
            <v>45194</v>
          </cell>
          <cell r="N253">
            <v>45237</v>
          </cell>
          <cell r="O253">
            <v>3500</v>
          </cell>
          <cell r="P253">
            <v>0</v>
          </cell>
          <cell r="Q253">
            <v>1290</v>
          </cell>
          <cell r="R253">
            <v>1290</v>
          </cell>
          <cell r="S253">
            <v>0.63142857142857145</v>
          </cell>
          <cell r="T253">
            <v>0.59</v>
          </cell>
          <cell r="U253">
            <v>31</v>
          </cell>
          <cell r="V253">
            <v>30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3500</v>
          </cell>
          <cell r="AB253">
            <v>1290</v>
          </cell>
          <cell r="AC253">
            <v>0</v>
          </cell>
          <cell r="AD253">
            <v>0.63142857142857145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3500</v>
          </cell>
          <cell r="AZ253">
            <v>0</v>
          </cell>
          <cell r="BA253">
            <v>3500</v>
          </cell>
          <cell r="BB253">
            <v>1290</v>
          </cell>
          <cell r="BC253">
            <v>0</v>
          </cell>
          <cell r="BD253">
            <v>1</v>
          </cell>
          <cell r="BE253">
            <v>1</v>
          </cell>
          <cell r="BF253">
            <v>0</v>
          </cell>
          <cell r="BG253">
            <v>0</v>
          </cell>
          <cell r="BH253">
            <v>0</v>
          </cell>
          <cell r="BI253">
            <v>105</v>
          </cell>
          <cell r="BJ253">
            <v>1</v>
          </cell>
          <cell r="BK253">
            <v>0</v>
          </cell>
          <cell r="BL253">
            <v>0</v>
          </cell>
          <cell r="BM253">
            <v>0</v>
          </cell>
          <cell r="BN253">
            <v>3500</v>
          </cell>
          <cell r="BO253">
            <v>1290</v>
          </cell>
          <cell r="BP253">
            <v>2210</v>
          </cell>
          <cell r="BQ253">
            <v>3500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X253">
            <v>0</v>
          </cell>
          <cell r="BY253">
            <v>30</v>
          </cell>
          <cell r="BZ253">
            <v>0</v>
          </cell>
          <cell r="CA253">
            <v>0</v>
          </cell>
        </row>
        <row r="254">
          <cell r="H254" t="str">
            <v>C233871</v>
          </cell>
          <cell r="I254" t="str">
            <v xml:space="preserve">DOSSIER AE19126 AJOUT D'APPLI </v>
          </cell>
          <cell r="J254" t="str">
            <v xml:space="preserve">19126                         </v>
          </cell>
          <cell r="K254" t="str">
            <v>ROTOR TEAM</v>
          </cell>
          <cell r="L254" t="str">
            <v>LJA</v>
          </cell>
          <cell r="M254">
            <v>45180</v>
          </cell>
          <cell r="N254">
            <v>45187</v>
          </cell>
          <cell r="O254">
            <v>2100</v>
          </cell>
          <cell r="P254">
            <v>0</v>
          </cell>
          <cell r="Q254">
            <v>817</v>
          </cell>
          <cell r="R254">
            <v>817</v>
          </cell>
          <cell r="S254">
            <v>0.61095238095238091</v>
          </cell>
          <cell r="T254">
            <v>0.59</v>
          </cell>
          <cell r="U254">
            <v>20</v>
          </cell>
          <cell r="V254">
            <v>19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2100</v>
          </cell>
          <cell r="AB254">
            <v>817</v>
          </cell>
          <cell r="AC254">
            <v>0</v>
          </cell>
          <cell r="AD254">
            <v>0.61095238095238091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2100</v>
          </cell>
          <cell r="AZ254">
            <v>0</v>
          </cell>
          <cell r="BA254">
            <v>2100</v>
          </cell>
          <cell r="BB254">
            <v>817</v>
          </cell>
          <cell r="BC254">
            <v>0</v>
          </cell>
          <cell r="BD254">
            <v>1</v>
          </cell>
          <cell r="BE254">
            <v>1</v>
          </cell>
          <cell r="BF254">
            <v>0</v>
          </cell>
          <cell r="BG254">
            <v>0</v>
          </cell>
          <cell r="BH254">
            <v>0</v>
          </cell>
          <cell r="BI254">
            <v>105</v>
          </cell>
          <cell r="BJ254">
            <v>1</v>
          </cell>
          <cell r="BK254">
            <v>0</v>
          </cell>
          <cell r="BL254">
            <v>0</v>
          </cell>
          <cell r="BM254">
            <v>0</v>
          </cell>
          <cell r="BN254">
            <v>2100</v>
          </cell>
          <cell r="BO254">
            <v>817</v>
          </cell>
          <cell r="BP254">
            <v>1283</v>
          </cell>
          <cell r="BQ254">
            <v>2100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X254">
            <v>0</v>
          </cell>
          <cell r="BY254">
            <v>19</v>
          </cell>
          <cell r="BZ254">
            <v>0</v>
          </cell>
          <cell r="CA254">
            <v>0</v>
          </cell>
        </row>
        <row r="255">
          <cell r="H255" t="str">
            <v>C233873</v>
          </cell>
          <cell r="I255" t="str">
            <v xml:space="preserve">A320 MSN 4780 CAM REPLACEMENT </v>
          </cell>
          <cell r="J255" t="str">
            <v xml:space="preserve">                              </v>
          </cell>
          <cell r="K255" t="str">
            <v>AERO CABIN SOLUTIONS</v>
          </cell>
          <cell r="L255" t="str">
            <v>VGA</v>
          </cell>
          <cell r="M255">
            <v>45170</v>
          </cell>
          <cell r="N255">
            <v>45203</v>
          </cell>
          <cell r="O255">
            <v>11180</v>
          </cell>
          <cell r="P255">
            <v>0</v>
          </cell>
          <cell r="Q255">
            <v>9196</v>
          </cell>
          <cell r="R255">
            <v>9196</v>
          </cell>
          <cell r="S255">
            <v>0.17745974955277277</v>
          </cell>
          <cell r="T255">
            <v>0.23313953488372094</v>
          </cell>
          <cell r="U255">
            <v>9</v>
          </cell>
          <cell r="V255">
            <v>12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950</v>
          </cell>
          <cell r="AB255">
            <v>516</v>
          </cell>
          <cell r="AC255">
            <v>0</v>
          </cell>
          <cell r="AD255">
            <v>0.45684210526315794</v>
          </cell>
          <cell r="AE255">
            <v>10230</v>
          </cell>
          <cell r="AF255">
            <v>8680</v>
          </cell>
          <cell r="AG255">
            <v>8680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0.15151515151515149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11180</v>
          </cell>
          <cell r="AZ255">
            <v>0</v>
          </cell>
          <cell r="BA255">
            <v>11180</v>
          </cell>
          <cell r="BB255">
            <v>9196</v>
          </cell>
          <cell r="BC255">
            <v>0</v>
          </cell>
          <cell r="BD255">
            <v>1</v>
          </cell>
          <cell r="BE255">
            <v>1</v>
          </cell>
          <cell r="BF255">
            <v>0</v>
          </cell>
          <cell r="BG255">
            <v>0</v>
          </cell>
          <cell r="BH255">
            <v>0</v>
          </cell>
          <cell r="BI255">
            <v>105</v>
          </cell>
          <cell r="BJ255">
            <v>1</v>
          </cell>
          <cell r="BK255">
            <v>0</v>
          </cell>
          <cell r="BL255">
            <v>0</v>
          </cell>
          <cell r="BM255">
            <v>0</v>
          </cell>
          <cell r="BN255">
            <v>11180</v>
          </cell>
          <cell r="BO255">
            <v>9196</v>
          </cell>
          <cell r="BP255">
            <v>1984</v>
          </cell>
          <cell r="BQ255">
            <v>11180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X255">
            <v>0</v>
          </cell>
          <cell r="BY255">
            <v>12</v>
          </cell>
          <cell r="BZ255">
            <v>0</v>
          </cell>
          <cell r="CA255">
            <v>8680</v>
          </cell>
        </row>
        <row r="256">
          <cell r="H256" t="str">
            <v>C233874</v>
          </cell>
          <cell r="I256" t="str">
            <v xml:space="preserve">F8X-497 CARPET REPLACEMENT    </v>
          </cell>
          <cell r="J256" t="str">
            <v xml:space="preserve">23094                         </v>
          </cell>
          <cell r="K256" t="str">
            <v xml:space="preserve">DASSAULT AVIATION BUSINESS SERVICES </v>
          </cell>
          <cell r="L256" t="str">
            <v>PNA</v>
          </cell>
          <cell r="M256">
            <v>45183</v>
          </cell>
          <cell r="N256">
            <v>45237</v>
          </cell>
          <cell r="O256">
            <v>2000</v>
          </cell>
          <cell r="P256">
            <v>0</v>
          </cell>
          <cell r="Q256">
            <v>731</v>
          </cell>
          <cell r="R256">
            <v>731</v>
          </cell>
          <cell r="S256">
            <v>0.63450000000000006</v>
          </cell>
          <cell r="T256">
            <v>0.59</v>
          </cell>
          <cell r="U256">
            <v>18</v>
          </cell>
          <cell r="V256">
            <v>17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2000</v>
          </cell>
          <cell r="AB256">
            <v>731</v>
          </cell>
          <cell r="AC256">
            <v>0</v>
          </cell>
          <cell r="AD256">
            <v>0.63450000000000006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2000</v>
          </cell>
          <cell r="AZ256">
            <v>0</v>
          </cell>
          <cell r="BA256">
            <v>2000</v>
          </cell>
          <cell r="BB256">
            <v>731</v>
          </cell>
          <cell r="BC256">
            <v>0</v>
          </cell>
          <cell r="BD256">
            <v>1</v>
          </cell>
          <cell r="BE256">
            <v>1</v>
          </cell>
          <cell r="BF256">
            <v>0</v>
          </cell>
          <cell r="BG256">
            <v>0</v>
          </cell>
          <cell r="BH256">
            <v>0</v>
          </cell>
          <cell r="BI256">
            <v>105</v>
          </cell>
          <cell r="BJ256">
            <v>1</v>
          </cell>
          <cell r="BK256">
            <v>0</v>
          </cell>
          <cell r="BL256">
            <v>0</v>
          </cell>
          <cell r="BM256">
            <v>0</v>
          </cell>
          <cell r="BN256">
            <v>2000</v>
          </cell>
          <cell r="BO256">
            <v>731</v>
          </cell>
          <cell r="BP256">
            <v>1269</v>
          </cell>
          <cell r="BQ256">
            <v>2000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X256">
            <v>0</v>
          </cell>
          <cell r="BY256">
            <v>17</v>
          </cell>
          <cell r="BZ256">
            <v>0</v>
          </cell>
          <cell r="CA256">
            <v>0</v>
          </cell>
        </row>
        <row r="257">
          <cell r="H257" t="str">
            <v>C233877</v>
          </cell>
          <cell r="I257" t="str">
            <v xml:space="preserve">EL AL LIVERY SB FOR B777-200  </v>
          </cell>
          <cell r="J257" t="str">
            <v xml:space="preserve">                              </v>
          </cell>
          <cell r="K257" t="str">
            <v xml:space="preserve">ADHETEC SAS </v>
          </cell>
          <cell r="L257" t="str">
            <v>VGA</v>
          </cell>
          <cell r="M257">
            <v>45176</v>
          </cell>
          <cell r="N257">
            <v>45237</v>
          </cell>
          <cell r="O257">
            <v>6700</v>
          </cell>
          <cell r="P257">
            <v>0</v>
          </cell>
          <cell r="Q257">
            <v>3177.5</v>
          </cell>
          <cell r="R257">
            <v>3177.5</v>
          </cell>
          <cell r="S257">
            <v>0.52574626865671648</v>
          </cell>
          <cell r="T257">
            <v>0.59</v>
          </cell>
          <cell r="U257">
            <v>62.05</v>
          </cell>
          <cell r="V257">
            <v>48.5</v>
          </cell>
          <cell r="W257">
            <v>21</v>
          </cell>
          <cell r="X257">
            <v>0</v>
          </cell>
          <cell r="Y257">
            <v>0</v>
          </cell>
          <cell r="Z257">
            <v>0</v>
          </cell>
          <cell r="AA257">
            <v>6700</v>
          </cell>
          <cell r="AB257">
            <v>3177.5</v>
          </cell>
          <cell r="AC257">
            <v>0</v>
          </cell>
          <cell r="AD257">
            <v>0.52574626865671648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6700</v>
          </cell>
          <cell r="AZ257">
            <v>0</v>
          </cell>
          <cell r="BA257">
            <v>6700</v>
          </cell>
          <cell r="BB257">
            <v>3177.5</v>
          </cell>
          <cell r="BC257">
            <v>0</v>
          </cell>
          <cell r="BD257">
            <v>1</v>
          </cell>
          <cell r="BE257">
            <v>1</v>
          </cell>
          <cell r="BF257">
            <v>0</v>
          </cell>
          <cell r="BG257">
            <v>0</v>
          </cell>
          <cell r="BH257">
            <v>0</v>
          </cell>
          <cell r="BI257">
            <v>105</v>
          </cell>
          <cell r="BJ257">
            <v>1</v>
          </cell>
          <cell r="BK257">
            <v>0</v>
          </cell>
          <cell r="BL257">
            <v>0</v>
          </cell>
          <cell r="BM257">
            <v>0</v>
          </cell>
          <cell r="BN257">
            <v>6700</v>
          </cell>
          <cell r="BO257">
            <v>3177.5</v>
          </cell>
          <cell r="BP257">
            <v>3522.5</v>
          </cell>
          <cell r="BQ257">
            <v>6700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X257">
            <v>0</v>
          </cell>
          <cell r="BY257">
            <v>69.5</v>
          </cell>
          <cell r="BZ257">
            <v>21</v>
          </cell>
          <cell r="CA257">
            <v>0</v>
          </cell>
        </row>
        <row r="258">
          <cell r="H258" t="str">
            <v>C233880</v>
          </cell>
          <cell r="I258" t="str">
            <v xml:space="preserve">DOSSIER D'INSTALLATION TPH700 </v>
          </cell>
          <cell r="J258" t="str">
            <v xml:space="preserve">                              </v>
          </cell>
          <cell r="K258" t="str">
            <v xml:space="preserve">MBH </v>
          </cell>
          <cell r="L258" t="str">
            <v>LJA</v>
          </cell>
          <cell r="M258">
            <v>45177</v>
          </cell>
          <cell r="N258" t="str">
            <v/>
          </cell>
          <cell r="O258">
            <v>2650</v>
          </cell>
          <cell r="P258">
            <v>0</v>
          </cell>
          <cell r="Q258">
            <v>946</v>
          </cell>
          <cell r="R258">
            <v>946</v>
          </cell>
          <cell r="S258">
            <v>0.58924528301886792</v>
          </cell>
          <cell r="T258">
            <v>0.59</v>
          </cell>
          <cell r="U258">
            <v>25.238095238095237</v>
          </cell>
          <cell r="V258">
            <v>22</v>
          </cell>
          <cell r="W258">
            <v>0</v>
          </cell>
          <cell r="X258">
            <v>3</v>
          </cell>
          <cell r="Y258">
            <v>3</v>
          </cell>
          <cell r="Z258">
            <v>0</v>
          </cell>
          <cell r="AA258">
            <v>2650</v>
          </cell>
          <cell r="AB258">
            <v>946</v>
          </cell>
          <cell r="AC258">
            <v>142.5</v>
          </cell>
          <cell r="AD258">
            <v>0.58924528301886792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2303.0776297657326</v>
          </cell>
          <cell r="BB258">
            <v>946</v>
          </cell>
          <cell r="BC258">
            <v>142.5</v>
          </cell>
          <cell r="BD258">
            <v>0.86908589802480474</v>
          </cell>
          <cell r="BE258">
            <v>0</v>
          </cell>
          <cell r="BF258">
            <v>0</v>
          </cell>
          <cell r="BG258">
            <v>2303.0776297657326</v>
          </cell>
          <cell r="BH258">
            <v>0</v>
          </cell>
          <cell r="BI258">
            <v>105</v>
          </cell>
          <cell r="BJ258">
            <v>0.86908589802480474</v>
          </cell>
          <cell r="BK258">
            <v>0</v>
          </cell>
          <cell r="BL258">
            <v>0</v>
          </cell>
          <cell r="BM258">
            <v>0</v>
          </cell>
          <cell r="BN258">
            <v>2303.0776297657326</v>
          </cell>
          <cell r="BO258">
            <v>946</v>
          </cell>
          <cell r="BP258">
            <v>1357.0776297657326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X258">
            <v>346.92237023426742</v>
          </cell>
          <cell r="BY258">
            <v>22</v>
          </cell>
          <cell r="BZ258">
            <v>0</v>
          </cell>
          <cell r="CA258">
            <v>0</v>
          </cell>
        </row>
        <row r="259">
          <cell r="H259" t="str">
            <v>C233881</v>
          </cell>
          <cell r="I259" t="str">
            <v>INSTALLATION BOITIER BLUETOOTH</v>
          </cell>
          <cell r="J259" t="str">
            <v xml:space="preserve">                              </v>
          </cell>
          <cell r="K259" t="str">
            <v xml:space="preserve">MBH </v>
          </cell>
          <cell r="L259" t="str">
            <v>LJA</v>
          </cell>
          <cell r="M259">
            <v>45177</v>
          </cell>
          <cell r="N259" t="str">
            <v/>
          </cell>
          <cell r="O259">
            <v>3200</v>
          </cell>
          <cell r="P259">
            <v>0</v>
          </cell>
          <cell r="Q259">
            <v>1075</v>
          </cell>
          <cell r="R259">
            <v>1075</v>
          </cell>
          <cell r="S259">
            <v>0.58242187499999998</v>
          </cell>
          <cell r="T259">
            <v>0.59</v>
          </cell>
          <cell r="U259">
            <v>30.476190476190474</v>
          </cell>
          <cell r="V259">
            <v>25</v>
          </cell>
          <cell r="W259">
            <v>0</v>
          </cell>
          <cell r="X259">
            <v>5.5</v>
          </cell>
          <cell r="Y259">
            <v>5.5</v>
          </cell>
          <cell r="Z259">
            <v>0</v>
          </cell>
          <cell r="AA259">
            <v>3200</v>
          </cell>
          <cell r="AB259">
            <v>1075</v>
          </cell>
          <cell r="AC259">
            <v>261.25</v>
          </cell>
          <cell r="AD259">
            <v>0.58242187499999998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2574.3685687558464</v>
          </cell>
          <cell r="BB259">
            <v>1075</v>
          </cell>
          <cell r="BC259">
            <v>261.25</v>
          </cell>
          <cell r="BD259">
            <v>0.80449017773620202</v>
          </cell>
          <cell r="BE259">
            <v>0</v>
          </cell>
          <cell r="BF259">
            <v>0</v>
          </cell>
          <cell r="BG259">
            <v>2574.3685687558464</v>
          </cell>
          <cell r="BH259">
            <v>0</v>
          </cell>
          <cell r="BI259">
            <v>105</v>
          </cell>
          <cell r="BJ259">
            <v>0.80449017773620202</v>
          </cell>
          <cell r="BK259">
            <v>0</v>
          </cell>
          <cell r="BL259">
            <v>0</v>
          </cell>
          <cell r="BM259">
            <v>0</v>
          </cell>
          <cell r="BN259">
            <v>2574.3685687558464</v>
          </cell>
          <cell r="BO259">
            <v>1075</v>
          </cell>
          <cell r="BP259">
            <v>1499.3685687558464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X259">
            <v>625.63143124415365</v>
          </cell>
          <cell r="BY259">
            <v>25</v>
          </cell>
          <cell r="BZ259">
            <v>0</v>
          </cell>
          <cell r="CA259">
            <v>0</v>
          </cell>
        </row>
        <row r="260">
          <cell r="H260" t="str">
            <v>C233884</v>
          </cell>
          <cell r="I260" t="str">
            <v xml:space="preserve">OPTION 2                      </v>
          </cell>
          <cell r="J260" t="str">
            <v xml:space="preserve">                              </v>
          </cell>
          <cell r="K260" t="str">
            <v>AERO CABIN SOLUTIONS</v>
          </cell>
          <cell r="L260" t="str">
            <v>FDE</v>
          </cell>
          <cell r="M260">
            <v>45180</v>
          </cell>
          <cell r="N260">
            <v>45237</v>
          </cell>
          <cell r="O260">
            <v>7584</v>
          </cell>
          <cell r="P260">
            <v>0</v>
          </cell>
          <cell r="Q260">
            <v>5504</v>
          </cell>
          <cell r="R260">
            <v>5504</v>
          </cell>
          <cell r="S260">
            <v>0.27426160337552741</v>
          </cell>
          <cell r="T260">
            <v>0.27117088607594941</v>
          </cell>
          <cell r="U260">
            <v>12.5</v>
          </cell>
          <cell r="V260">
            <v>8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1384</v>
          </cell>
          <cell r="AB260">
            <v>344</v>
          </cell>
          <cell r="AC260">
            <v>0</v>
          </cell>
          <cell r="AD260">
            <v>0.75144508670520227</v>
          </cell>
          <cell r="AE260">
            <v>6200</v>
          </cell>
          <cell r="AF260">
            <v>5160</v>
          </cell>
          <cell r="AG260">
            <v>5160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0.16774193548387095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7584</v>
          </cell>
          <cell r="AZ260">
            <v>0</v>
          </cell>
          <cell r="BA260">
            <v>7584</v>
          </cell>
          <cell r="BB260">
            <v>5504</v>
          </cell>
          <cell r="BC260">
            <v>0</v>
          </cell>
          <cell r="BD260">
            <v>1</v>
          </cell>
          <cell r="BE260">
            <v>1</v>
          </cell>
          <cell r="BF260">
            <v>0</v>
          </cell>
          <cell r="BG260">
            <v>0</v>
          </cell>
          <cell r="BH260">
            <v>0</v>
          </cell>
          <cell r="BI260">
            <v>105</v>
          </cell>
          <cell r="BJ260">
            <v>1</v>
          </cell>
          <cell r="BK260">
            <v>0</v>
          </cell>
          <cell r="BL260">
            <v>0</v>
          </cell>
          <cell r="BM260">
            <v>0</v>
          </cell>
          <cell r="BN260">
            <v>7584</v>
          </cell>
          <cell r="BO260">
            <v>5504</v>
          </cell>
          <cell r="BP260">
            <v>2080</v>
          </cell>
          <cell r="BQ260">
            <v>7584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X260">
            <v>0</v>
          </cell>
          <cell r="BY260">
            <v>8</v>
          </cell>
          <cell r="BZ260">
            <v>0</v>
          </cell>
          <cell r="CA260">
            <v>5160</v>
          </cell>
        </row>
        <row r="261">
          <cell r="H261" t="str">
            <v>C233885</v>
          </cell>
          <cell r="I261" t="str">
            <v xml:space="preserve"> DOSSIER POUR INSTALLATION    </v>
          </cell>
          <cell r="J261" t="str">
            <v xml:space="preserve">                              </v>
          </cell>
          <cell r="K261" t="str">
            <v>BABCOCK MCS FRANCE</v>
          </cell>
          <cell r="L261" t="str">
            <v>LJA</v>
          </cell>
          <cell r="M261">
            <v>45181</v>
          </cell>
          <cell r="N261">
            <v>45237</v>
          </cell>
          <cell r="O261">
            <v>2850</v>
          </cell>
          <cell r="P261">
            <v>0</v>
          </cell>
          <cell r="Q261">
            <v>1247</v>
          </cell>
          <cell r="R261">
            <v>1247</v>
          </cell>
          <cell r="S261">
            <v>0.56245614035087721</v>
          </cell>
          <cell r="T261">
            <v>0.59</v>
          </cell>
          <cell r="U261">
            <v>27</v>
          </cell>
          <cell r="V261">
            <v>29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2850</v>
          </cell>
          <cell r="AB261">
            <v>1247</v>
          </cell>
          <cell r="AC261">
            <v>0</v>
          </cell>
          <cell r="AD261">
            <v>0.56245614035087721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2850</v>
          </cell>
          <cell r="BB261">
            <v>1247</v>
          </cell>
          <cell r="BC261">
            <v>0</v>
          </cell>
          <cell r="BD261">
            <v>1</v>
          </cell>
          <cell r="BE261">
            <v>0</v>
          </cell>
          <cell r="BF261">
            <v>0</v>
          </cell>
          <cell r="BG261">
            <v>2850</v>
          </cell>
          <cell r="BH261">
            <v>0</v>
          </cell>
          <cell r="BI261">
            <v>105</v>
          </cell>
          <cell r="BJ261">
            <v>1</v>
          </cell>
          <cell r="BK261">
            <v>0</v>
          </cell>
          <cell r="BL261">
            <v>0</v>
          </cell>
          <cell r="BM261">
            <v>0</v>
          </cell>
          <cell r="BN261">
            <v>2850</v>
          </cell>
          <cell r="BO261">
            <v>1247</v>
          </cell>
          <cell r="BP261">
            <v>1603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X261">
            <v>0</v>
          </cell>
          <cell r="BY261">
            <v>29</v>
          </cell>
          <cell r="BZ261">
            <v>0</v>
          </cell>
          <cell r="CA261">
            <v>0</v>
          </cell>
        </row>
        <row r="262">
          <cell r="H262" t="str">
            <v>C233886</v>
          </cell>
          <cell r="I262" t="str">
            <v xml:space="preserve">MODIFICATION DOSSIER AE17175  </v>
          </cell>
          <cell r="J262" t="str">
            <v xml:space="preserve">17175                         </v>
          </cell>
          <cell r="K262" t="str">
            <v>BABCOCK MCS FRANCE</v>
          </cell>
          <cell r="L262" t="str">
            <v>LJA</v>
          </cell>
          <cell r="M262">
            <v>45181</v>
          </cell>
          <cell r="N262">
            <v>45195</v>
          </cell>
          <cell r="O262">
            <v>2150</v>
          </cell>
          <cell r="P262">
            <v>0</v>
          </cell>
          <cell r="Q262">
            <v>860</v>
          </cell>
          <cell r="R262">
            <v>860</v>
          </cell>
          <cell r="S262">
            <v>0.6</v>
          </cell>
          <cell r="T262">
            <v>0.59</v>
          </cell>
          <cell r="U262">
            <v>20.476190476190474</v>
          </cell>
          <cell r="V262">
            <v>20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2150</v>
          </cell>
          <cell r="AB262">
            <v>860</v>
          </cell>
          <cell r="AC262">
            <v>0</v>
          </cell>
          <cell r="AD262">
            <v>0.6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2150</v>
          </cell>
          <cell r="AZ262">
            <v>0</v>
          </cell>
          <cell r="BA262">
            <v>2150</v>
          </cell>
          <cell r="BB262">
            <v>860</v>
          </cell>
          <cell r="BC262">
            <v>0</v>
          </cell>
          <cell r="BD262">
            <v>1</v>
          </cell>
          <cell r="BE262">
            <v>1</v>
          </cell>
          <cell r="BF262">
            <v>0</v>
          </cell>
          <cell r="BG262">
            <v>0</v>
          </cell>
          <cell r="BH262">
            <v>0</v>
          </cell>
          <cell r="BI262">
            <v>105</v>
          </cell>
          <cell r="BJ262">
            <v>1</v>
          </cell>
          <cell r="BK262">
            <v>0</v>
          </cell>
          <cell r="BL262">
            <v>0</v>
          </cell>
          <cell r="BM262">
            <v>0</v>
          </cell>
          <cell r="BN262">
            <v>2150</v>
          </cell>
          <cell r="BO262">
            <v>860</v>
          </cell>
          <cell r="BP262">
            <v>1290</v>
          </cell>
          <cell r="BQ262">
            <v>2150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X262">
            <v>0</v>
          </cell>
          <cell r="BY262">
            <v>20</v>
          </cell>
          <cell r="BZ262">
            <v>0</v>
          </cell>
          <cell r="CA262">
            <v>0</v>
          </cell>
        </row>
        <row r="263">
          <cell r="H263" t="str">
            <v>C233888</v>
          </cell>
          <cell r="I263" t="str">
            <v xml:space="preserve">LIVERY SB FOR B737SUNDOR      </v>
          </cell>
          <cell r="J263" t="str">
            <v xml:space="preserve">23106                         </v>
          </cell>
          <cell r="K263" t="str">
            <v xml:space="preserve">ADHETEC SAS </v>
          </cell>
          <cell r="L263" t="str">
            <v>VGA</v>
          </cell>
          <cell r="M263">
            <v>45208</v>
          </cell>
          <cell r="O263">
            <v>9900</v>
          </cell>
          <cell r="P263">
            <v>0</v>
          </cell>
          <cell r="Q263">
            <v>5255.5</v>
          </cell>
          <cell r="R263">
            <v>5255.5</v>
          </cell>
          <cell r="S263">
            <v>0.41396464646464648</v>
          </cell>
          <cell r="T263">
            <v>0.41981818181818181</v>
          </cell>
          <cell r="U263">
            <v>50</v>
          </cell>
          <cell r="V263">
            <v>38.5</v>
          </cell>
          <cell r="W263">
            <v>0</v>
          </cell>
          <cell r="X263">
            <v>11.5</v>
          </cell>
          <cell r="Y263">
            <v>21</v>
          </cell>
          <cell r="Z263">
            <v>9.5</v>
          </cell>
          <cell r="AA263">
            <v>5580</v>
          </cell>
          <cell r="AB263">
            <v>1655.5</v>
          </cell>
          <cell r="AC263">
            <v>546.25</v>
          </cell>
          <cell r="AD263">
            <v>0.60542114695340499</v>
          </cell>
          <cell r="AE263">
            <v>4320</v>
          </cell>
          <cell r="AF263">
            <v>3600</v>
          </cell>
          <cell r="AG263">
            <v>3600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0.16666666666666663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8967.8889990089192</v>
          </cell>
          <cell r="BB263">
            <v>5255.5</v>
          </cell>
          <cell r="BC263">
            <v>546.25</v>
          </cell>
          <cell r="BD263">
            <v>0.90584737363726464</v>
          </cell>
          <cell r="BE263">
            <v>0</v>
          </cell>
          <cell r="BF263">
            <v>0</v>
          </cell>
          <cell r="BG263">
            <v>8967.8889990089192</v>
          </cell>
          <cell r="BH263">
            <v>0</v>
          </cell>
          <cell r="BI263">
            <v>105</v>
          </cell>
          <cell r="BJ263">
            <v>0.90584737363726464</v>
          </cell>
          <cell r="BK263">
            <v>0</v>
          </cell>
          <cell r="BL263">
            <v>-42.75</v>
          </cell>
          <cell r="BM263">
            <v>7.6520656210624205E-2</v>
          </cell>
          <cell r="BN263">
            <v>8967.8889990089192</v>
          </cell>
          <cell r="BO263">
            <v>5255.5</v>
          </cell>
          <cell r="BP263">
            <v>3712.3889990089192</v>
          </cell>
          <cell r="BQ263">
            <v>0</v>
          </cell>
          <cell r="BR263">
            <v>757.5544964851797</v>
          </cell>
          <cell r="BS263">
            <v>408.5</v>
          </cell>
          <cell r="BT263">
            <v>349.0544964851797</v>
          </cell>
          <cell r="BU263">
            <v>0</v>
          </cell>
          <cell r="BV263">
            <v>0</v>
          </cell>
          <cell r="BX263">
            <v>932.1110009910808</v>
          </cell>
          <cell r="BY263">
            <v>38.5</v>
          </cell>
          <cell r="BZ263">
            <v>0</v>
          </cell>
          <cell r="CA263">
            <v>3600</v>
          </cell>
        </row>
        <row r="264">
          <cell r="H264" t="str">
            <v>C233890</v>
          </cell>
          <cell r="I264" t="str">
            <v xml:space="preserve">MODIFICATION DOSSIER AE21161  </v>
          </cell>
          <cell r="J264" t="str">
            <v xml:space="preserve">21161                         </v>
          </cell>
          <cell r="K264" t="str">
            <v>HELICOCEAN</v>
          </cell>
          <cell r="L264" t="str">
            <v>LJA</v>
          </cell>
          <cell r="M264">
            <v>45217</v>
          </cell>
          <cell r="N264">
            <v>45260</v>
          </cell>
          <cell r="O264">
            <v>1370</v>
          </cell>
          <cell r="P264">
            <v>0</v>
          </cell>
          <cell r="Q264">
            <v>645</v>
          </cell>
          <cell r="R264">
            <v>645</v>
          </cell>
          <cell r="S264">
            <v>0.52919708029197077</v>
          </cell>
          <cell r="T264">
            <v>0.59</v>
          </cell>
          <cell r="U264">
            <v>13</v>
          </cell>
          <cell r="V264">
            <v>15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1370</v>
          </cell>
          <cell r="AB264">
            <v>645</v>
          </cell>
          <cell r="AC264">
            <v>0</v>
          </cell>
          <cell r="AD264">
            <v>0.52919708029197077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1370</v>
          </cell>
          <cell r="AZ264">
            <v>0</v>
          </cell>
          <cell r="BA264">
            <v>1370</v>
          </cell>
          <cell r="BB264">
            <v>645</v>
          </cell>
          <cell r="BC264">
            <v>0</v>
          </cell>
          <cell r="BD264">
            <v>1</v>
          </cell>
          <cell r="BE264">
            <v>1</v>
          </cell>
          <cell r="BF264">
            <v>0</v>
          </cell>
          <cell r="BG264">
            <v>0</v>
          </cell>
          <cell r="BH264">
            <v>0</v>
          </cell>
          <cell r="BI264">
            <v>105</v>
          </cell>
          <cell r="BJ264">
            <v>1</v>
          </cell>
          <cell r="BK264">
            <v>0</v>
          </cell>
          <cell r="BL264">
            <v>0</v>
          </cell>
          <cell r="BM264">
            <v>0</v>
          </cell>
          <cell r="BN264">
            <v>1370</v>
          </cell>
          <cell r="BO264">
            <v>645</v>
          </cell>
          <cell r="BP264">
            <v>725</v>
          </cell>
          <cell r="BQ264">
            <v>1370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X264">
            <v>0</v>
          </cell>
          <cell r="BY264">
            <v>15</v>
          </cell>
          <cell r="BZ264">
            <v>0</v>
          </cell>
          <cell r="CA264">
            <v>0</v>
          </cell>
        </row>
        <row r="265">
          <cell r="H265" t="str">
            <v>C233892</v>
          </cell>
          <cell r="I265" t="str">
            <v xml:space="preserve">F900C-194 BELTS REPLACEMENT   </v>
          </cell>
          <cell r="J265" t="str">
            <v xml:space="preserve">                              </v>
          </cell>
          <cell r="K265" t="str">
            <v xml:space="preserve">DASSAULT AVIATION BUSINESS SERVICES </v>
          </cell>
          <cell r="L265" t="str">
            <v>FDE</v>
          </cell>
          <cell r="M265">
            <v>45184</v>
          </cell>
          <cell r="N265">
            <v>45203</v>
          </cell>
          <cell r="O265">
            <v>3200</v>
          </cell>
          <cell r="P265">
            <v>0</v>
          </cell>
          <cell r="Q265">
            <v>1204</v>
          </cell>
          <cell r="R265">
            <v>1204</v>
          </cell>
          <cell r="S265">
            <v>0.62375000000000003</v>
          </cell>
          <cell r="T265">
            <v>0.59</v>
          </cell>
          <cell r="U265">
            <v>29.04</v>
          </cell>
          <cell r="V265">
            <v>28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3200</v>
          </cell>
          <cell r="AB265">
            <v>1204</v>
          </cell>
          <cell r="AC265">
            <v>0</v>
          </cell>
          <cell r="AD265">
            <v>0.62375000000000003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3200</v>
          </cell>
          <cell r="AZ265">
            <v>0</v>
          </cell>
          <cell r="BA265">
            <v>3200</v>
          </cell>
          <cell r="BB265">
            <v>1204</v>
          </cell>
          <cell r="BC265">
            <v>0</v>
          </cell>
          <cell r="BD265">
            <v>1</v>
          </cell>
          <cell r="BE265">
            <v>1</v>
          </cell>
          <cell r="BF265">
            <v>0</v>
          </cell>
          <cell r="BG265">
            <v>0</v>
          </cell>
          <cell r="BH265">
            <v>0</v>
          </cell>
          <cell r="BI265">
            <v>105</v>
          </cell>
          <cell r="BJ265">
            <v>1</v>
          </cell>
          <cell r="BK265">
            <v>0</v>
          </cell>
          <cell r="BL265">
            <v>0</v>
          </cell>
          <cell r="BM265">
            <v>0</v>
          </cell>
          <cell r="BN265">
            <v>3200</v>
          </cell>
          <cell r="BO265">
            <v>1204</v>
          </cell>
          <cell r="BP265">
            <v>1996</v>
          </cell>
          <cell r="BQ265">
            <v>3200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X265">
            <v>0</v>
          </cell>
          <cell r="BY265">
            <v>28</v>
          </cell>
          <cell r="BZ265">
            <v>0</v>
          </cell>
          <cell r="CA265">
            <v>0</v>
          </cell>
        </row>
        <row r="266">
          <cell r="H266" t="str">
            <v>C233896</v>
          </cell>
          <cell r="I266" t="str">
            <v>AMENDEMENT AU SERVICE BULLETIN</v>
          </cell>
          <cell r="J266" t="str">
            <v xml:space="preserve">                              </v>
          </cell>
          <cell r="K266" t="str">
            <v xml:space="preserve">CORSAIR </v>
          </cell>
          <cell r="L266" t="str">
            <v>VGA</v>
          </cell>
          <cell r="M266">
            <v>45188</v>
          </cell>
          <cell r="N266">
            <v>45237</v>
          </cell>
          <cell r="O266">
            <v>800</v>
          </cell>
          <cell r="P266">
            <v>0</v>
          </cell>
          <cell r="Q266">
            <v>322.5</v>
          </cell>
          <cell r="R266">
            <v>322.5</v>
          </cell>
          <cell r="S266">
            <v>0.59687500000000004</v>
          </cell>
          <cell r="T266">
            <v>0.59</v>
          </cell>
          <cell r="U266">
            <v>7</v>
          </cell>
          <cell r="V266">
            <v>7.5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800</v>
          </cell>
          <cell r="AB266">
            <v>322.5</v>
          </cell>
          <cell r="AC266">
            <v>0</v>
          </cell>
          <cell r="AD266">
            <v>0.59687500000000004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800</v>
          </cell>
          <cell r="AZ266">
            <v>0</v>
          </cell>
          <cell r="BA266">
            <v>800</v>
          </cell>
          <cell r="BB266">
            <v>322.5</v>
          </cell>
          <cell r="BC266">
            <v>0</v>
          </cell>
          <cell r="BD266">
            <v>1</v>
          </cell>
          <cell r="BE266">
            <v>1</v>
          </cell>
          <cell r="BF266">
            <v>0</v>
          </cell>
          <cell r="BG266">
            <v>0</v>
          </cell>
          <cell r="BH266">
            <v>0</v>
          </cell>
          <cell r="BI266">
            <v>105</v>
          </cell>
          <cell r="BJ266">
            <v>1</v>
          </cell>
          <cell r="BK266">
            <v>0</v>
          </cell>
          <cell r="BL266">
            <v>0</v>
          </cell>
          <cell r="BM266">
            <v>0</v>
          </cell>
          <cell r="BN266">
            <v>800</v>
          </cell>
          <cell r="BO266">
            <v>322.5</v>
          </cell>
          <cell r="BP266">
            <v>477.5</v>
          </cell>
          <cell r="BQ266">
            <v>800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X266">
            <v>0</v>
          </cell>
          <cell r="BY266">
            <v>7.5</v>
          </cell>
          <cell r="BZ266">
            <v>0</v>
          </cell>
          <cell r="CA266">
            <v>0</v>
          </cell>
        </row>
        <row r="267">
          <cell r="H267" t="str">
            <v>C233901</v>
          </cell>
          <cell r="I267" t="str">
            <v xml:space="preserve">EMISSION PERMIT TO FLY        </v>
          </cell>
          <cell r="J267" t="str">
            <v xml:space="preserve">                              </v>
          </cell>
          <cell r="K267" t="str">
            <v>LMO FLY DYNAMICS DEVELOPMENT</v>
          </cell>
          <cell r="L267" t="str">
            <v>PRO</v>
          </cell>
          <cell r="M267">
            <v>45203</v>
          </cell>
          <cell r="N267">
            <v>45237</v>
          </cell>
          <cell r="O267">
            <v>2500</v>
          </cell>
          <cell r="P267">
            <v>0</v>
          </cell>
          <cell r="Q267">
            <v>752.5</v>
          </cell>
          <cell r="R267">
            <v>752.5</v>
          </cell>
          <cell r="S267">
            <v>0.69900000000000007</v>
          </cell>
          <cell r="T267">
            <v>0.59</v>
          </cell>
          <cell r="U267">
            <v>22</v>
          </cell>
          <cell r="V267">
            <v>17.5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2500</v>
          </cell>
          <cell r="AB267">
            <v>752.5</v>
          </cell>
          <cell r="AC267">
            <v>0</v>
          </cell>
          <cell r="AD267">
            <v>0.69900000000000007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2500</v>
          </cell>
          <cell r="AZ267">
            <v>0</v>
          </cell>
          <cell r="BA267">
            <v>2500</v>
          </cell>
          <cell r="BB267">
            <v>752.5</v>
          </cell>
          <cell r="BC267">
            <v>0</v>
          </cell>
          <cell r="BD267">
            <v>1</v>
          </cell>
          <cell r="BE267">
            <v>1</v>
          </cell>
          <cell r="BF267">
            <v>0</v>
          </cell>
          <cell r="BG267">
            <v>0</v>
          </cell>
          <cell r="BH267">
            <v>0</v>
          </cell>
          <cell r="BI267">
            <v>105</v>
          </cell>
          <cell r="BJ267">
            <v>1</v>
          </cell>
          <cell r="BK267">
            <v>0</v>
          </cell>
          <cell r="BL267">
            <v>0</v>
          </cell>
          <cell r="BM267">
            <v>0</v>
          </cell>
          <cell r="BN267">
            <v>2500</v>
          </cell>
          <cell r="BO267">
            <v>752.5</v>
          </cell>
          <cell r="BP267">
            <v>1747.5</v>
          </cell>
          <cell r="BQ267">
            <v>2500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X267">
            <v>0</v>
          </cell>
          <cell r="BY267">
            <v>17.5</v>
          </cell>
          <cell r="BZ267">
            <v>0</v>
          </cell>
          <cell r="CA267">
            <v>0</v>
          </cell>
        </row>
        <row r="268">
          <cell r="H268" t="str">
            <v>C233902</v>
          </cell>
          <cell r="I268" t="str">
            <v xml:space="preserve">AJOUT D'APPLICABILITÉ AE17173 </v>
          </cell>
          <cell r="J268" t="str">
            <v xml:space="preserve">17173                         </v>
          </cell>
          <cell r="K268" t="str">
            <v>BABCOCK MCS FRANCE</v>
          </cell>
          <cell r="L268" t="str">
            <v>LJA</v>
          </cell>
          <cell r="M268">
            <v>45191</v>
          </cell>
          <cell r="N268">
            <v>45205</v>
          </cell>
          <cell r="O268">
            <v>700</v>
          </cell>
          <cell r="P268">
            <v>0</v>
          </cell>
          <cell r="Q268">
            <v>258</v>
          </cell>
          <cell r="R268">
            <v>258</v>
          </cell>
          <cell r="S268">
            <v>0.63142857142857145</v>
          </cell>
          <cell r="T268">
            <v>0.59</v>
          </cell>
          <cell r="U268">
            <v>6.5</v>
          </cell>
          <cell r="V268">
            <v>6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700</v>
          </cell>
          <cell r="AB268">
            <v>258</v>
          </cell>
          <cell r="AC268">
            <v>0</v>
          </cell>
          <cell r="AD268">
            <v>0.63142857142857145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700</v>
          </cell>
          <cell r="AZ268">
            <v>0</v>
          </cell>
          <cell r="BA268">
            <v>700</v>
          </cell>
          <cell r="BB268">
            <v>258</v>
          </cell>
          <cell r="BC268">
            <v>0</v>
          </cell>
          <cell r="BD268">
            <v>1</v>
          </cell>
          <cell r="BE268">
            <v>1</v>
          </cell>
          <cell r="BF268">
            <v>0</v>
          </cell>
          <cell r="BG268">
            <v>0</v>
          </cell>
          <cell r="BH268">
            <v>0</v>
          </cell>
          <cell r="BI268">
            <v>105</v>
          </cell>
          <cell r="BJ268">
            <v>1</v>
          </cell>
          <cell r="BK268">
            <v>0</v>
          </cell>
          <cell r="BL268">
            <v>0</v>
          </cell>
          <cell r="BM268">
            <v>0</v>
          </cell>
          <cell r="BN268">
            <v>700</v>
          </cell>
          <cell r="BO268">
            <v>258</v>
          </cell>
          <cell r="BP268">
            <v>442</v>
          </cell>
          <cell r="BQ268">
            <v>700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X268">
            <v>0</v>
          </cell>
          <cell r="BY268">
            <v>6</v>
          </cell>
          <cell r="BZ268">
            <v>0</v>
          </cell>
          <cell r="CA268">
            <v>0</v>
          </cell>
        </row>
        <row r="269">
          <cell r="H269" t="str">
            <v>C233905</v>
          </cell>
          <cell r="I269" t="str">
            <v xml:space="preserve">A320 MSN 4533 G1 &amp; G5         </v>
          </cell>
          <cell r="J269" t="str">
            <v xml:space="preserve">23099                         </v>
          </cell>
          <cell r="K269" t="str">
            <v>AERO CABIN SOLUTIONS</v>
          </cell>
          <cell r="L269" t="str">
            <v>FDE</v>
          </cell>
          <cell r="M269">
            <v>45195</v>
          </cell>
          <cell r="N269" t="str">
            <v/>
          </cell>
          <cell r="O269">
            <v>16500</v>
          </cell>
          <cell r="P269">
            <v>0</v>
          </cell>
          <cell r="Q269">
            <v>11787.099999999999</v>
          </cell>
          <cell r="R269">
            <v>3980.5</v>
          </cell>
          <cell r="S269">
            <v>0.57883333333333331</v>
          </cell>
          <cell r="T269">
            <v>0.59</v>
          </cell>
          <cell r="U269">
            <v>149</v>
          </cell>
          <cell r="V269">
            <v>57.5</v>
          </cell>
          <cell r="W269">
            <v>29</v>
          </cell>
          <cell r="X269">
            <v>62.5</v>
          </cell>
          <cell r="Y269">
            <v>89.5</v>
          </cell>
          <cell r="Z269">
            <v>27</v>
          </cell>
          <cell r="AA269">
            <v>16500</v>
          </cell>
          <cell r="AB269">
            <v>3980.5</v>
          </cell>
          <cell r="AC269">
            <v>2968.75</v>
          </cell>
          <cell r="AD269">
            <v>0.57883333333333331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7806.5999999999995</v>
          </cell>
          <cell r="AN269">
            <v>0</v>
          </cell>
          <cell r="AO269">
            <v>-7806.5999999999995</v>
          </cell>
          <cell r="AP269">
            <v>0</v>
          </cell>
          <cell r="AQ269">
            <v>7806.5999999999995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9451.1278195488721</v>
          </cell>
          <cell r="BB269">
            <v>3980.5</v>
          </cell>
          <cell r="BC269">
            <v>2968.75</v>
          </cell>
          <cell r="BD269">
            <v>0.57279562542720441</v>
          </cell>
          <cell r="BE269">
            <v>0</v>
          </cell>
          <cell r="BF269">
            <v>0</v>
          </cell>
          <cell r="BG269">
            <v>9451.1278195488721</v>
          </cell>
          <cell r="BH269">
            <v>0</v>
          </cell>
          <cell r="BI269">
            <v>105</v>
          </cell>
          <cell r="BJ269">
            <v>0.57279562542720441</v>
          </cell>
          <cell r="BK269">
            <v>0</v>
          </cell>
          <cell r="BL269">
            <v>40.5</v>
          </cell>
          <cell r="BM269">
            <v>0.18813848773948955</v>
          </cell>
          <cell r="BN269">
            <v>9451.1278195488721</v>
          </cell>
          <cell r="BO269">
            <v>3980.5</v>
          </cell>
          <cell r="BP269">
            <v>5470.6278195488721</v>
          </cell>
          <cell r="BQ269">
            <v>0</v>
          </cell>
          <cell r="BR269">
            <v>3104.2850477015772</v>
          </cell>
          <cell r="BS269">
            <v>1323</v>
          </cell>
          <cell r="BT269">
            <v>1781.2850477015772</v>
          </cell>
          <cell r="BU269">
            <v>0</v>
          </cell>
          <cell r="BV269">
            <v>0</v>
          </cell>
          <cell r="BX269">
            <v>7048.8721804511279</v>
          </cell>
          <cell r="BY269">
            <v>86.5</v>
          </cell>
          <cell r="BZ269">
            <v>29</v>
          </cell>
          <cell r="CA269">
            <v>0</v>
          </cell>
        </row>
        <row r="270">
          <cell r="H270" t="str">
            <v>C233909</v>
          </cell>
          <cell r="I270" t="str">
            <v xml:space="preserve">DEVELOPPEMENT SB              </v>
          </cell>
          <cell r="J270" t="str">
            <v xml:space="preserve">23101                         </v>
          </cell>
          <cell r="K270" t="str">
            <v xml:space="preserve">DASSAULT AVIATION BUSINESS SERVICES </v>
          </cell>
          <cell r="L270" t="str">
            <v>PNA</v>
          </cell>
          <cell r="M270">
            <v>45198</v>
          </cell>
          <cell r="N270">
            <v>45237</v>
          </cell>
          <cell r="O270">
            <v>1800</v>
          </cell>
          <cell r="P270">
            <v>0</v>
          </cell>
          <cell r="Q270">
            <v>688</v>
          </cell>
          <cell r="R270">
            <v>688</v>
          </cell>
          <cell r="S270">
            <v>0.61777777777777776</v>
          </cell>
          <cell r="T270">
            <v>0.59</v>
          </cell>
          <cell r="U270">
            <v>16</v>
          </cell>
          <cell r="V270">
            <v>16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1800</v>
          </cell>
          <cell r="AB270">
            <v>688</v>
          </cell>
          <cell r="AC270">
            <v>0</v>
          </cell>
          <cell r="AD270">
            <v>0.61777777777777776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1800</v>
          </cell>
          <cell r="AZ270">
            <v>0</v>
          </cell>
          <cell r="BA270">
            <v>1800</v>
          </cell>
          <cell r="BB270">
            <v>688</v>
          </cell>
          <cell r="BC270">
            <v>0</v>
          </cell>
          <cell r="BD270">
            <v>1</v>
          </cell>
          <cell r="BE270">
            <v>1</v>
          </cell>
          <cell r="BF270">
            <v>0</v>
          </cell>
          <cell r="BG270">
            <v>0</v>
          </cell>
          <cell r="BH270">
            <v>0</v>
          </cell>
          <cell r="BI270">
            <v>105</v>
          </cell>
          <cell r="BJ270">
            <v>1</v>
          </cell>
          <cell r="BK270">
            <v>0</v>
          </cell>
          <cell r="BL270">
            <v>0</v>
          </cell>
          <cell r="BM270">
            <v>0</v>
          </cell>
          <cell r="BN270">
            <v>1800</v>
          </cell>
          <cell r="BO270">
            <v>688</v>
          </cell>
          <cell r="BP270">
            <v>1112</v>
          </cell>
          <cell r="BQ270">
            <v>1800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X270">
            <v>0</v>
          </cell>
          <cell r="BY270">
            <v>16</v>
          </cell>
          <cell r="BZ270">
            <v>0</v>
          </cell>
          <cell r="CA270">
            <v>0</v>
          </cell>
        </row>
        <row r="271">
          <cell r="H271" t="str">
            <v>C233914</v>
          </cell>
          <cell r="I271" t="str">
            <v xml:space="preserve">PROVISION TPH700 BK117D2      </v>
          </cell>
          <cell r="J271" t="str">
            <v xml:space="preserve">                              </v>
          </cell>
          <cell r="K271" t="str">
            <v>BABCOCK MCS FRANCE</v>
          </cell>
          <cell r="L271" t="str">
            <v>LJA</v>
          </cell>
          <cell r="M271">
            <v>45204</v>
          </cell>
          <cell r="N271">
            <v>45260</v>
          </cell>
          <cell r="O271">
            <v>4410</v>
          </cell>
          <cell r="P271">
            <v>0</v>
          </cell>
          <cell r="Q271">
            <v>2322</v>
          </cell>
          <cell r="R271">
            <v>2322</v>
          </cell>
          <cell r="S271">
            <v>0.47346938775510206</v>
          </cell>
          <cell r="T271">
            <v>0.59</v>
          </cell>
          <cell r="U271">
            <v>42</v>
          </cell>
          <cell r="V271">
            <v>54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4410</v>
          </cell>
          <cell r="AB271">
            <v>2322</v>
          </cell>
          <cell r="AC271">
            <v>0</v>
          </cell>
          <cell r="AD271">
            <v>0.47346938775510206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4410</v>
          </cell>
          <cell r="AZ271">
            <v>0</v>
          </cell>
          <cell r="BA271">
            <v>4410</v>
          </cell>
          <cell r="BB271">
            <v>2322</v>
          </cell>
          <cell r="BC271">
            <v>0</v>
          </cell>
          <cell r="BD271">
            <v>1</v>
          </cell>
          <cell r="BE271">
            <v>1</v>
          </cell>
          <cell r="BF271">
            <v>0</v>
          </cell>
          <cell r="BG271">
            <v>0</v>
          </cell>
          <cell r="BH271">
            <v>0</v>
          </cell>
          <cell r="BI271">
            <v>105</v>
          </cell>
          <cell r="BJ271">
            <v>1</v>
          </cell>
          <cell r="BK271">
            <v>0</v>
          </cell>
          <cell r="BL271">
            <v>0</v>
          </cell>
          <cell r="BM271">
            <v>0</v>
          </cell>
          <cell r="BN271">
            <v>4410</v>
          </cell>
          <cell r="BO271">
            <v>2322</v>
          </cell>
          <cell r="BP271">
            <v>2088</v>
          </cell>
          <cell r="BQ271">
            <v>4410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X271">
            <v>0</v>
          </cell>
          <cell r="BY271">
            <v>54</v>
          </cell>
          <cell r="BZ271">
            <v>0</v>
          </cell>
          <cell r="CA271">
            <v>0</v>
          </cell>
        </row>
        <row r="272">
          <cell r="H272" t="str">
            <v>C233917</v>
          </cell>
          <cell r="I272" t="str">
            <v xml:space="preserve">DOSSIER MINEUR                </v>
          </cell>
          <cell r="J272" t="str">
            <v xml:space="preserve">23108                         </v>
          </cell>
          <cell r="K272" t="str">
            <v xml:space="preserve">NOVESPACE </v>
          </cell>
          <cell r="L272" t="str">
            <v>TBI</v>
          </cell>
          <cell r="M272">
            <v>45215</v>
          </cell>
          <cell r="N272" t="str">
            <v/>
          </cell>
          <cell r="O272">
            <v>5760</v>
          </cell>
          <cell r="P272">
            <v>0</v>
          </cell>
          <cell r="Q272">
            <v>3664.14</v>
          </cell>
          <cell r="R272">
            <v>2844.855</v>
          </cell>
          <cell r="S272">
            <v>0.35561805555555559</v>
          </cell>
          <cell r="T272">
            <v>0.30156250000000001</v>
          </cell>
          <cell r="U272">
            <v>10</v>
          </cell>
          <cell r="V272">
            <v>9</v>
          </cell>
          <cell r="W272">
            <v>0</v>
          </cell>
          <cell r="X272">
            <v>1</v>
          </cell>
          <cell r="Y272">
            <v>1</v>
          </cell>
          <cell r="Z272">
            <v>0</v>
          </cell>
          <cell r="AA272">
            <v>1500</v>
          </cell>
          <cell r="AB272">
            <v>387</v>
          </cell>
          <cell r="AC272">
            <v>47.5</v>
          </cell>
          <cell r="AD272">
            <v>0.71033333333333326</v>
          </cell>
          <cell r="AE272">
            <v>4260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3277.14</v>
          </cell>
          <cell r="AN272">
            <v>2457.855</v>
          </cell>
          <cell r="AO272">
            <v>0</v>
          </cell>
          <cell r="AP272">
            <v>0</v>
          </cell>
          <cell r="AQ272">
            <v>3277.14</v>
          </cell>
          <cell r="AR272">
            <v>0.23071830985915498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4414.8583375542885</v>
          </cell>
          <cell r="BB272">
            <v>2844.855</v>
          </cell>
          <cell r="BC272">
            <v>866.78499999999985</v>
          </cell>
          <cell r="BD272">
            <v>0.76646846138095293</v>
          </cell>
          <cell r="BE272">
            <v>0</v>
          </cell>
          <cell r="BF272">
            <v>0</v>
          </cell>
          <cell r="BG272">
            <v>4414.8583375542885</v>
          </cell>
          <cell r="BH272">
            <v>0</v>
          </cell>
          <cell r="BI272">
            <v>105</v>
          </cell>
          <cell r="BJ272">
            <v>0.76646846138095293</v>
          </cell>
          <cell r="BK272">
            <v>0</v>
          </cell>
          <cell r="BL272">
            <v>0</v>
          </cell>
          <cell r="BM272">
            <v>0</v>
          </cell>
          <cell r="BN272">
            <v>4414.8583375542885</v>
          </cell>
          <cell r="BO272">
            <v>2844.855</v>
          </cell>
          <cell r="BP272">
            <v>1570.0033375542885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X272">
            <v>1345.1416624457115</v>
          </cell>
          <cell r="BY272">
            <v>9</v>
          </cell>
          <cell r="BZ272">
            <v>0</v>
          </cell>
          <cell r="CA272">
            <v>0</v>
          </cell>
        </row>
        <row r="273">
          <cell r="H273" t="str">
            <v>C233918</v>
          </cell>
          <cell r="I273" t="str">
            <v xml:space="preserve">RAJOUT SB-01 DOSSIER AE17175  </v>
          </cell>
          <cell r="J273" t="str">
            <v xml:space="preserve">17175                         </v>
          </cell>
          <cell r="K273" t="str">
            <v>BABCOCK MCS FRANCE</v>
          </cell>
          <cell r="L273" t="str">
            <v>LJA</v>
          </cell>
          <cell r="M273">
            <v>45209</v>
          </cell>
          <cell r="N273">
            <v>45260</v>
          </cell>
          <cell r="O273">
            <v>900</v>
          </cell>
          <cell r="P273">
            <v>0</v>
          </cell>
          <cell r="Q273">
            <v>301</v>
          </cell>
          <cell r="R273">
            <v>301</v>
          </cell>
          <cell r="S273">
            <v>0.66555555555555557</v>
          </cell>
          <cell r="T273">
            <v>0.59</v>
          </cell>
          <cell r="U273">
            <v>8.5</v>
          </cell>
          <cell r="V273">
            <v>7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900</v>
          </cell>
          <cell r="AB273">
            <v>301</v>
          </cell>
          <cell r="AC273">
            <v>0</v>
          </cell>
          <cell r="AD273">
            <v>0.66555555555555557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900</v>
          </cell>
          <cell r="BB273">
            <v>301</v>
          </cell>
          <cell r="BC273">
            <v>0</v>
          </cell>
          <cell r="BD273">
            <v>1</v>
          </cell>
          <cell r="BE273">
            <v>0</v>
          </cell>
          <cell r="BF273">
            <v>0</v>
          </cell>
          <cell r="BG273">
            <v>900</v>
          </cell>
          <cell r="BH273">
            <v>0</v>
          </cell>
          <cell r="BI273">
            <v>105</v>
          </cell>
          <cell r="BJ273">
            <v>1</v>
          </cell>
          <cell r="BK273">
            <v>0</v>
          </cell>
          <cell r="BL273">
            <v>0</v>
          </cell>
          <cell r="BM273">
            <v>0</v>
          </cell>
          <cell r="BN273">
            <v>900</v>
          </cell>
          <cell r="BO273">
            <v>301</v>
          </cell>
          <cell r="BP273">
            <v>599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X273">
            <v>0</v>
          </cell>
          <cell r="BY273">
            <v>7</v>
          </cell>
          <cell r="BZ273">
            <v>0</v>
          </cell>
          <cell r="CA273">
            <v>0</v>
          </cell>
        </row>
        <row r="274">
          <cell r="H274" t="str">
            <v>C233919</v>
          </cell>
          <cell r="I274" t="str">
            <v xml:space="preserve">AJOUT D'APPLICABILITE AE22115 </v>
          </cell>
          <cell r="J274" t="str">
            <v xml:space="preserve">                              </v>
          </cell>
          <cell r="K274" t="str">
            <v>ROTOR TEAM</v>
          </cell>
          <cell r="L274" t="str">
            <v>LJA</v>
          </cell>
          <cell r="M274">
            <v>45210</v>
          </cell>
          <cell r="N274">
            <v>45260</v>
          </cell>
          <cell r="O274">
            <v>1200</v>
          </cell>
          <cell r="P274">
            <v>0</v>
          </cell>
          <cell r="Q274">
            <v>215</v>
          </cell>
          <cell r="R274">
            <v>215</v>
          </cell>
          <cell r="S274">
            <v>0.8208333333333333</v>
          </cell>
          <cell r="T274">
            <v>0.59</v>
          </cell>
          <cell r="U274">
            <v>11</v>
          </cell>
          <cell r="V274">
            <v>5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1200</v>
          </cell>
          <cell r="AB274">
            <v>215</v>
          </cell>
          <cell r="AC274">
            <v>0</v>
          </cell>
          <cell r="AD274">
            <v>0.8208333333333333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1200</v>
          </cell>
          <cell r="BB274">
            <v>215</v>
          </cell>
          <cell r="BC274">
            <v>0</v>
          </cell>
          <cell r="BD274">
            <v>1</v>
          </cell>
          <cell r="BE274">
            <v>0</v>
          </cell>
          <cell r="BF274">
            <v>0</v>
          </cell>
          <cell r="BG274">
            <v>1200</v>
          </cell>
          <cell r="BH274">
            <v>0</v>
          </cell>
          <cell r="BI274">
            <v>105</v>
          </cell>
          <cell r="BJ274">
            <v>1</v>
          </cell>
          <cell r="BK274">
            <v>0</v>
          </cell>
          <cell r="BL274">
            <v>0</v>
          </cell>
          <cell r="BM274">
            <v>0</v>
          </cell>
          <cell r="BN274">
            <v>1200</v>
          </cell>
          <cell r="BO274">
            <v>215</v>
          </cell>
          <cell r="BP274">
            <v>985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X274">
            <v>0</v>
          </cell>
          <cell r="BY274">
            <v>5</v>
          </cell>
          <cell r="BZ274">
            <v>0</v>
          </cell>
          <cell r="CA274">
            <v>0</v>
          </cell>
        </row>
        <row r="275">
          <cell r="H275" t="str">
            <v>C233921</v>
          </cell>
          <cell r="I275" t="str">
            <v>CONDITIONS DE VOL FERRY FLIGHT</v>
          </cell>
          <cell r="J275" t="str">
            <v xml:space="preserve">23107                         </v>
          </cell>
          <cell r="K275" t="str">
            <v xml:space="preserve">AIRLEC AIR ESPACE </v>
          </cell>
          <cell r="L275" t="str">
            <v>LJA</v>
          </cell>
          <cell r="M275">
            <v>45209</v>
          </cell>
          <cell r="N275" t="str">
            <v/>
          </cell>
          <cell r="O275">
            <v>1400</v>
          </cell>
          <cell r="P275">
            <v>0</v>
          </cell>
          <cell r="Q275">
            <v>215</v>
          </cell>
          <cell r="R275">
            <v>215</v>
          </cell>
          <cell r="S275">
            <v>0.5580357142857143</v>
          </cell>
          <cell r="T275">
            <v>0.59</v>
          </cell>
          <cell r="U275">
            <v>13.5</v>
          </cell>
          <cell r="V275">
            <v>5</v>
          </cell>
          <cell r="W275">
            <v>0</v>
          </cell>
          <cell r="X275">
            <v>8.5</v>
          </cell>
          <cell r="Y275">
            <v>8.5</v>
          </cell>
          <cell r="Z275">
            <v>0</v>
          </cell>
          <cell r="AA275">
            <v>1400</v>
          </cell>
          <cell r="AB275">
            <v>215</v>
          </cell>
          <cell r="AC275">
            <v>403.75</v>
          </cell>
          <cell r="AD275">
            <v>0.5580357142857143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486.46464646464648</v>
          </cell>
          <cell r="BB275">
            <v>215</v>
          </cell>
          <cell r="BC275">
            <v>403.75</v>
          </cell>
          <cell r="BD275">
            <v>0.34747474747474749</v>
          </cell>
          <cell r="BE275">
            <v>0</v>
          </cell>
          <cell r="BF275">
            <v>0</v>
          </cell>
          <cell r="BG275">
            <v>486.46464646464648</v>
          </cell>
          <cell r="BH275">
            <v>0</v>
          </cell>
          <cell r="BI275">
            <v>105</v>
          </cell>
          <cell r="BJ275">
            <v>0.34747474747474749</v>
          </cell>
          <cell r="BK275">
            <v>0</v>
          </cell>
          <cell r="BL275">
            <v>0</v>
          </cell>
          <cell r="BM275">
            <v>0</v>
          </cell>
          <cell r="BN275">
            <v>486.46464646464648</v>
          </cell>
          <cell r="BO275">
            <v>215</v>
          </cell>
          <cell r="BP275">
            <v>271.46464646464648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X275">
            <v>913.53535353535358</v>
          </cell>
          <cell r="BY275">
            <v>5</v>
          </cell>
          <cell r="BZ275">
            <v>0</v>
          </cell>
          <cell r="CA275">
            <v>0</v>
          </cell>
        </row>
        <row r="276">
          <cell r="H276" t="str">
            <v>C233922</v>
          </cell>
          <cell r="I276" t="str">
            <v xml:space="preserve">DOSSIER RÉALISATION TROU      </v>
          </cell>
          <cell r="J276" t="str">
            <v xml:space="preserve">23111                         </v>
          </cell>
          <cell r="K276" t="str">
            <v xml:space="preserve">HDF MAINTENANCE </v>
          </cell>
          <cell r="L276" t="str">
            <v>LJA</v>
          </cell>
          <cell r="M276">
            <v>45218</v>
          </cell>
          <cell r="N276">
            <v>45261</v>
          </cell>
          <cell r="O276">
            <v>0</v>
          </cell>
          <cell r="P276">
            <v>0</v>
          </cell>
          <cell r="Q276">
            <v>520</v>
          </cell>
          <cell r="R276">
            <v>520</v>
          </cell>
          <cell r="S276">
            <v>0</v>
          </cell>
          <cell r="T276">
            <v>0</v>
          </cell>
          <cell r="U276">
            <v>30.5</v>
          </cell>
          <cell r="V276">
            <v>0</v>
          </cell>
          <cell r="W276">
            <v>10</v>
          </cell>
          <cell r="X276">
            <v>0</v>
          </cell>
          <cell r="Y276">
            <v>0</v>
          </cell>
          <cell r="Z276">
            <v>0</v>
          </cell>
          <cell r="AA276">
            <v>3200</v>
          </cell>
          <cell r="AB276">
            <v>520</v>
          </cell>
          <cell r="AC276">
            <v>0</v>
          </cell>
          <cell r="AD276">
            <v>0.83750000000000002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520</v>
          </cell>
          <cell r="BC276">
            <v>0</v>
          </cell>
          <cell r="BD276">
            <v>1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105</v>
          </cell>
          <cell r="BJ276">
            <v>1</v>
          </cell>
          <cell r="BK276">
            <v>-3200</v>
          </cell>
          <cell r="BL276">
            <v>0</v>
          </cell>
          <cell r="BM276">
            <v>0</v>
          </cell>
          <cell r="BN276">
            <v>0</v>
          </cell>
          <cell r="BO276">
            <v>520</v>
          </cell>
          <cell r="BP276">
            <v>-520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X276">
            <v>0</v>
          </cell>
          <cell r="BY276">
            <v>10</v>
          </cell>
          <cell r="BZ276">
            <v>10</v>
          </cell>
          <cell r="CA276">
            <v>0</v>
          </cell>
        </row>
        <row r="277">
          <cell r="H277" t="str">
            <v>C233924</v>
          </cell>
          <cell r="I277" t="str">
            <v xml:space="preserve">PC-12 EAPC LIVERY             </v>
          </cell>
          <cell r="J277" t="str">
            <v xml:space="preserve">22106                         </v>
          </cell>
          <cell r="K277" t="str">
            <v xml:space="preserve">JG AVIATION </v>
          </cell>
          <cell r="L277" t="str">
            <v>VGA</v>
          </cell>
          <cell r="M277">
            <v>45209</v>
          </cell>
          <cell r="N277">
            <v>45260</v>
          </cell>
          <cell r="O277">
            <v>3000</v>
          </cell>
          <cell r="P277">
            <v>0</v>
          </cell>
          <cell r="Q277">
            <v>1075</v>
          </cell>
          <cell r="R277">
            <v>1075</v>
          </cell>
          <cell r="S277">
            <v>0.64166666666666661</v>
          </cell>
          <cell r="T277">
            <v>0.59</v>
          </cell>
          <cell r="U277">
            <v>17</v>
          </cell>
          <cell r="V277">
            <v>25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3000</v>
          </cell>
          <cell r="AB277">
            <v>1075</v>
          </cell>
          <cell r="AC277">
            <v>0</v>
          </cell>
          <cell r="AD277">
            <v>0.64166666666666661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3000</v>
          </cell>
          <cell r="AZ277">
            <v>0</v>
          </cell>
          <cell r="BA277">
            <v>3000</v>
          </cell>
          <cell r="BB277">
            <v>1075</v>
          </cell>
          <cell r="BC277">
            <v>0</v>
          </cell>
          <cell r="BD277">
            <v>1</v>
          </cell>
          <cell r="BE277">
            <v>1</v>
          </cell>
          <cell r="BF277">
            <v>0</v>
          </cell>
          <cell r="BG277">
            <v>0</v>
          </cell>
          <cell r="BH277">
            <v>0</v>
          </cell>
          <cell r="BI277">
            <v>105</v>
          </cell>
          <cell r="BJ277">
            <v>1</v>
          </cell>
          <cell r="BK277">
            <v>0</v>
          </cell>
          <cell r="BL277">
            <v>0</v>
          </cell>
          <cell r="BM277">
            <v>0</v>
          </cell>
          <cell r="BN277">
            <v>3000</v>
          </cell>
          <cell r="BO277">
            <v>1075</v>
          </cell>
          <cell r="BP277">
            <v>1925</v>
          </cell>
          <cell r="BQ277">
            <v>3000</v>
          </cell>
          <cell r="BR277">
            <v>0</v>
          </cell>
          <cell r="BS277">
            <v>0</v>
          </cell>
          <cell r="BT277">
            <v>0</v>
          </cell>
          <cell r="BU277">
            <v>3000</v>
          </cell>
          <cell r="BV277">
            <v>0</v>
          </cell>
          <cell r="BX277">
            <v>0</v>
          </cell>
          <cell r="BY277">
            <v>25</v>
          </cell>
          <cell r="BZ277">
            <v>0</v>
          </cell>
          <cell r="CA277">
            <v>0</v>
          </cell>
        </row>
        <row r="278">
          <cell r="H278" t="str">
            <v>C233928</v>
          </cell>
          <cell r="I278" t="str">
            <v xml:space="preserve">A330 - EEL REVISION           </v>
          </cell>
          <cell r="J278" t="str">
            <v xml:space="preserve">18034                         </v>
          </cell>
          <cell r="K278" t="str">
            <v xml:space="preserve">AIR CARAIBES ATLANTIQUE </v>
          </cell>
          <cell r="L278" t="str">
            <v>VGA</v>
          </cell>
          <cell r="M278">
            <v>45216</v>
          </cell>
          <cell r="N278">
            <v>45237</v>
          </cell>
          <cell r="O278">
            <v>1600</v>
          </cell>
          <cell r="P278">
            <v>0</v>
          </cell>
          <cell r="Q278">
            <v>1010.5</v>
          </cell>
          <cell r="R278">
            <v>1010.5</v>
          </cell>
          <cell r="S278">
            <v>0.36843749999999997</v>
          </cell>
          <cell r="T278">
            <v>0.59</v>
          </cell>
          <cell r="U278">
            <v>15</v>
          </cell>
          <cell r="V278">
            <v>23.5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1600</v>
          </cell>
          <cell r="AB278">
            <v>1010.5</v>
          </cell>
          <cell r="AC278">
            <v>0</v>
          </cell>
          <cell r="AD278">
            <v>0.36843749999999997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1600</v>
          </cell>
          <cell r="AZ278">
            <v>0</v>
          </cell>
          <cell r="BA278">
            <v>1600</v>
          </cell>
          <cell r="BB278">
            <v>1010.5</v>
          </cell>
          <cell r="BC278">
            <v>0</v>
          </cell>
          <cell r="BD278">
            <v>1</v>
          </cell>
          <cell r="BE278">
            <v>1</v>
          </cell>
          <cell r="BF278">
            <v>0</v>
          </cell>
          <cell r="BG278">
            <v>0</v>
          </cell>
          <cell r="BH278">
            <v>0</v>
          </cell>
          <cell r="BI278">
            <v>105</v>
          </cell>
          <cell r="BJ278">
            <v>1</v>
          </cell>
          <cell r="BK278">
            <v>0</v>
          </cell>
          <cell r="BL278">
            <v>0</v>
          </cell>
          <cell r="BM278">
            <v>0</v>
          </cell>
          <cell r="BN278">
            <v>1600</v>
          </cell>
          <cell r="BO278">
            <v>1010.5</v>
          </cell>
          <cell r="BP278">
            <v>589.5</v>
          </cell>
          <cell r="BQ278">
            <v>1600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X278">
            <v>0</v>
          </cell>
          <cell r="BY278">
            <v>23.5</v>
          </cell>
          <cell r="BZ278">
            <v>0</v>
          </cell>
          <cell r="CA278">
            <v>0</v>
          </cell>
        </row>
        <row r="279">
          <cell r="H279" t="str">
            <v>C233934</v>
          </cell>
          <cell r="I279" t="str">
            <v xml:space="preserve">F7X-220 PARTIAL LIVERY        </v>
          </cell>
          <cell r="J279" t="str">
            <v xml:space="preserve">23109                         </v>
          </cell>
          <cell r="K279" t="str">
            <v xml:space="preserve">DASSAULT AVIATION BUSINESS SERVICES </v>
          </cell>
          <cell r="L279" t="str">
            <v>PNA</v>
          </cell>
          <cell r="M279">
            <v>45218</v>
          </cell>
          <cell r="N279">
            <v>45291</v>
          </cell>
          <cell r="O279">
            <v>4100</v>
          </cell>
          <cell r="P279">
            <v>-250</v>
          </cell>
          <cell r="Q279">
            <v>2146</v>
          </cell>
          <cell r="R279">
            <v>2146</v>
          </cell>
          <cell r="S279">
            <v>0.47658536585365852</v>
          </cell>
          <cell r="T279">
            <v>0.4863170731707317</v>
          </cell>
          <cell r="U279">
            <v>26</v>
          </cell>
          <cell r="V279">
            <v>22</v>
          </cell>
          <cell r="W279">
            <v>0</v>
          </cell>
          <cell r="X279">
            <v>0</v>
          </cell>
          <cell r="Y279">
            <v>4</v>
          </cell>
          <cell r="Z279">
            <v>0</v>
          </cell>
          <cell r="AA279">
            <v>3010</v>
          </cell>
          <cell r="AB279">
            <v>946</v>
          </cell>
          <cell r="AC279">
            <v>0</v>
          </cell>
          <cell r="AD279">
            <v>0.68571428571428572</v>
          </cell>
          <cell r="AE279">
            <v>1090</v>
          </cell>
          <cell r="AF279">
            <v>1200</v>
          </cell>
          <cell r="AG279">
            <v>1200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-0.10091743119266061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4100</v>
          </cell>
          <cell r="AZ279">
            <v>0</v>
          </cell>
          <cell r="BA279">
            <v>4100</v>
          </cell>
          <cell r="BB279">
            <v>2146</v>
          </cell>
          <cell r="BC279">
            <v>0</v>
          </cell>
          <cell r="BD279">
            <v>1</v>
          </cell>
          <cell r="BE279">
            <v>1</v>
          </cell>
          <cell r="BF279">
            <v>0</v>
          </cell>
          <cell r="BG279">
            <v>0</v>
          </cell>
          <cell r="BH279">
            <v>0</v>
          </cell>
          <cell r="BI279">
            <v>105</v>
          </cell>
          <cell r="BJ279">
            <v>1</v>
          </cell>
          <cell r="BK279">
            <v>0</v>
          </cell>
          <cell r="BL279">
            <v>-190</v>
          </cell>
          <cell r="BM279">
            <v>8.1335616438356184E-2</v>
          </cell>
          <cell r="BN279">
            <v>4100</v>
          </cell>
          <cell r="BO279">
            <v>2146</v>
          </cell>
          <cell r="BP279">
            <v>1954</v>
          </cell>
          <cell r="BQ279">
            <v>4100</v>
          </cell>
          <cell r="BR279">
            <v>103.80993150684935</v>
          </cell>
          <cell r="BS279">
            <v>0</v>
          </cell>
          <cell r="BT279">
            <v>103.80993150684935</v>
          </cell>
          <cell r="BU279">
            <v>1925</v>
          </cell>
          <cell r="BV279">
            <v>0</v>
          </cell>
          <cell r="BX279">
            <v>0</v>
          </cell>
          <cell r="BY279">
            <v>22</v>
          </cell>
          <cell r="BZ279">
            <v>0</v>
          </cell>
          <cell r="CA279">
            <v>1200</v>
          </cell>
        </row>
        <row r="280">
          <cell r="H280" t="str">
            <v>C233935</v>
          </cell>
          <cell r="I280" t="str">
            <v>RECARO 3510A377 SHIPSET REFURB</v>
          </cell>
          <cell r="J280" t="str">
            <v xml:space="preserve">23110                         </v>
          </cell>
          <cell r="K280" t="str">
            <v>AERO CABIN SOLUTIONS</v>
          </cell>
          <cell r="L280" t="str">
            <v>VGA</v>
          </cell>
          <cell r="M280">
            <v>45222</v>
          </cell>
          <cell r="N280" t="str">
            <v/>
          </cell>
          <cell r="O280">
            <v>500</v>
          </cell>
          <cell r="P280">
            <v>0</v>
          </cell>
          <cell r="Q280">
            <v>43</v>
          </cell>
          <cell r="R280">
            <v>43</v>
          </cell>
          <cell r="S280">
            <v>-2.7909999999999999</v>
          </cell>
          <cell r="T280">
            <v>0.59</v>
          </cell>
          <cell r="U280">
            <v>5.0399999999999991</v>
          </cell>
          <cell r="V280">
            <v>1</v>
          </cell>
          <cell r="W280">
            <v>0</v>
          </cell>
          <cell r="X280">
            <v>39</v>
          </cell>
          <cell r="Y280">
            <v>40</v>
          </cell>
          <cell r="Z280">
            <v>1</v>
          </cell>
          <cell r="AA280">
            <v>500</v>
          </cell>
          <cell r="AB280">
            <v>43</v>
          </cell>
          <cell r="AC280">
            <v>1852.5</v>
          </cell>
          <cell r="AD280">
            <v>-2.7909999999999999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11.342653653389608</v>
          </cell>
          <cell r="BB280">
            <v>43</v>
          </cell>
          <cell r="BC280">
            <v>1852.5</v>
          </cell>
          <cell r="BD280">
            <v>2.2685307306779215E-2</v>
          </cell>
          <cell r="BE280">
            <v>0</v>
          </cell>
          <cell r="BF280">
            <v>0</v>
          </cell>
          <cell r="BG280">
            <v>11.342653653389608</v>
          </cell>
          <cell r="BH280">
            <v>0</v>
          </cell>
          <cell r="BI280">
            <v>105</v>
          </cell>
          <cell r="BJ280">
            <v>2.2685307306779215E-2</v>
          </cell>
          <cell r="BK280">
            <v>0</v>
          </cell>
          <cell r="BL280">
            <v>-4.5</v>
          </cell>
          <cell r="BM280">
            <v>2.2685307306779215E-2</v>
          </cell>
          <cell r="BN280">
            <v>11.342653653389608</v>
          </cell>
          <cell r="BO280">
            <v>43</v>
          </cell>
          <cell r="BP280">
            <v>-31.657346346610392</v>
          </cell>
          <cell r="BQ280">
            <v>0</v>
          </cell>
          <cell r="BR280">
            <v>11.342653653389608</v>
          </cell>
          <cell r="BS280">
            <v>43</v>
          </cell>
          <cell r="BT280">
            <v>-31.657346346610392</v>
          </cell>
          <cell r="BU280">
            <v>0</v>
          </cell>
          <cell r="BV280">
            <v>0</v>
          </cell>
          <cell r="BX280">
            <v>488.65734634661038</v>
          </cell>
          <cell r="BY280">
            <v>1</v>
          </cell>
          <cell r="BZ280">
            <v>0</v>
          </cell>
          <cell r="CA280">
            <v>0</v>
          </cell>
        </row>
        <row r="281">
          <cell r="H281" t="str">
            <v>C233876</v>
          </cell>
          <cell r="I281" t="str">
            <v xml:space="preserve">B777-300 INTERIOR FUSELAGE 3D </v>
          </cell>
          <cell r="J281" t="str">
            <v xml:space="preserve">                              </v>
          </cell>
          <cell r="K281" t="str">
            <v xml:space="preserve">ASTRONICS CSC </v>
          </cell>
          <cell r="L281" t="str">
            <v>PROPRO</v>
          </cell>
          <cell r="M281">
            <v>45219</v>
          </cell>
          <cell r="N281" t="str">
            <v/>
          </cell>
          <cell r="O281">
            <v>23918.347000000002</v>
          </cell>
          <cell r="P281">
            <v>-319.22849999999744</v>
          </cell>
          <cell r="Q281">
            <v>17322.370000000003</v>
          </cell>
          <cell r="R281">
            <v>17322.370000000003</v>
          </cell>
          <cell r="S281">
            <v>0.27577060404717757</v>
          </cell>
          <cell r="T281">
            <v>0.21956656954596404</v>
          </cell>
          <cell r="U281">
            <v>11.428571428571429</v>
          </cell>
          <cell r="V281">
            <v>0</v>
          </cell>
          <cell r="W281">
            <v>28</v>
          </cell>
          <cell r="X281">
            <v>0</v>
          </cell>
          <cell r="Y281">
            <v>0</v>
          </cell>
          <cell r="Z281">
            <v>0</v>
          </cell>
          <cell r="AA281">
            <v>1200</v>
          </cell>
          <cell r="AB281">
            <v>1456</v>
          </cell>
          <cell r="AC281">
            <v>0</v>
          </cell>
          <cell r="AD281">
            <v>-0.21333333333333337</v>
          </cell>
          <cell r="AE281">
            <v>20000</v>
          </cell>
          <cell r="AF281">
            <v>13502.59</v>
          </cell>
          <cell r="AG281">
            <v>13502.59</v>
          </cell>
          <cell r="AH281">
            <v>-277.58999999999997</v>
          </cell>
          <cell r="AI281">
            <v>13225</v>
          </cell>
          <cell r="AJ281">
            <v>0</v>
          </cell>
          <cell r="AK281">
            <v>0</v>
          </cell>
          <cell r="AL281">
            <v>277.59000000000015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0.32487049999999995</v>
          </cell>
          <cell r="AS281">
            <v>2718.3470000000007</v>
          </cell>
          <cell r="AT281">
            <v>2363.7800000000007</v>
          </cell>
          <cell r="AU281">
            <v>0</v>
          </cell>
          <cell r="AV281">
            <v>0</v>
          </cell>
          <cell r="AW281">
            <v>-277.59000000000015</v>
          </cell>
          <cell r="AX281">
            <v>0.13043478260869568</v>
          </cell>
          <cell r="AY281">
            <v>10600</v>
          </cell>
          <cell r="AZ281">
            <v>0</v>
          </cell>
          <cell r="BA281">
            <v>23918.347000000002</v>
          </cell>
          <cell r="BB281">
            <v>17322.370000000003</v>
          </cell>
          <cell r="BC281">
            <v>0</v>
          </cell>
          <cell r="BD281">
            <v>1</v>
          </cell>
          <cell r="BE281">
            <v>0.44317443843422788</v>
          </cell>
          <cell r="BF281">
            <v>0</v>
          </cell>
          <cell r="BG281">
            <v>13318.347000000002</v>
          </cell>
          <cell r="BH281">
            <v>0</v>
          </cell>
          <cell r="BI281">
            <v>105</v>
          </cell>
          <cell r="BJ281">
            <v>1</v>
          </cell>
          <cell r="BK281">
            <v>9.0949470177292824E-13</v>
          </cell>
          <cell r="BL281">
            <v>0</v>
          </cell>
          <cell r="BM281">
            <v>0</v>
          </cell>
          <cell r="BN281">
            <v>23918.347000000002</v>
          </cell>
          <cell r="BO281">
            <v>17322.370000000003</v>
          </cell>
          <cell r="BP281">
            <v>6595.976999999999</v>
          </cell>
          <cell r="BQ281">
            <v>10600</v>
          </cell>
          <cell r="BR281">
            <v>-319.22849999999744</v>
          </cell>
          <cell r="BS281">
            <v>0</v>
          </cell>
          <cell r="BT281">
            <v>-319.22849999999744</v>
          </cell>
          <cell r="BU281">
            <v>0</v>
          </cell>
          <cell r="BV281">
            <v>0</v>
          </cell>
          <cell r="BX281">
            <v>0</v>
          </cell>
          <cell r="BY281">
            <v>28</v>
          </cell>
          <cell r="BZ281">
            <v>28</v>
          </cell>
          <cell r="CA281">
            <v>15866.37</v>
          </cell>
        </row>
        <row r="282">
          <cell r="H282" t="str">
            <v>C233804</v>
          </cell>
          <cell r="I282" t="str">
            <v xml:space="preserve">A320 MSN 3519 - 3484          </v>
          </cell>
          <cell r="J282" t="str">
            <v xml:space="preserve">23112                         </v>
          </cell>
          <cell r="K282" t="str">
            <v>AERO CABIN SOLUTIONS</v>
          </cell>
          <cell r="L282" t="str">
            <v>FDEQPO</v>
          </cell>
          <cell r="M282">
            <v>45225</v>
          </cell>
          <cell r="N282" t="str">
            <v/>
          </cell>
          <cell r="O282">
            <v>39500</v>
          </cell>
          <cell r="P282">
            <v>0</v>
          </cell>
          <cell r="Q282">
            <v>38791.360000000001</v>
          </cell>
          <cell r="R282">
            <v>29861.360000000001</v>
          </cell>
          <cell r="S282">
            <v>-2.5027848101266681E-3</v>
          </cell>
          <cell r="T282">
            <v>0.33822784810126583</v>
          </cell>
          <cell r="U282">
            <v>126</v>
          </cell>
          <cell r="V282">
            <v>109</v>
          </cell>
          <cell r="W282">
            <v>0</v>
          </cell>
          <cell r="X282">
            <v>17</v>
          </cell>
          <cell r="Y282">
            <v>53.5</v>
          </cell>
          <cell r="Z282">
            <v>36.5</v>
          </cell>
          <cell r="AA282">
            <v>14000</v>
          </cell>
          <cell r="AB282">
            <v>4687</v>
          </cell>
          <cell r="AC282">
            <v>807.5</v>
          </cell>
          <cell r="AD282">
            <v>0.60753571428571429</v>
          </cell>
          <cell r="AE282">
            <v>25500</v>
          </cell>
          <cell r="AF282">
            <v>34104.36</v>
          </cell>
          <cell r="AG282">
            <v>25174.36</v>
          </cell>
          <cell r="AH282">
            <v>8930</v>
          </cell>
          <cell r="AI282">
            <v>10730</v>
          </cell>
          <cell r="AJ282">
            <v>0</v>
          </cell>
          <cell r="AK282">
            <v>0</v>
          </cell>
          <cell r="AL282">
            <v>10660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-0.33742588235294124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7350</v>
          </cell>
          <cell r="AZ282">
            <v>0</v>
          </cell>
          <cell r="BA282">
            <v>29786.810024328985</v>
          </cell>
          <cell r="BB282">
            <v>29861.360000000001</v>
          </cell>
          <cell r="BC282">
            <v>9737.5</v>
          </cell>
          <cell r="BD282">
            <v>0.75409645631212618</v>
          </cell>
          <cell r="BE282">
            <v>0.1860759493670886</v>
          </cell>
          <cell r="BF282">
            <v>0</v>
          </cell>
          <cell r="BG282">
            <v>22436.810024328985</v>
          </cell>
          <cell r="BH282">
            <v>0</v>
          </cell>
          <cell r="BI282">
            <v>105</v>
          </cell>
          <cell r="BJ282">
            <v>0.75409645631212618</v>
          </cell>
          <cell r="BK282">
            <v>0</v>
          </cell>
          <cell r="BL282">
            <v>10495.75</v>
          </cell>
          <cell r="BM282">
            <v>0.15066060358023603</v>
          </cell>
          <cell r="BN282">
            <v>29786.810024328985</v>
          </cell>
          <cell r="BO282">
            <v>29861.360000000001</v>
          </cell>
          <cell r="BP282">
            <v>-74.549975671016</v>
          </cell>
          <cell r="BQ282">
            <v>7350</v>
          </cell>
          <cell r="BR282">
            <v>5951.0938414193224</v>
          </cell>
          <cell r="BS282">
            <v>12299.5</v>
          </cell>
          <cell r="BT282">
            <v>-6348.4061585806776</v>
          </cell>
          <cell r="BU282">
            <v>0</v>
          </cell>
          <cell r="BV282">
            <v>0</v>
          </cell>
          <cell r="BX282">
            <v>9713.1899756710154</v>
          </cell>
          <cell r="BY282">
            <v>104</v>
          </cell>
          <cell r="BZ282">
            <v>0</v>
          </cell>
          <cell r="CA282">
            <v>25174.36</v>
          </cell>
        </row>
        <row r="283">
          <cell r="H283" t="str">
            <v>C233938</v>
          </cell>
          <cell r="I283" t="str">
            <v xml:space="preserve">MOD21093 PACKAGE-2 REVISION   </v>
          </cell>
          <cell r="J283" t="str">
            <v xml:space="preserve">21093                         </v>
          </cell>
          <cell r="K283" t="str">
            <v xml:space="preserve">AIR CARAIBES ATLANTIQUE </v>
          </cell>
          <cell r="L283" t="str">
            <v>VGAVGA</v>
          </cell>
          <cell r="M283">
            <v>45226</v>
          </cell>
          <cell r="N283">
            <v>45260</v>
          </cell>
          <cell r="O283">
            <v>1700</v>
          </cell>
          <cell r="P283">
            <v>0</v>
          </cell>
          <cell r="Q283">
            <v>731</v>
          </cell>
          <cell r="R283">
            <v>731</v>
          </cell>
          <cell r="S283">
            <v>0.57000000000000006</v>
          </cell>
          <cell r="T283">
            <v>0.59</v>
          </cell>
          <cell r="U283">
            <v>16.04</v>
          </cell>
          <cell r="V283">
            <v>17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1700</v>
          </cell>
          <cell r="AB283">
            <v>731</v>
          </cell>
          <cell r="AC283">
            <v>0</v>
          </cell>
          <cell r="AD283">
            <v>0.57000000000000006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1700</v>
          </cell>
          <cell r="AZ283">
            <v>0</v>
          </cell>
          <cell r="BA283">
            <v>1700</v>
          </cell>
          <cell r="BB283">
            <v>731</v>
          </cell>
          <cell r="BC283">
            <v>0</v>
          </cell>
          <cell r="BD283">
            <v>1</v>
          </cell>
          <cell r="BE283">
            <v>1</v>
          </cell>
          <cell r="BF283">
            <v>0</v>
          </cell>
          <cell r="BG283">
            <v>0</v>
          </cell>
          <cell r="BH283">
            <v>0</v>
          </cell>
          <cell r="BI283">
            <v>105</v>
          </cell>
          <cell r="BJ283">
            <v>1</v>
          </cell>
          <cell r="BK283">
            <v>0</v>
          </cell>
          <cell r="BL283">
            <v>0</v>
          </cell>
          <cell r="BM283">
            <v>0</v>
          </cell>
          <cell r="BN283">
            <v>1700</v>
          </cell>
          <cell r="BO283">
            <v>731</v>
          </cell>
          <cell r="BP283">
            <v>969</v>
          </cell>
          <cell r="BQ283">
            <v>1700</v>
          </cell>
          <cell r="BR283">
            <v>0</v>
          </cell>
          <cell r="BS283">
            <v>0</v>
          </cell>
          <cell r="BT283">
            <v>0</v>
          </cell>
          <cell r="BU283">
            <v>1700</v>
          </cell>
          <cell r="BV283">
            <v>0</v>
          </cell>
          <cell r="BX283">
            <v>0</v>
          </cell>
          <cell r="BY283">
            <v>17</v>
          </cell>
          <cell r="BZ283">
            <v>0</v>
          </cell>
          <cell r="CA283">
            <v>0</v>
          </cell>
        </row>
        <row r="284">
          <cell r="H284" t="str">
            <v>C233733</v>
          </cell>
          <cell r="I284" t="str">
            <v xml:space="preserve">T0                            </v>
          </cell>
          <cell r="J284" t="str">
            <v xml:space="preserve">23119                         </v>
          </cell>
          <cell r="K284" t="str">
            <v>HELI-UNION</v>
          </cell>
          <cell r="L284" t="str">
            <v>LUDLUD</v>
          </cell>
          <cell r="M284">
            <v>45219</v>
          </cell>
          <cell r="O284">
            <v>804400</v>
          </cell>
          <cell r="P284">
            <v>0</v>
          </cell>
          <cell r="Q284">
            <v>71628.130499999999</v>
          </cell>
          <cell r="R284">
            <v>58388.987499999996</v>
          </cell>
          <cell r="S284">
            <v>0.31999300721034307</v>
          </cell>
          <cell r="T284">
            <v>0.36412580805569367</v>
          </cell>
          <cell r="U284">
            <v>3224</v>
          </cell>
          <cell r="V284">
            <v>158.75</v>
          </cell>
          <cell r="W284">
            <v>116</v>
          </cell>
          <cell r="X284">
            <v>2741.25</v>
          </cell>
          <cell r="Y284">
            <v>2837</v>
          </cell>
          <cell r="Z284">
            <v>95.75</v>
          </cell>
          <cell r="AA284">
            <v>338520</v>
          </cell>
          <cell r="AB284">
            <v>12858.25</v>
          </cell>
          <cell r="AC284">
            <v>130209.375</v>
          </cell>
          <cell r="AD284">
            <v>0.57737319803852061</v>
          </cell>
          <cell r="AE284">
            <v>291740</v>
          </cell>
          <cell r="AF284">
            <v>44833.940499999997</v>
          </cell>
          <cell r="AG284">
            <v>44833.940499999997</v>
          </cell>
          <cell r="AH284">
            <v>0</v>
          </cell>
          <cell r="AI284">
            <v>44833.940499999997</v>
          </cell>
          <cell r="AJ284">
            <v>30999.059500000003</v>
          </cell>
          <cell r="AK284">
            <v>75833</v>
          </cell>
          <cell r="AL284">
            <v>44833.940499999997</v>
          </cell>
          <cell r="AM284">
            <v>13935.939999999999</v>
          </cell>
          <cell r="AN284">
            <v>696.79700000000003</v>
          </cell>
          <cell r="AO284">
            <v>140021.06</v>
          </cell>
          <cell r="AP284">
            <v>0</v>
          </cell>
          <cell r="AQ284">
            <v>13935.939999999999</v>
          </cell>
          <cell r="AR284">
            <v>0.21234660999520116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442420</v>
          </cell>
          <cell r="AZ284">
            <v>0</v>
          </cell>
          <cell r="BA284">
            <v>85865.275091459494</v>
          </cell>
          <cell r="BB284">
            <v>58388.987499999996</v>
          </cell>
          <cell r="BC284">
            <v>488608.63750000001</v>
          </cell>
          <cell r="BD284">
            <v>0.10674449911916893</v>
          </cell>
          <cell r="BE284">
            <v>0.55000000000000004</v>
          </cell>
          <cell r="BF284">
            <v>-356554.72490854055</v>
          </cell>
          <cell r="BG284">
            <v>0</v>
          </cell>
          <cell r="BH284">
            <v>174140</v>
          </cell>
          <cell r="BI284">
            <v>105</v>
          </cell>
          <cell r="BJ284">
            <v>0.10674449911916893</v>
          </cell>
          <cell r="BK284">
            <v>0</v>
          </cell>
          <cell r="BL284">
            <v>-223.875</v>
          </cell>
          <cell r="BM284">
            <v>9.1149351633187478E-2</v>
          </cell>
          <cell r="BN284">
            <v>85865.275091459494</v>
          </cell>
          <cell r="BO284">
            <v>58388.987499999996</v>
          </cell>
          <cell r="BP284">
            <v>27476.287591459499</v>
          </cell>
          <cell r="BQ284">
            <v>442420</v>
          </cell>
          <cell r="BR284">
            <v>73320.538453736008</v>
          </cell>
          <cell r="BS284">
            <v>49854.987499999996</v>
          </cell>
          <cell r="BT284">
            <v>23465.550953736012</v>
          </cell>
          <cell r="BU284">
            <v>241320</v>
          </cell>
          <cell r="BV284">
            <v>0</v>
          </cell>
          <cell r="BX284">
            <v>718534.72490854049</v>
          </cell>
          <cell r="BY284">
            <v>274.75</v>
          </cell>
          <cell r="BZ284">
            <v>116</v>
          </cell>
          <cell r="CA284">
            <v>44833.940499999997</v>
          </cell>
        </row>
        <row r="285">
          <cell r="H285" t="str">
            <v>C233711</v>
          </cell>
          <cell r="I285" t="str">
            <v xml:space="preserve">PORTABLE IFE PROVISIONS       </v>
          </cell>
          <cell r="J285" t="str">
            <v xml:space="preserve">23113                         </v>
          </cell>
          <cell r="K285" t="str">
            <v xml:space="preserve">INFLIGHT DUBLIN </v>
          </cell>
          <cell r="L285" t="str">
            <v>VGAVSE</v>
          </cell>
          <cell r="M285">
            <v>45223</v>
          </cell>
          <cell r="N285" t="str">
            <v/>
          </cell>
          <cell r="O285">
            <v>17205</v>
          </cell>
          <cell r="P285">
            <v>0</v>
          </cell>
          <cell r="Q285">
            <v>2300.5</v>
          </cell>
          <cell r="R285">
            <v>2300.5</v>
          </cell>
          <cell r="S285">
            <v>0.48971229293809937</v>
          </cell>
          <cell r="T285">
            <v>0.5060156931124673</v>
          </cell>
          <cell r="U285">
            <v>128</v>
          </cell>
          <cell r="V285">
            <v>53.5</v>
          </cell>
          <cell r="W285">
            <v>0</v>
          </cell>
          <cell r="X285">
            <v>74</v>
          </cell>
          <cell r="Y285">
            <v>122</v>
          </cell>
          <cell r="Z285">
            <v>47.5</v>
          </cell>
          <cell r="AA285">
            <v>13500</v>
          </cell>
          <cell r="AB285">
            <v>2300.5</v>
          </cell>
          <cell r="AC285">
            <v>3515</v>
          </cell>
          <cell r="AD285">
            <v>0.5692222222222223</v>
          </cell>
          <cell r="AE285">
            <v>3705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2964</v>
          </cell>
          <cell r="AK285">
            <v>2964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0.19999999999999996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8232</v>
          </cell>
          <cell r="AZ285">
            <v>0</v>
          </cell>
          <cell r="BA285">
            <v>4508.2410729540406</v>
          </cell>
          <cell r="BB285">
            <v>2300.5</v>
          </cell>
          <cell r="BC285">
            <v>6479</v>
          </cell>
          <cell r="BD285">
            <v>0.26203086736146708</v>
          </cell>
          <cell r="BE285">
            <v>0.47846556233653009</v>
          </cell>
          <cell r="BF285">
            <v>-3723.7589270459594</v>
          </cell>
          <cell r="BG285">
            <v>0</v>
          </cell>
          <cell r="BH285">
            <v>0</v>
          </cell>
          <cell r="BI285">
            <v>105</v>
          </cell>
          <cell r="BJ285">
            <v>0.26203086736146708</v>
          </cell>
          <cell r="BK285">
            <v>0</v>
          </cell>
          <cell r="BL285">
            <v>-237.5</v>
          </cell>
          <cell r="BM285">
            <v>0.23341824675594419</v>
          </cell>
          <cell r="BN285">
            <v>4508.2410729540406</v>
          </cell>
          <cell r="BO285">
            <v>2300.5</v>
          </cell>
          <cell r="BP285">
            <v>2207.7410729540406</v>
          </cell>
          <cell r="BQ285">
            <v>8232</v>
          </cell>
          <cell r="BR285">
            <v>4015.9609354360191</v>
          </cell>
          <cell r="BS285">
            <v>2042.5</v>
          </cell>
          <cell r="BT285">
            <v>1973.4609354360191</v>
          </cell>
          <cell r="BU285">
            <v>0</v>
          </cell>
          <cell r="BV285">
            <v>0</v>
          </cell>
          <cell r="BX285">
            <v>12696.758927045959</v>
          </cell>
          <cell r="BY285">
            <v>53.5</v>
          </cell>
          <cell r="BZ285">
            <v>0</v>
          </cell>
          <cell r="CA285">
            <v>0</v>
          </cell>
        </row>
        <row r="286">
          <cell r="H286" t="str">
            <v>G230227</v>
          </cell>
          <cell r="I286" t="str">
            <v xml:space="preserve">SUPPORT DOA                   </v>
          </cell>
          <cell r="J286" t="str">
            <v xml:space="preserve">                              </v>
          </cell>
          <cell r="K286" t="str">
            <v xml:space="preserve">AEROTEC </v>
          </cell>
          <cell r="L286" t="str">
            <v>JFAJFA</v>
          </cell>
          <cell r="M286">
            <v>45225</v>
          </cell>
          <cell r="N286" t="str">
            <v/>
          </cell>
          <cell r="O286">
            <v>3440</v>
          </cell>
          <cell r="P286">
            <v>0</v>
          </cell>
          <cell r="Q286">
            <v>860</v>
          </cell>
          <cell r="R286">
            <v>860</v>
          </cell>
          <cell r="S286">
            <v>-7.8488372093023173E-2</v>
          </cell>
          <cell r="T286">
            <v>0.59</v>
          </cell>
          <cell r="U286">
            <v>80</v>
          </cell>
          <cell r="V286">
            <v>20</v>
          </cell>
          <cell r="W286">
            <v>0</v>
          </cell>
          <cell r="X286">
            <v>60</v>
          </cell>
          <cell r="Y286">
            <v>64</v>
          </cell>
          <cell r="Z286">
            <v>4</v>
          </cell>
          <cell r="AA286">
            <v>3440</v>
          </cell>
          <cell r="AB286">
            <v>860</v>
          </cell>
          <cell r="AC286">
            <v>2850</v>
          </cell>
          <cell r="AD286">
            <v>-7.8488372093023173E-2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797.41239892183285</v>
          </cell>
          <cell r="BB286">
            <v>860</v>
          </cell>
          <cell r="BC286">
            <v>2850</v>
          </cell>
          <cell r="BD286">
            <v>0.23180592991913745</v>
          </cell>
          <cell r="BE286">
            <v>0</v>
          </cell>
          <cell r="BF286">
            <v>0</v>
          </cell>
          <cell r="BG286">
            <v>797.41239892183285</v>
          </cell>
          <cell r="BH286">
            <v>0</v>
          </cell>
          <cell r="BI286">
            <v>43</v>
          </cell>
          <cell r="BJ286">
            <v>0.23180592991913745</v>
          </cell>
          <cell r="BK286">
            <v>0</v>
          </cell>
          <cell r="BL286">
            <v>-18</v>
          </cell>
          <cell r="BM286">
            <v>4.7256573695961479E-2</v>
          </cell>
          <cell r="BN286">
            <v>797.41239892183285</v>
          </cell>
          <cell r="BO286">
            <v>860</v>
          </cell>
          <cell r="BP286">
            <v>-62.587601078167154</v>
          </cell>
          <cell r="BQ286">
            <v>0</v>
          </cell>
          <cell r="BR286">
            <v>162.56261351410751</v>
          </cell>
          <cell r="BS286">
            <v>172</v>
          </cell>
          <cell r="BT286">
            <v>-9.437386485892489</v>
          </cell>
          <cell r="BU286">
            <v>0</v>
          </cell>
          <cell r="BV286">
            <v>0</v>
          </cell>
          <cell r="BX286">
            <v>2642.5876010781672</v>
          </cell>
          <cell r="BY286">
            <v>20</v>
          </cell>
          <cell r="BZ286">
            <v>0</v>
          </cell>
          <cell r="CA286">
            <v>0</v>
          </cell>
        </row>
        <row r="287">
          <cell r="H287" t="str">
            <v>C233907</v>
          </cell>
          <cell r="I287" t="str">
            <v xml:space="preserve">DEVELOPMENT OF MINOR          </v>
          </cell>
          <cell r="J287" t="str">
            <v xml:space="preserve">23114                         </v>
          </cell>
          <cell r="K287" t="str">
            <v xml:space="preserve">SATAUTH </v>
          </cell>
          <cell r="L287" t="str">
            <v>JFAPLA</v>
          </cell>
          <cell r="M287">
            <v>45219</v>
          </cell>
          <cell r="N287" t="str">
            <v/>
          </cell>
          <cell r="O287">
            <v>46800</v>
          </cell>
          <cell r="P287">
            <v>0</v>
          </cell>
          <cell r="Q287">
            <v>15111.369999999999</v>
          </cell>
          <cell r="R287">
            <v>15087.5363</v>
          </cell>
          <cell r="S287">
            <v>0.54986388888888893</v>
          </cell>
          <cell r="T287">
            <v>0.53166666666666662</v>
          </cell>
          <cell r="U287">
            <v>354</v>
          </cell>
          <cell r="V287">
            <v>296</v>
          </cell>
          <cell r="W287">
            <v>0</v>
          </cell>
          <cell r="X287">
            <v>58</v>
          </cell>
          <cell r="Y287">
            <v>141</v>
          </cell>
          <cell r="Z287">
            <v>83</v>
          </cell>
          <cell r="AA287">
            <v>39800</v>
          </cell>
          <cell r="AB287">
            <v>12728</v>
          </cell>
          <cell r="AC287">
            <v>2755</v>
          </cell>
          <cell r="AD287">
            <v>0.61097989949748743</v>
          </cell>
          <cell r="AE287">
            <v>7000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3200</v>
          </cell>
          <cell r="AK287">
            <v>2496.63</v>
          </cell>
          <cell r="AL287">
            <v>0</v>
          </cell>
          <cell r="AM287">
            <v>2383.37</v>
          </cell>
          <cell r="AN287">
            <v>2359.5363000000002</v>
          </cell>
          <cell r="AO287">
            <v>0</v>
          </cell>
          <cell r="AP287">
            <v>0</v>
          </cell>
          <cell r="AQ287">
            <v>2383.37</v>
          </cell>
          <cell r="AR287">
            <v>0.20237571428571433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23400</v>
          </cell>
          <cell r="AZ287">
            <v>0</v>
          </cell>
          <cell r="BA287">
            <v>33517.720368530507</v>
          </cell>
          <cell r="BB287">
            <v>15087.5363</v>
          </cell>
          <cell r="BC287">
            <v>5978.8336999999992</v>
          </cell>
          <cell r="BD287">
            <v>0.71619060616518182</v>
          </cell>
          <cell r="BE287">
            <v>0.5</v>
          </cell>
          <cell r="BF287">
            <v>0</v>
          </cell>
          <cell r="BG287">
            <v>10117.720368530508</v>
          </cell>
          <cell r="BH287">
            <v>0</v>
          </cell>
          <cell r="BI287">
            <v>105</v>
          </cell>
          <cell r="BJ287">
            <v>0.71619060616518182</v>
          </cell>
          <cell r="BK287">
            <v>0</v>
          </cell>
          <cell r="BL287">
            <v>329.86999999999898</v>
          </cell>
          <cell r="BM287">
            <v>0.16633798397725241</v>
          </cell>
          <cell r="BN287">
            <v>33517.720368530507</v>
          </cell>
          <cell r="BO287">
            <v>15087.5363</v>
          </cell>
          <cell r="BP287">
            <v>18430.184068530507</v>
          </cell>
          <cell r="BQ287">
            <v>23400</v>
          </cell>
          <cell r="BR287">
            <v>7784.6176501354093</v>
          </cell>
          <cell r="BS287">
            <v>3685.5174000000006</v>
          </cell>
          <cell r="BT287">
            <v>4099.1002501354087</v>
          </cell>
          <cell r="BU287">
            <v>0</v>
          </cell>
          <cell r="BV287">
            <v>0</v>
          </cell>
          <cell r="BX287">
            <v>13282.279631469493</v>
          </cell>
          <cell r="BY287">
            <v>272</v>
          </cell>
          <cell r="BZ287">
            <v>0</v>
          </cell>
          <cell r="CA287">
            <v>0</v>
          </cell>
        </row>
        <row r="288">
          <cell r="H288" t="str">
            <v>C233715</v>
          </cell>
          <cell r="I288" t="str">
            <v xml:space="preserve">ADAPTATION DE LA MOD23004     </v>
          </cell>
          <cell r="J288" t="str">
            <v xml:space="preserve">                              </v>
          </cell>
          <cell r="K288" t="str">
            <v xml:space="preserve">IMMFLY SL </v>
          </cell>
          <cell r="L288" t="str">
            <v>PROPRO</v>
          </cell>
          <cell r="M288">
            <v>45232</v>
          </cell>
          <cell r="N288" t="str">
            <v/>
          </cell>
          <cell r="O288">
            <v>34500</v>
          </cell>
          <cell r="P288">
            <v>0</v>
          </cell>
          <cell r="Q288">
            <v>1892</v>
          </cell>
          <cell r="R288">
            <v>1892</v>
          </cell>
          <cell r="S288">
            <v>0.5541449275362319</v>
          </cell>
          <cell r="T288">
            <v>0.59</v>
          </cell>
          <cell r="U288">
            <v>328</v>
          </cell>
          <cell r="V288">
            <v>44</v>
          </cell>
          <cell r="W288">
            <v>0</v>
          </cell>
          <cell r="X288">
            <v>284</v>
          </cell>
          <cell r="Y288">
            <v>302</v>
          </cell>
          <cell r="Z288">
            <v>18</v>
          </cell>
          <cell r="AA288">
            <v>34500</v>
          </cell>
          <cell r="AB288">
            <v>1892</v>
          </cell>
          <cell r="AC288">
            <v>13490</v>
          </cell>
          <cell r="AD288">
            <v>0.5541449275362319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17250</v>
          </cell>
          <cell r="AZ288">
            <v>0</v>
          </cell>
          <cell r="BA288">
            <v>4243.5314003380572</v>
          </cell>
          <cell r="BB288">
            <v>1892</v>
          </cell>
          <cell r="BC288">
            <v>13490</v>
          </cell>
          <cell r="BD288">
            <v>0.12300091015472631</v>
          </cell>
          <cell r="BE288">
            <v>0.5</v>
          </cell>
          <cell r="BF288">
            <v>-13006.468599661943</v>
          </cell>
          <cell r="BG288">
            <v>0</v>
          </cell>
          <cell r="BH288">
            <v>0</v>
          </cell>
          <cell r="BI288">
            <v>105</v>
          </cell>
          <cell r="BJ288">
            <v>0.12300091015472631</v>
          </cell>
          <cell r="BK288">
            <v>0</v>
          </cell>
          <cell r="BL288">
            <v>-81</v>
          </cell>
          <cell r="BM288">
            <v>5.0699286925081341E-2</v>
          </cell>
          <cell r="BN288">
            <v>4243.5314003380572</v>
          </cell>
          <cell r="BO288">
            <v>1892</v>
          </cell>
          <cell r="BP288">
            <v>2351.5314003380572</v>
          </cell>
          <cell r="BQ288">
            <v>17250</v>
          </cell>
          <cell r="BR288">
            <v>1749.1253989153061</v>
          </cell>
          <cell r="BS288">
            <v>774</v>
          </cell>
          <cell r="BT288">
            <v>975.12539891530605</v>
          </cell>
          <cell r="BU288">
            <v>0</v>
          </cell>
          <cell r="BV288">
            <v>0</v>
          </cell>
          <cell r="BX288">
            <v>30256.468599661945</v>
          </cell>
          <cell r="BY288">
            <v>44</v>
          </cell>
          <cell r="BZ288">
            <v>0</v>
          </cell>
          <cell r="CA288">
            <v>0</v>
          </cell>
        </row>
        <row r="289">
          <cell r="H289" t="str">
            <v>C233715-M</v>
          </cell>
          <cell r="I289" t="str">
            <v xml:space="preserve">TOULOUSE-BRISBANE-TOULOUSE    </v>
          </cell>
          <cell r="J289" t="str">
            <v xml:space="preserve">                              </v>
          </cell>
          <cell r="K289" t="str">
            <v xml:space="preserve">IMMFLY SL </v>
          </cell>
          <cell r="L289" t="str">
            <v>PROPRO</v>
          </cell>
          <cell r="M289">
            <v>45232</v>
          </cell>
          <cell r="N289">
            <v>45260</v>
          </cell>
          <cell r="O289">
            <v>18550</v>
          </cell>
          <cell r="P289">
            <v>0</v>
          </cell>
          <cell r="Q289">
            <v>10663.64</v>
          </cell>
          <cell r="R289">
            <v>10663.64</v>
          </cell>
          <cell r="S289">
            <v>0.42514070080862532</v>
          </cell>
          <cell r="T289">
            <v>0.32614555256064692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6000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12550</v>
          </cell>
          <cell r="AT289">
            <v>10663.64</v>
          </cell>
          <cell r="AU289">
            <v>0</v>
          </cell>
          <cell r="AV289">
            <v>0</v>
          </cell>
          <cell r="AW289">
            <v>0</v>
          </cell>
          <cell r="AX289">
            <v>0.15030756972111559</v>
          </cell>
          <cell r="AY289">
            <v>18550</v>
          </cell>
          <cell r="AZ289">
            <v>0</v>
          </cell>
          <cell r="BA289">
            <v>18550</v>
          </cell>
          <cell r="BB289">
            <v>10663.64</v>
          </cell>
          <cell r="BC289">
            <v>0</v>
          </cell>
          <cell r="BD289">
            <v>1</v>
          </cell>
          <cell r="BE289">
            <v>1</v>
          </cell>
          <cell r="BF289">
            <v>0</v>
          </cell>
          <cell r="BG289">
            <v>0</v>
          </cell>
          <cell r="BH289">
            <v>0</v>
          </cell>
          <cell r="BI289">
            <v>105</v>
          </cell>
          <cell r="BJ289">
            <v>1</v>
          </cell>
          <cell r="BK289">
            <v>0</v>
          </cell>
          <cell r="BL289">
            <v>0</v>
          </cell>
          <cell r="BM289">
            <v>0</v>
          </cell>
          <cell r="BN289">
            <v>18550</v>
          </cell>
          <cell r="BO289">
            <v>10663.64</v>
          </cell>
          <cell r="BP289">
            <v>7886.3600000000006</v>
          </cell>
          <cell r="BQ289">
            <v>18550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10663.64</v>
          </cell>
        </row>
        <row r="290">
          <cell r="H290" t="str">
            <v>C233900</v>
          </cell>
          <cell r="I290" t="str">
            <v xml:space="preserve">KICK OF MEETING REVIEW        </v>
          </cell>
          <cell r="J290" t="str">
            <v xml:space="preserve">                              </v>
          </cell>
          <cell r="K290" t="str">
            <v>LEONARDO S.P.A</v>
          </cell>
          <cell r="L290" t="str">
            <v>LUDLUD</v>
          </cell>
          <cell r="M290">
            <v>45218</v>
          </cell>
          <cell r="O290">
            <v>279500</v>
          </cell>
          <cell r="P290">
            <v>0</v>
          </cell>
          <cell r="Q290">
            <v>90304.03</v>
          </cell>
          <cell r="R290">
            <v>65946.03</v>
          </cell>
          <cell r="S290">
            <v>0.29186164579606444</v>
          </cell>
          <cell r="T290">
            <v>0.31902325581395347</v>
          </cell>
          <cell r="U290">
            <v>760</v>
          </cell>
          <cell r="V290">
            <v>267</v>
          </cell>
          <cell r="W290">
            <v>98.200000000000017</v>
          </cell>
          <cell r="X290">
            <v>395.2</v>
          </cell>
          <cell r="Y290">
            <v>569.1</v>
          </cell>
          <cell r="Z290">
            <v>173.90000000000003</v>
          </cell>
          <cell r="AA290">
            <v>85300</v>
          </cell>
          <cell r="AB290">
            <v>16587.399999999998</v>
          </cell>
          <cell r="AC290">
            <v>18772</v>
          </cell>
          <cell r="AD290">
            <v>0.58547010550996492</v>
          </cell>
          <cell r="AE290">
            <v>169200</v>
          </cell>
          <cell r="AF290">
            <v>65651.360000000001</v>
          </cell>
          <cell r="AG290">
            <v>42475.360000000001</v>
          </cell>
          <cell r="AH290">
            <v>23176</v>
          </cell>
          <cell r="AI290">
            <v>6294</v>
          </cell>
          <cell r="AJ290">
            <v>63848.639999999999</v>
          </cell>
          <cell r="AK290">
            <v>93925</v>
          </cell>
          <cell r="AL290">
            <v>30076.36</v>
          </cell>
          <cell r="AM290">
            <v>7880</v>
          </cell>
          <cell r="AN290">
            <v>6698</v>
          </cell>
          <cell r="AO290">
            <v>0</v>
          </cell>
          <cell r="AP290">
            <v>0</v>
          </cell>
          <cell r="AQ290">
            <v>7880</v>
          </cell>
          <cell r="AR290">
            <v>0.18806146572104021</v>
          </cell>
          <cell r="AS290">
            <v>0</v>
          </cell>
          <cell r="AT290">
            <v>185.27</v>
          </cell>
          <cell r="AU290">
            <v>0</v>
          </cell>
          <cell r="AV290">
            <v>0</v>
          </cell>
          <cell r="AW290">
            <v>185.27</v>
          </cell>
          <cell r="AX290">
            <v>0</v>
          </cell>
          <cell r="AY290">
            <v>139750</v>
          </cell>
          <cell r="AZ290">
            <v>0</v>
          </cell>
          <cell r="BA290">
            <v>93125.911918913378</v>
          </cell>
          <cell r="BB290">
            <v>65946.03</v>
          </cell>
          <cell r="BC290">
            <v>131978.64000000001</v>
          </cell>
          <cell r="BD290">
            <v>0.33318752028233767</v>
          </cell>
          <cell r="BE290">
            <v>0.5</v>
          </cell>
          <cell r="BF290">
            <v>-46624.088081086622</v>
          </cell>
          <cell r="BG290">
            <v>0</v>
          </cell>
          <cell r="BH290">
            <v>25000</v>
          </cell>
          <cell r="BI290">
            <v>105</v>
          </cell>
          <cell r="BJ290">
            <v>0.33318752028233767</v>
          </cell>
          <cell r="BK290">
            <v>0</v>
          </cell>
          <cell r="BL290">
            <v>1689.820000000007</v>
          </cell>
          <cell r="BM290">
            <v>0.10530954651773877</v>
          </cell>
          <cell r="BN290">
            <v>93125.911918913378</v>
          </cell>
          <cell r="BO290">
            <v>65946.03</v>
          </cell>
          <cell r="BP290">
            <v>27179.881918913379</v>
          </cell>
          <cell r="BQ290">
            <v>139750</v>
          </cell>
          <cell r="BR290">
            <v>29434.018251707988</v>
          </cell>
          <cell r="BS290">
            <v>21228.43</v>
          </cell>
          <cell r="BT290">
            <v>8205.5882517079881</v>
          </cell>
          <cell r="BU290">
            <v>0</v>
          </cell>
          <cell r="BV290">
            <v>0</v>
          </cell>
          <cell r="BX290">
            <v>186374.08808108664</v>
          </cell>
          <cell r="BY290">
            <v>358.20000000000005</v>
          </cell>
          <cell r="BZ290">
            <v>98.200000000000017</v>
          </cell>
          <cell r="CA290">
            <v>42660.63</v>
          </cell>
        </row>
        <row r="291">
          <cell r="H291" t="str">
            <v>C233940</v>
          </cell>
          <cell r="I291" t="str">
            <v xml:space="preserve">A320 MSN 4720 G1 &amp; G5         </v>
          </cell>
          <cell r="J291" t="str">
            <v xml:space="preserve">23120                         </v>
          </cell>
          <cell r="K291" t="str">
            <v>AERO CABIN SOLUTIONS</v>
          </cell>
          <cell r="L291" t="str">
            <v>FDE</v>
          </cell>
          <cell r="M291">
            <v>45230</v>
          </cell>
          <cell r="O291">
            <v>7100</v>
          </cell>
          <cell r="P291">
            <v>0</v>
          </cell>
          <cell r="Q291">
            <v>344</v>
          </cell>
          <cell r="R291">
            <v>344</v>
          </cell>
          <cell r="S291">
            <v>0.55683098591549296</v>
          </cell>
          <cell r="T291">
            <v>0.59</v>
          </cell>
          <cell r="U291">
            <v>67.61904761904762</v>
          </cell>
          <cell r="V291">
            <v>8</v>
          </cell>
          <cell r="W291">
            <v>0</v>
          </cell>
          <cell r="X291">
            <v>59</v>
          </cell>
          <cell r="Y291">
            <v>67.599999999999994</v>
          </cell>
          <cell r="Z291">
            <v>8</v>
          </cell>
          <cell r="AA291">
            <v>7100</v>
          </cell>
          <cell r="AB291">
            <v>344</v>
          </cell>
          <cell r="AC291">
            <v>2802.5</v>
          </cell>
          <cell r="AD291">
            <v>0.55683098591549296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776.22755442555228</v>
          </cell>
          <cell r="BB291">
            <v>344</v>
          </cell>
          <cell r="BC291">
            <v>2802.5</v>
          </cell>
          <cell r="BD291">
            <v>0.10932782456697919</v>
          </cell>
          <cell r="BE291">
            <v>0</v>
          </cell>
          <cell r="BF291">
            <v>0</v>
          </cell>
          <cell r="BG291">
            <v>776.22755442555228</v>
          </cell>
          <cell r="BH291">
            <v>0</v>
          </cell>
          <cell r="BI291">
            <v>105</v>
          </cell>
          <cell r="BJ291">
            <v>0.10932782456697919</v>
          </cell>
          <cell r="BK291">
            <v>0</v>
          </cell>
          <cell r="BL291">
            <v>-64.499999999999545</v>
          </cell>
          <cell r="BM291">
            <v>0.10932782456697919</v>
          </cell>
          <cell r="BN291">
            <v>776.22755442555228</v>
          </cell>
          <cell r="BO291">
            <v>344</v>
          </cell>
          <cell r="BP291">
            <v>432.22755442555228</v>
          </cell>
          <cell r="BQ291">
            <v>0</v>
          </cell>
          <cell r="BR291">
            <v>776.22755442555228</v>
          </cell>
          <cell r="BS291">
            <v>344</v>
          </cell>
          <cell r="BT291">
            <v>432.22755442555228</v>
          </cell>
          <cell r="BU291">
            <v>0</v>
          </cell>
          <cell r="BV291">
            <v>0</v>
          </cell>
          <cell r="BX291">
            <v>6323.7724455744474</v>
          </cell>
          <cell r="BY291">
            <v>5</v>
          </cell>
          <cell r="BZ291">
            <v>0</v>
          </cell>
          <cell r="CA291">
            <v>0</v>
          </cell>
        </row>
        <row r="292">
          <cell r="H292" t="str">
            <v>C233939</v>
          </cell>
          <cell r="I292" t="str">
            <v xml:space="preserve">DEVELOPMENT OF A SB           </v>
          </cell>
          <cell r="J292" t="str">
            <v xml:space="preserve">23116                         </v>
          </cell>
          <cell r="K292" t="str">
            <v xml:space="preserve">DASSAULT AVIATION BUSINESS SERVICES </v>
          </cell>
          <cell r="L292" t="str">
            <v>PNAPLA</v>
          </cell>
          <cell r="M292">
            <v>45229</v>
          </cell>
          <cell r="O292">
            <v>15100</v>
          </cell>
          <cell r="P292">
            <v>0</v>
          </cell>
          <cell r="Q292">
            <v>4773</v>
          </cell>
          <cell r="R292">
            <v>4773</v>
          </cell>
          <cell r="S292">
            <v>0.5832450331125828</v>
          </cell>
          <cell r="T292">
            <v>0.59</v>
          </cell>
          <cell r="U292">
            <v>143</v>
          </cell>
          <cell r="V292">
            <v>111</v>
          </cell>
          <cell r="W292">
            <v>0</v>
          </cell>
          <cell r="X292">
            <v>32</v>
          </cell>
          <cell r="Y292">
            <v>56</v>
          </cell>
          <cell r="Z292">
            <v>24</v>
          </cell>
          <cell r="AA292">
            <v>15100</v>
          </cell>
          <cell r="AB292">
            <v>4773</v>
          </cell>
          <cell r="AC292">
            <v>1520</v>
          </cell>
          <cell r="AD292">
            <v>0.5832450331125828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7550</v>
          </cell>
          <cell r="AZ292">
            <v>0</v>
          </cell>
          <cell r="BA292">
            <v>11452.772922294613</v>
          </cell>
          <cell r="BB292">
            <v>4773</v>
          </cell>
          <cell r="BC292">
            <v>1520</v>
          </cell>
          <cell r="BD292">
            <v>0.75846178293341804</v>
          </cell>
          <cell r="BE292">
            <v>0.5</v>
          </cell>
          <cell r="BF292">
            <v>0</v>
          </cell>
          <cell r="BG292">
            <v>3902.7729222946123</v>
          </cell>
          <cell r="BH292">
            <v>0</v>
          </cell>
          <cell r="BI292">
            <v>105</v>
          </cell>
          <cell r="BJ292">
            <v>0.75846178293341804</v>
          </cell>
          <cell r="BK292">
            <v>0</v>
          </cell>
          <cell r="BL292">
            <v>-108</v>
          </cell>
          <cell r="BM292">
            <v>0.17402185167267747</v>
          </cell>
          <cell r="BN292">
            <v>11452.772922294613</v>
          </cell>
          <cell r="BO292">
            <v>4773</v>
          </cell>
          <cell r="BP292">
            <v>6679.7729222946127</v>
          </cell>
          <cell r="BQ292">
            <v>7550</v>
          </cell>
          <cell r="BR292">
            <v>2627.7299602574294</v>
          </cell>
          <cell r="BS292">
            <v>1032</v>
          </cell>
          <cell r="BT292">
            <v>1595.7299602574294</v>
          </cell>
          <cell r="BU292">
            <v>0</v>
          </cell>
          <cell r="BV292">
            <v>0</v>
          </cell>
          <cell r="BX292">
            <v>3647.2270777053873</v>
          </cell>
          <cell r="BY292">
            <v>111</v>
          </cell>
          <cell r="BZ292">
            <v>0</v>
          </cell>
          <cell r="CA292">
            <v>0</v>
          </cell>
        </row>
        <row r="293">
          <cell r="H293" t="str">
            <v>C233908</v>
          </cell>
          <cell r="I293" t="str">
            <v xml:space="preserve">ANALYSE DES MODIFICATIONS     </v>
          </cell>
          <cell r="J293" t="str">
            <v xml:space="preserve">                              </v>
          </cell>
          <cell r="K293" t="str">
            <v>AIRTELIS</v>
          </cell>
          <cell r="L293" t="str">
            <v>LJALJA</v>
          </cell>
          <cell r="M293">
            <v>45229</v>
          </cell>
          <cell r="O293">
            <v>168782</v>
          </cell>
          <cell r="P293">
            <v>0</v>
          </cell>
          <cell r="Q293">
            <v>86679.98</v>
          </cell>
          <cell r="R293">
            <v>13095.445000000002</v>
          </cell>
          <cell r="S293">
            <v>0.28820170397317257</v>
          </cell>
          <cell r="T293">
            <v>0.30861318150039696</v>
          </cell>
          <cell r="U293">
            <v>456.5</v>
          </cell>
          <cell r="V293">
            <v>132.4</v>
          </cell>
          <cell r="W293">
            <v>0</v>
          </cell>
          <cell r="X293">
            <v>321</v>
          </cell>
          <cell r="Y293">
            <v>409.5</v>
          </cell>
          <cell r="Z293">
            <v>88.4</v>
          </cell>
          <cell r="AA293">
            <v>47005</v>
          </cell>
          <cell r="AB293">
            <v>5693.2000000000007</v>
          </cell>
          <cell r="AC293">
            <v>15247.5</v>
          </cell>
          <cell r="AD293">
            <v>0.55450058504414423</v>
          </cell>
          <cell r="AE293">
            <v>117487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39072.480000000003</v>
          </cell>
          <cell r="AL293">
            <v>0</v>
          </cell>
          <cell r="AM293">
            <v>80766.039999999994</v>
          </cell>
          <cell r="AN293">
            <v>7181.505000000001</v>
          </cell>
          <cell r="AO293">
            <v>15000</v>
          </cell>
          <cell r="AP293">
            <v>0</v>
          </cell>
          <cell r="AQ293">
            <v>80766.039999999994</v>
          </cell>
          <cell r="AR293">
            <v>0.18487968881663508</v>
          </cell>
          <cell r="AS293">
            <v>4290</v>
          </cell>
          <cell r="AT293">
            <v>220.74</v>
          </cell>
          <cell r="AU293">
            <v>3211.26</v>
          </cell>
          <cell r="AV293">
            <v>0</v>
          </cell>
          <cell r="AW293">
            <v>220.74</v>
          </cell>
          <cell r="AX293">
            <v>0.19999999999999996</v>
          </cell>
          <cell r="AY293">
            <v>70334.5</v>
          </cell>
          <cell r="AZ293">
            <v>0</v>
          </cell>
          <cell r="BA293">
            <v>18397.690853008782</v>
          </cell>
          <cell r="BB293">
            <v>13095.445000000002</v>
          </cell>
          <cell r="BC293">
            <v>107043.29499999998</v>
          </cell>
          <cell r="BD293">
            <v>0.10900268306459683</v>
          </cell>
          <cell r="BE293">
            <v>0.4167180149542013</v>
          </cell>
          <cell r="BF293">
            <v>-51936.809146991225</v>
          </cell>
          <cell r="BG293">
            <v>0</v>
          </cell>
          <cell r="BH293">
            <v>0</v>
          </cell>
          <cell r="BI293">
            <v>105</v>
          </cell>
          <cell r="BJ293">
            <v>0.10900268306459683</v>
          </cell>
          <cell r="BK293">
            <v>0</v>
          </cell>
          <cell r="BL293">
            <v>-3671.7600000000093</v>
          </cell>
          <cell r="BM293">
            <v>7.1198829594979945E-2</v>
          </cell>
          <cell r="BN293">
            <v>18397.690853008782</v>
          </cell>
          <cell r="BO293">
            <v>13095.445000000002</v>
          </cell>
          <cell r="BP293">
            <v>5302.2458530087806</v>
          </cell>
          <cell r="BQ293">
            <v>70334.5</v>
          </cell>
          <cell r="BR293">
            <v>12017.080856699906</v>
          </cell>
          <cell r="BS293">
            <v>8414.9310000000005</v>
          </cell>
          <cell r="BT293">
            <v>3602.1498566999053</v>
          </cell>
          <cell r="BU293">
            <v>0</v>
          </cell>
          <cell r="BV293">
            <v>0</v>
          </cell>
          <cell r="BX293">
            <v>150384.30914699123</v>
          </cell>
          <cell r="BY293">
            <v>132.4</v>
          </cell>
          <cell r="BZ293">
            <v>0</v>
          </cell>
          <cell r="CA293">
            <v>220.74</v>
          </cell>
        </row>
        <row r="294">
          <cell r="H294" t="str">
            <v>C233944</v>
          </cell>
          <cell r="I294" t="str">
            <v>F7X-220 - GALLEYS MODIFICATION</v>
          </cell>
          <cell r="J294" t="str">
            <v xml:space="preserve">23115                         </v>
          </cell>
          <cell r="K294" t="str">
            <v xml:space="preserve">DASSAULT AVIATION BUSINESS SERVICES </v>
          </cell>
          <cell r="L294" t="str">
            <v>VGAVGA</v>
          </cell>
          <cell r="M294">
            <v>45232</v>
          </cell>
          <cell r="O294">
            <v>21500</v>
          </cell>
          <cell r="P294">
            <v>0</v>
          </cell>
          <cell r="Q294">
            <v>11114.100000000002</v>
          </cell>
          <cell r="R294">
            <v>11114.100000000002</v>
          </cell>
          <cell r="S294">
            <v>0.48306511627906967</v>
          </cell>
          <cell r="T294">
            <v>0.59</v>
          </cell>
          <cell r="U294">
            <v>205</v>
          </cell>
          <cell r="V294">
            <v>114.5</v>
          </cell>
          <cell r="W294">
            <v>119.04999999999995</v>
          </cell>
          <cell r="X294">
            <v>0</v>
          </cell>
          <cell r="Y294">
            <v>18.250000000000057</v>
          </cell>
          <cell r="Z294">
            <v>46.8</v>
          </cell>
          <cell r="AA294">
            <v>21500</v>
          </cell>
          <cell r="AB294">
            <v>11114.100000000002</v>
          </cell>
          <cell r="AC294">
            <v>0</v>
          </cell>
          <cell r="AD294">
            <v>0.48306511627906967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21500</v>
          </cell>
          <cell r="BB294">
            <v>11114.100000000002</v>
          </cell>
          <cell r="BC294">
            <v>0</v>
          </cell>
          <cell r="BD294">
            <v>1</v>
          </cell>
          <cell r="BE294">
            <v>0</v>
          </cell>
          <cell r="BF294">
            <v>0</v>
          </cell>
          <cell r="BG294">
            <v>21500</v>
          </cell>
          <cell r="BH294">
            <v>0</v>
          </cell>
          <cell r="BI294">
            <v>105</v>
          </cell>
          <cell r="BJ294">
            <v>1</v>
          </cell>
          <cell r="BK294">
            <v>0</v>
          </cell>
          <cell r="BL294">
            <v>1386.7249999999976</v>
          </cell>
          <cell r="BM294">
            <v>8.9117053675837665E-2</v>
          </cell>
          <cell r="BN294">
            <v>21500</v>
          </cell>
          <cell r="BO294">
            <v>11114.100000000002</v>
          </cell>
          <cell r="BP294">
            <v>10385.899999999998</v>
          </cell>
          <cell r="BQ294">
            <v>0</v>
          </cell>
          <cell r="BR294">
            <v>1916.0166540305108</v>
          </cell>
          <cell r="BS294">
            <v>2253.6000000000004</v>
          </cell>
          <cell r="BT294">
            <v>-337.58334596948953</v>
          </cell>
          <cell r="BU294">
            <v>0</v>
          </cell>
          <cell r="BV294">
            <v>0</v>
          </cell>
          <cell r="BX294">
            <v>0</v>
          </cell>
          <cell r="BY294">
            <v>231.54999999999995</v>
          </cell>
          <cell r="BZ294">
            <v>119.04999999999995</v>
          </cell>
          <cell r="CA294">
            <v>0</v>
          </cell>
        </row>
        <row r="295">
          <cell r="H295" t="str">
            <v>C233946</v>
          </cell>
          <cell r="I295" t="str">
            <v xml:space="preserve">B737 - DE-MOD 13001 &amp; 19078   </v>
          </cell>
          <cell r="J295" t="str">
            <v xml:space="preserve">23117                         </v>
          </cell>
          <cell r="K295" t="str">
            <v>TRANSAVIA FRANCE</v>
          </cell>
          <cell r="L295" t="str">
            <v>VGAVGA</v>
          </cell>
          <cell r="M295">
            <v>45232</v>
          </cell>
          <cell r="N295">
            <v>45291</v>
          </cell>
          <cell r="O295">
            <v>4100</v>
          </cell>
          <cell r="P295">
            <v>0</v>
          </cell>
          <cell r="Q295">
            <v>1526.5</v>
          </cell>
          <cell r="R295">
            <v>1526.5</v>
          </cell>
          <cell r="S295">
            <v>0.6276829268292683</v>
          </cell>
          <cell r="T295">
            <v>0.59</v>
          </cell>
          <cell r="U295">
            <v>39</v>
          </cell>
          <cell r="V295">
            <v>35.5</v>
          </cell>
          <cell r="W295">
            <v>0</v>
          </cell>
          <cell r="X295">
            <v>0</v>
          </cell>
          <cell r="Y295">
            <v>0.5</v>
          </cell>
          <cell r="Z295">
            <v>0</v>
          </cell>
          <cell r="AA295">
            <v>4100</v>
          </cell>
          <cell r="AB295">
            <v>1526.5</v>
          </cell>
          <cell r="AC295">
            <v>0</v>
          </cell>
          <cell r="AD295">
            <v>0.6276829268292683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4100</v>
          </cell>
          <cell r="AZ295">
            <v>0</v>
          </cell>
          <cell r="BA295">
            <v>4100</v>
          </cell>
          <cell r="BB295">
            <v>1526.5</v>
          </cell>
          <cell r="BC295">
            <v>0</v>
          </cell>
          <cell r="BD295">
            <v>1</v>
          </cell>
          <cell r="BE295">
            <v>1</v>
          </cell>
          <cell r="BF295">
            <v>0</v>
          </cell>
          <cell r="BG295">
            <v>0</v>
          </cell>
          <cell r="BH295">
            <v>0</v>
          </cell>
          <cell r="BI295">
            <v>105</v>
          </cell>
          <cell r="BJ295">
            <v>1</v>
          </cell>
          <cell r="BK295">
            <v>0</v>
          </cell>
          <cell r="BL295">
            <v>-23.75</v>
          </cell>
          <cell r="BM295">
            <v>1.5320109659732295E-2</v>
          </cell>
          <cell r="BN295">
            <v>4100</v>
          </cell>
          <cell r="BO295">
            <v>1526.5</v>
          </cell>
          <cell r="BP295">
            <v>2573.5</v>
          </cell>
          <cell r="BQ295">
            <v>4100</v>
          </cell>
          <cell r="BR295">
            <v>62.812449604902213</v>
          </cell>
          <cell r="BS295">
            <v>0</v>
          </cell>
          <cell r="BT295">
            <v>62.812449604902213</v>
          </cell>
          <cell r="BU295">
            <v>4100</v>
          </cell>
          <cell r="BV295">
            <v>0</v>
          </cell>
          <cell r="BX295">
            <v>0</v>
          </cell>
          <cell r="BY295">
            <v>35.5</v>
          </cell>
          <cell r="BZ295">
            <v>0</v>
          </cell>
          <cell r="CA295">
            <v>0</v>
          </cell>
        </row>
        <row r="296">
          <cell r="H296" t="str">
            <v>C233920</v>
          </cell>
          <cell r="I296" t="str">
            <v xml:space="preserve">NOUVEAU DOSSIER DE PROVISION  </v>
          </cell>
          <cell r="J296" t="str">
            <v xml:space="preserve">23121                         </v>
          </cell>
          <cell r="K296" t="str">
            <v>AIRTELIS</v>
          </cell>
          <cell r="L296" t="str">
            <v>LJALJA</v>
          </cell>
          <cell r="M296">
            <v>45229</v>
          </cell>
          <cell r="O296">
            <v>89798</v>
          </cell>
          <cell r="P296">
            <v>0</v>
          </cell>
          <cell r="Q296">
            <v>19859.441739000002</v>
          </cell>
          <cell r="R296">
            <v>43</v>
          </cell>
          <cell r="S296">
            <v>0.36699211854384284</v>
          </cell>
          <cell r="T296">
            <v>0.38588387269204211</v>
          </cell>
          <cell r="U296">
            <v>415</v>
          </cell>
          <cell r="V296">
            <v>1</v>
          </cell>
          <cell r="W296">
            <v>0</v>
          </cell>
          <cell r="X296">
            <v>414</v>
          </cell>
          <cell r="Y296">
            <v>415</v>
          </cell>
          <cell r="Z296">
            <v>1</v>
          </cell>
          <cell r="AA296">
            <v>42800</v>
          </cell>
          <cell r="AB296">
            <v>43</v>
          </cell>
          <cell r="AC296">
            <v>19665</v>
          </cell>
          <cell r="AD296">
            <v>0.53953271028037375</v>
          </cell>
          <cell r="AE296">
            <v>44100</v>
          </cell>
          <cell r="AF296">
            <v>12817.181739000001</v>
          </cell>
          <cell r="AG296">
            <v>0</v>
          </cell>
          <cell r="AH296">
            <v>12817.181739000001</v>
          </cell>
          <cell r="AI296">
            <v>0</v>
          </cell>
          <cell r="AJ296">
            <v>0</v>
          </cell>
          <cell r="AK296">
            <v>35280</v>
          </cell>
          <cell r="AL296">
            <v>12817.181739000001</v>
          </cell>
          <cell r="AM296">
            <v>6999.26</v>
          </cell>
          <cell r="AN296">
            <v>0</v>
          </cell>
          <cell r="AO296">
            <v>15000</v>
          </cell>
          <cell r="AP296">
            <v>0</v>
          </cell>
          <cell r="AQ296">
            <v>6999.26</v>
          </cell>
          <cell r="AR296">
            <v>0.21051152519274374</v>
          </cell>
          <cell r="AS296">
            <v>2898</v>
          </cell>
          <cell r="AT296">
            <v>0</v>
          </cell>
          <cell r="AU296">
            <v>2318.4</v>
          </cell>
          <cell r="AV296">
            <v>0</v>
          </cell>
          <cell r="AW296">
            <v>0</v>
          </cell>
          <cell r="AX296">
            <v>0.19999999999999996</v>
          </cell>
          <cell r="AY296">
            <v>22449.5</v>
          </cell>
          <cell r="AZ296">
            <v>0</v>
          </cell>
          <cell r="BA296">
            <v>67.929643942321476</v>
          </cell>
          <cell r="BB296">
            <v>43</v>
          </cell>
          <cell r="BC296">
            <v>56799.841739000003</v>
          </cell>
          <cell r="BD296">
            <v>7.5647168024144725E-4</v>
          </cell>
          <cell r="BE296">
            <v>0.25</v>
          </cell>
          <cell r="BF296">
            <v>-22381.570356057677</v>
          </cell>
          <cell r="BG296">
            <v>0</v>
          </cell>
          <cell r="BH296">
            <v>0</v>
          </cell>
          <cell r="BI296">
            <v>105</v>
          </cell>
          <cell r="BJ296">
            <v>7.5647168024144725E-4</v>
          </cell>
          <cell r="BK296">
            <v>0</v>
          </cell>
          <cell r="BL296">
            <v>-468.05826099999831</v>
          </cell>
          <cell r="BM296">
            <v>7.5647168024144725E-4</v>
          </cell>
          <cell r="BN296">
            <v>67.929643942321476</v>
          </cell>
          <cell r="BO296">
            <v>43</v>
          </cell>
          <cell r="BP296">
            <v>24.929643942321476</v>
          </cell>
          <cell r="BQ296">
            <v>22449.5</v>
          </cell>
          <cell r="BR296">
            <v>67.929643942321476</v>
          </cell>
          <cell r="BS296">
            <v>43</v>
          </cell>
          <cell r="BT296">
            <v>24.929643942321476</v>
          </cell>
          <cell r="BU296">
            <v>0</v>
          </cell>
          <cell r="BV296">
            <v>0</v>
          </cell>
          <cell r="BX296">
            <v>89730.07035605768</v>
          </cell>
          <cell r="BY296">
            <v>1</v>
          </cell>
          <cell r="BZ296">
            <v>0</v>
          </cell>
          <cell r="CA296">
            <v>0</v>
          </cell>
        </row>
        <row r="297">
          <cell r="H297" t="str">
            <v>B220077</v>
          </cell>
          <cell r="I297" t="str">
            <v xml:space="preserve">PRESTATION UPNEXT             </v>
          </cell>
          <cell r="J297" t="str">
            <v xml:space="preserve">                              </v>
          </cell>
          <cell r="K297" t="str">
            <v xml:space="preserve">AEROTEC BLAGNAC </v>
          </cell>
          <cell r="L297" t="str">
            <v>BAZBAZ</v>
          </cell>
          <cell r="M297">
            <v>45173</v>
          </cell>
          <cell r="O297">
            <v>11340.9</v>
          </cell>
          <cell r="P297">
            <v>0</v>
          </cell>
          <cell r="Q297">
            <v>9460</v>
          </cell>
          <cell r="R297">
            <v>9460</v>
          </cell>
          <cell r="S297">
            <v>-5.8725497976350738E-3</v>
          </cell>
          <cell r="T297">
            <v>0.59</v>
          </cell>
          <cell r="U297">
            <v>261.3</v>
          </cell>
          <cell r="V297">
            <v>220</v>
          </cell>
          <cell r="W297">
            <v>0</v>
          </cell>
          <cell r="X297">
            <v>41</v>
          </cell>
          <cell r="Y297">
            <v>151</v>
          </cell>
          <cell r="Z297">
            <v>110</v>
          </cell>
          <cell r="AA297">
            <v>11340.9</v>
          </cell>
          <cell r="AB297">
            <v>9460</v>
          </cell>
          <cell r="AC297">
            <v>1947.5</v>
          </cell>
          <cell r="AD297">
            <v>-5.8725497976350738E-3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9404.7700197238646</v>
          </cell>
          <cell r="BB297">
            <v>9460</v>
          </cell>
          <cell r="BC297">
            <v>1947.5</v>
          </cell>
          <cell r="BD297">
            <v>0.82927898312513693</v>
          </cell>
          <cell r="BE297">
            <v>0</v>
          </cell>
          <cell r="BF297">
            <v>0</v>
          </cell>
          <cell r="BG297">
            <v>9404.7700197238646</v>
          </cell>
          <cell r="BH297">
            <v>0</v>
          </cell>
          <cell r="BI297">
            <v>43</v>
          </cell>
          <cell r="BJ297">
            <v>0.82927898312513693</v>
          </cell>
          <cell r="BK297">
            <v>0</v>
          </cell>
          <cell r="BL297">
            <v>-495</v>
          </cell>
          <cell r="BM297">
            <v>0.43188347797915921</v>
          </cell>
          <cell r="BN297">
            <v>9404.7700197238646</v>
          </cell>
          <cell r="BO297">
            <v>9460</v>
          </cell>
          <cell r="BP297">
            <v>-55.229980276135393</v>
          </cell>
          <cell r="BQ297">
            <v>0</v>
          </cell>
          <cell r="BR297">
            <v>4897.9473354138463</v>
          </cell>
          <cell r="BS297">
            <v>4730</v>
          </cell>
          <cell r="BT297">
            <v>167.9473354138463</v>
          </cell>
          <cell r="BU297">
            <v>0</v>
          </cell>
          <cell r="BV297">
            <v>0</v>
          </cell>
          <cell r="BX297">
            <v>1936.129980276135</v>
          </cell>
          <cell r="BY297">
            <v>220</v>
          </cell>
          <cell r="BZ297">
            <v>0</v>
          </cell>
          <cell r="CA297">
            <v>0</v>
          </cell>
        </row>
        <row r="298">
          <cell r="H298" t="str">
            <v>C233848</v>
          </cell>
          <cell r="I298" t="str">
            <v xml:space="preserve">CABIN REPAIR &amp; REFURBISHMENT  </v>
          </cell>
          <cell r="J298" t="str">
            <v xml:space="preserve">23118                         </v>
          </cell>
          <cell r="K298" t="str">
            <v xml:space="preserve">JV AEROSERVICES </v>
          </cell>
          <cell r="L298" t="str">
            <v>PNAQPO</v>
          </cell>
          <cell r="M298">
            <v>45247</v>
          </cell>
          <cell r="O298">
            <v>23900</v>
          </cell>
          <cell r="P298">
            <v>0</v>
          </cell>
          <cell r="Q298">
            <v>6297.45</v>
          </cell>
          <cell r="R298">
            <v>6297.45</v>
          </cell>
          <cell r="S298">
            <v>0.62678033472803341</v>
          </cell>
          <cell r="T298">
            <v>0.55736401673640168</v>
          </cell>
          <cell r="U298">
            <v>192</v>
          </cell>
          <cell r="V298">
            <v>141</v>
          </cell>
          <cell r="W298">
            <v>0</v>
          </cell>
          <cell r="X298">
            <v>51</v>
          </cell>
          <cell r="Y298">
            <v>129</v>
          </cell>
          <cell r="Z298">
            <v>78</v>
          </cell>
          <cell r="AA298">
            <v>21900</v>
          </cell>
          <cell r="AB298">
            <v>6063</v>
          </cell>
          <cell r="AC298">
            <v>2422.5</v>
          </cell>
          <cell r="AD298">
            <v>0.6125342465753425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2000</v>
          </cell>
          <cell r="AT298">
            <v>234.45000000000002</v>
          </cell>
          <cell r="AU298">
            <v>200</v>
          </cell>
          <cell r="AV298">
            <v>0</v>
          </cell>
          <cell r="AW298">
            <v>0</v>
          </cell>
          <cell r="AX298">
            <v>0.782775</v>
          </cell>
          <cell r="AY298">
            <v>11950</v>
          </cell>
          <cell r="AZ298">
            <v>0</v>
          </cell>
          <cell r="BA298">
            <v>16873.307025263595</v>
          </cell>
          <cell r="BB298">
            <v>6297.45</v>
          </cell>
          <cell r="BC298">
            <v>2622.5</v>
          </cell>
          <cell r="BD298">
            <v>0.70599610984366501</v>
          </cell>
          <cell r="BE298">
            <v>0.5</v>
          </cell>
          <cell r="BF298">
            <v>0</v>
          </cell>
          <cell r="BG298">
            <v>4923.3070252635935</v>
          </cell>
          <cell r="BH298">
            <v>0</v>
          </cell>
          <cell r="BI298">
            <v>105</v>
          </cell>
          <cell r="BJ298">
            <v>0.70599610984366501</v>
          </cell>
          <cell r="BK298">
            <v>0</v>
          </cell>
          <cell r="BL298">
            <v>-350.99999999999909</v>
          </cell>
          <cell r="BM298">
            <v>0.38850437490819456</v>
          </cell>
          <cell r="BN298">
            <v>16873.307025263595</v>
          </cell>
          <cell r="BO298">
            <v>6297.45</v>
          </cell>
          <cell r="BP298">
            <v>10575.857025263595</v>
          </cell>
          <cell r="BQ298">
            <v>11950</v>
          </cell>
          <cell r="BR298">
            <v>9285.2545603058516</v>
          </cell>
          <cell r="BS298">
            <v>3354</v>
          </cell>
          <cell r="BT298">
            <v>5931.2545603058516</v>
          </cell>
          <cell r="BU298">
            <v>0</v>
          </cell>
          <cell r="BV298">
            <v>0</v>
          </cell>
          <cell r="BX298">
            <v>7026.6929747364047</v>
          </cell>
          <cell r="BY298">
            <v>140</v>
          </cell>
          <cell r="BZ298">
            <v>0</v>
          </cell>
          <cell r="CA298">
            <v>234.45000000000002</v>
          </cell>
        </row>
        <row r="299">
          <cell r="H299" t="str">
            <v>C233930</v>
          </cell>
          <cell r="I299" t="str">
            <v xml:space="preserve">COMPLEMENT DE PRE-ETUDE       </v>
          </cell>
          <cell r="J299" t="str">
            <v xml:space="preserve">                              </v>
          </cell>
          <cell r="K299" t="str">
            <v xml:space="preserve">HELIDAX </v>
          </cell>
          <cell r="L299" t="str">
            <v>JFAJFA</v>
          </cell>
          <cell r="M299">
            <v>45232</v>
          </cell>
          <cell r="O299">
            <v>1260</v>
          </cell>
          <cell r="P299">
            <v>0</v>
          </cell>
          <cell r="Q299">
            <v>0</v>
          </cell>
          <cell r="R299">
            <v>0</v>
          </cell>
          <cell r="S299">
            <v>0.54761904761904767</v>
          </cell>
          <cell r="T299">
            <v>0.59</v>
          </cell>
          <cell r="U299">
            <v>12</v>
          </cell>
          <cell r="V299">
            <v>0</v>
          </cell>
          <cell r="W299">
            <v>0</v>
          </cell>
          <cell r="X299">
            <v>12</v>
          </cell>
          <cell r="Y299">
            <v>12</v>
          </cell>
          <cell r="Z299">
            <v>0</v>
          </cell>
          <cell r="AA299">
            <v>1260</v>
          </cell>
          <cell r="AB299">
            <v>0</v>
          </cell>
          <cell r="AC299">
            <v>570</v>
          </cell>
          <cell r="AD299">
            <v>0.54761904761904767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570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105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X299">
            <v>1260</v>
          </cell>
          <cell r="BY299">
            <v>0</v>
          </cell>
          <cell r="BZ299">
            <v>0</v>
          </cell>
          <cell r="CA299">
            <v>0</v>
          </cell>
        </row>
        <row r="300">
          <cell r="H300" t="str">
            <v>C233952</v>
          </cell>
          <cell r="I300" t="str">
            <v xml:space="preserve">B787 ETIHAD - MYLAR KIT       </v>
          </cell>
          <cell r="J300" t="str">
            <v xml:space="preserve">23123                         </v>
          </cell>
          <cell r="K300" t="str">
            <v xml:space="preserve">ADHETEC SAS </v>
          </cell>
          <cell r="L300" t="str">
            <v>VGAVGA</v>
          </cell>
          <cell r="M300">
            <v>45239</v>
          </cell>
          <cell r="O300">
            <v>8700</v>
          </cell>
          <cell r="P300">
            <v>0</v>
          </cell>
          <cell r="Q300">
            <v>6458</v>
          </cell>
          <cell r="R300">
            <v>5683</v>
          </cell>
          <cell r="S300">
            <v>0.22494252873563214</v>
          </cell>
          <cell r="T300">
            <v>0.25648275862068964</v>
          </cell>
          <cell r="U300">
            <v>12</v>
          </cell>
          <cell r="V300">
            <v>6</v>
          </cell>
          <cell r="W300">
            <v>0</v>
          </cell>
          <cell r="X300">
            <v>6</v>
          </cell>
          <cell r="Y300">
            <v>7</v>
          </cell>
          <cell r="Z300">
            <v>1</v>
          </cell>
          <cell r="AA300">
            <v>1260</v>
          </cell>
          <cell r="AB300">
            <v>258</v>
          </cell>
          <cell r="AC300">
            <v>285</v>
          </cell>
          <cell r="AD300">
            <v>0.56904761904761902</v>
          </cell>
          <cell r="AE300">
            <v>7440</v>
          </cell>
          <cell r="AF300">
            <v>6200</v>
          </cell>
          <cell r="AG300">
            <v>5425</v>
          </cell>
          <cell r="AH300">
            <v>775</v>
          </cell>
          <cell r="AI300">
            <v>2325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0.16666666666666663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4350</v>
          </cell>
          <cell r="AZ300">
            <v>0</v>
          </cell>
          <cell r="BA300">
            <v>7332.3594839092393</v>
          </cell>
          <cell r="BB300">
            <v>5683</v>
          </cell>
          <cell r="BC300">
            <v>1060</v>
          </cell>
          <cell r="BD300">
            <v>0.84279994067922293</v>
          </cell>
          <cell r="BE300">
            <v>0.5</v>
          </cell>
          <cell r="BF300">
            <v>0</v>
          </cell>
          <cell r="BG300">
            <v>2982.3594839092393</v>
          </cell>
          <cell r="BH300">
            <v>0</v>
          </cell>
          <cell r="BI300">
            <v>105</v>
          </cell>
          <cell r="BJ300">
            <v>0.84279994067922293</v>
          </cell>
          <cell r="BK300">
            <v>0</v>
          </cell>
          <cell r="BL300">
            <v>-4.5</v>
          </cell>
          <cell r="BM300">
            <v>0.35150686917125701</v>
          </cell>
          <cell r="BN300">
            <v>7332.3594839092393</v>
          </cell>
          <cell r="BO300">
            <v>5683</v>
          </cell>
          <cell r="BP300">
            <v>1649.3594839092393</v>
          </cell>
          <cell r="BQ300">
            <v>4350</v>
          </cell>
          <cell r="BR300">
            <v>3058.1097617899359</v>
          </cell>
          <cell r="BS300">
            <v>2368</v>
          </cell>
          <cell r="BT300">
            <v>690.10976178993587</v>
          </cell>
          <cell r="BU300">
            <v>0</v>
          </cell>
          <cell r="BV300">
            <v>0</v>
          </cell>
          <cell r="BX300">
            <v>1367.6405160907607</v>
          </cell>
          <cell r="BY300">
            <v>6</v>
          </cell>
          <cell r="BZ300">
            <v>0</v>
          </cell>
          <cell r="CA300">
            <v>5425</v>
          </cell>
        </row>
        <row r="301">
          <cell r="H301" t="str">
            <v>C233937</v>
          </cell>
          <cell r="I301" t="str">
            <v xml:space="preserve">DOSSIER LIVREE SUR EC225      </v>
          </cell>
          <cell r="J301" t="str">
            <v xml:space="preserve">23122                         </v>
          </cell>
          <cell r="K301" t="str">
            <v xml:space="preserve">JJGK AERO </v>
          </cell>
          <cell r="L301" t="str">
            <v>LJALJA</v>
          </cell>
          <cell r="M301">
            <v>45238</v>
          </cell>
          <cell r="O301">
            <v>4095</v>
          </cell>
          <cell r="P301">
            <v>0</v>
          </cell>
          <cell r="Q301">
            <v>1376</v>
          </cell>
          <cell r="R301">
            <v>1376</v>
          </cell>
          <cell r="S301">
            <v>0.58278388278388271</v>
          </cell>
          <cell r="T301">
            <v>0.59</v>
          </cell>
          <cell r="U301">
            <v>39</v>
          </cell>
          <cell r="V301">
            <v>32</v>
          </cell>
          <cell r="W301">
            <v>0</v>
          </cell>
          <cell r="X301">
            <v>7</v>
          </cell>
          <cell r="Y301">
            <v>13</v>
          </cell>
          <cell r="Z301">
            <v>6</v>
          </cell>
          <cell r="AA301">
            <v>4095</v>
          </cell>
          <cell r="AB301">
            <v>1376</v>
          </cell>
          <cell r="AC301">
            <v>332.5</v>
          </cell>
          <cell r="AD301">
            <v>0.58278388278388271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3298.0509218612819</v>
          </cell>
          <cell r="BB301">
            <v>1376</v>
          </cell>
          <cell r="BC301">
            <v>332.5</v>
          </cell>
          <cell r="BD301">
            <v>0.80538484050336556</v>
          </cell>
          <cell r="BE301">
            <v>0</v>
          </cell>
          <cell r="BF301">
            <v>0</v>
          </cell>
          <cell r="BG301">
            <v>3298.0509218612819</v>
          </cell>
          <cell r="BH301">
            <v>0</v>
          </cell>
          <cell r="BI301">
            <v>105</v>
          </cell>
          <cell r="BJ301">
            <v>0.80538484050336556</v>
          </cell>
          <cell r="BK301">
            <v>0</v>
          </cell>
          <cell r="BL301">
            <v>-27</v>
          </cell>
          <cell r="BM301">
            <v>0.16119008394905843</v>
          </cell>
          <cell r="BN301">
            <v>3298.0509218612819</v>
          </cell>
          <cell r="BO301">
            <v>1376</v>
          </cell>
          <cell r="BP301">
            <v>1922.0509218612819</v>
          </cell>
          <cell r="BQ301">
            <v>0</v>
          </cell>
          <cell r="BR301">
            <v>660.07339377139442</v>
          </cell>
          <cell r="BS301">
            <v>258</v>
          </cell>
          <cell r="BT301">
            <v>402.07339377139442</v>
          </cell>
          <cell r="BU301">
            <v>0</v>
          </cell>
          <cell r="BV301">
            <v>0</v>
          </cell>
          <cell r="BX301">
            <v>796.94907813871805</v>
          </cell>
          <cell r="BY301">
            <v>32</v>
          </cell>
          <cell r="BZ301">
            <v>0</v>
          </cell>
          <cell r="CA301">
            <v>0</v>
          </cell>
        </row>
        <row r="302">
          <cell r="H302" t="str">
            <v>C233932</v>
          </cell>
          <cell r="I302" t="str">
            <v xml:space="preserve">MODIFICATION DOSSIER AE22015  </v>
          </cell>
          <cell r="J302" t="str">
            <v xml:space="preserve">22015                         </v>
          </cell>
          <cell r="K302" t="str">
            <v xml:space="preserve">MBH </v>
          </cell>
          <cell r="L302" t="str">
            <v>LJALJA</v>
          </cell>
          <cell r="M302">
            <v>45240</v>
          </cell>
          <cell r="N302">
            <v>45291</v>
          </cell>
          <cell r="O302">
            <v>1780</v>
          </cell>
          <cell r="P302">
            <v>0</v>
          </cell>
          <cell r="Q302">
            <v>731</v>
          </cell>
          <cell r="R302">
            <v>731</v>
          </cell>
          <cell r="S302">
            <v>0.58932584269662924</v>
          </cell>
          <cell r="T302">
            <v>0.59</v>
          </cell>
          <cell r="U302">
            <v>17</v>
          </cell>
          <cell r="V302">
            <v>17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1780</v>
          </cell>
          <cell r="AB302">
            <v>731</v>
          </cell>
          <cell r="AC302">
            <v>0</v>
          </cell>
          <cell r="AD302">
            <v>0.58932584269662924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1780</v>
          </cell>
          <cell r="AZ302">
            <v>0</v>
          </cell>
          <cell r="BA302">
            <v>1780</v>
          </cell>
          <cell r="BB302">
            <v>731</v>
          </cell>
          <cell r="BC302">
            <v>0</v>
          </cell>
          <cell r="BD302">
            <v>1</v>
          </cell>
          <cell r="BE302">
            <v>1</v>
          </cell>
          <cell r="BF302">
            <v>0</v>
          </cell>
          <cell r="BG302">
            <v>0</v>
          </cell>
          <cell r="BH302">
            <v>0</v>
          </cell>
          <cell r="BI302">
            <v>105</v>
          </cell>
          <cell r="BJ302">
            <v>1</v>
          </cell>
          <cell r="BK302">
            <v>0</v>
          </cell>
          <cell r="BL302">
            <v>0</v>
          </cell>
          <cell r="BM302">
            <v>0</v>
          </cell>
          <cell r="BN302">
            <v>1780</v>
          </cell>
          <cell r="BO302">
            <v>731</v>
          </cell>
          <cell r="BP302">
            <v>1049</v>
          </cell>
          <cell r="BQ302">
            <v>1780</v>
          </cell>
          <cell r="BR302">
            <v>0</v>
          </cell>
          <cell r="BS302">
            <v>0</v>
          </cell>
          <cell r="BT302">
            <v>0</v>
          </cell>
          <cell r="BU302">
            <v>1780</v>
          </cell>
          <cell r="BV302">
            <v>0</v>
          </cell>
          <cell r="BX302">
            <v>0</v>
          </cell>
          <cell r="BY302">
            <v>17</v>
          </cell>
          <cell r="BZ302">
            <v>0</v>
          </cell>
          <cell r="CA302">
            <v>0</v>
          </cell>
        </row>
        <row r="303">
          <cell r="H303" t="str">
            <v>C233926</v>
          </cell>
          <cell r="I303" t="str">
            <v xml:space="preserve">NEW FOLDER                    </v>
          </cell>
          <cell r="J303" t="str">
            <v xml:space="preserve">23124                         </v>
          </cell>
          <cell r="K303" t="str">
            <v>ABU DHABI AVIATION</v>
          </cell>
          <cell r="L303" t="str">
            <v>LJALJA</v>
          </cell>
          <cell r="M303">
            <v>45238</v>
          </cell>
          <cell r="O303">
            <v>29365</v>
          </cell>
          <cell r="P303">
            <v>18645</v>
          </cell>
          <cell r="Q303">
            <v>18907.28</v>
          </cell>
          <cell r="R303">
            <v>9288.02</v>
          </cell>
          <cell r="S303">
            <v>0.3286300017027074</v>
          </cell>
          <cell r="T303">
            <v>0.34237357398263235</v>
          </cell>
          <cell r="U303">
            <v>100</v>
          </cell>
          <cell r="V303">
            <v>35</v>
          </cell>
          <cell r="W303">
            <v>48</v>
          </cell>
          <cell r="X303">
            <v>17</v>
          </cell>
          <cell r="Y303">
            <v>18</v>
          </cell>
          <cell r="Z303">
            <v>1</v>
          </cell>
          <cell r="AA303">
            <v>10720</v>
          </cell>
          <cell r="AB303">
            <v>4001</v>
          </cell>
          <cell r="AC303">
            <v>807.5</v>
          </cell>
          <cell r="AD303">
            <v>0.55144589552238799</v>
          </cell>
          <cell r="AE303">
            <v>18645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14906.279999999999</v>
          </cell>
          <cell r="AN303">
            <v>5287.02</v>
          </cell>
          <cell r="AO303">
            <v>0</v>
          </cell>
          <cell r="AP303">
            <v>0</v>
          </cell>
          <cell r="AQ303">
            <v>14906.279999999999</v>
          </cell>
          <cell r="AR303">
            <v>0.20052131938857609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10720</v>
          </cell>
          <cell r="AZ303">
            <v>0</v>
          </cell>
          <cell r="BA303">
            <v>13834.428144772604</v>
          </cell>
          <cell r="BB303">
            <v>9288.02</v>
          </cell>
          <cell r="BC303">
            <v>10426.759999999998</v>
          </cell>
          <cell r="BD303">
            <v>0.47111963714532962</v>
          </cell>
          <cell r="BE303">
            <v>0.36506044610931382</v>
          </cell>
          <cell r="BF303">
            <v>0</v>
          </cell>
          <cell r="BG303">
            <v>3114.4281447726039</v>
          </cell>
          <cell r="BH303">
            <v>0</v>
          </cell>
          <cell r="BI303">
            <v>105</v>
          </cell>
          <cell r="BJ303">
            <v>0.47111963714532962</v>
          </cell>
          <cell r="BK303">
            <v>0</v>
          </cell>
          <cell r="BL303">
            <v>14901.779999999999</v>
          </cell>
          <cell r="BM303">
            <v>-0.3512364816994657</v>
          </cell>
          <cell r="BN303">
            <v>13834.428144772604</v>
          </cell>
          <cell r="BO303">
            <v>9288.02</v>
          </cell>
          <cell r="BP303">
            <v>4546.4081447726039</v>
          </cell>
          <cell r="BQ303">
            <v>10720</v>
          </cell>
          <cell r="BR303">
            <v>5018.7705507563987</v>
          </cell>
          <cell r="BS303">
            <v>5330.02</v>
          </cell>
          <cell r="BT303">
            <v>-311.2494492436017</v>
          </cell>
          <cell r="BU303">
            <v>0</v>
          </cell>
          <cell r="BV303">
            <v>0</v>
          </cell>
          <cell r="BX303">
            <v>15530.571855227396</v>
          </cell>
          <cell r="BY303">
            <v>83</v>
          </cell>
          <cell r="BZ303">
            <v>48</v>
          </cell>
          <cell r="CA303">
            <v>0</v>
          </cell>
        </row>
        <row r="304">
          <cell r="H304" t="str">
            <v>C233906</v>
          </cell>
          <cell r="I304" t="str">
            <v>49331-01 - commande de spare</v>
          </cell>
          <cell r="J304" t="str">
            <v xml:space="preserve">                              </v>
          </cell>
          <cell r="K304" t="str">
            <v xml:space="preserve">DAHER AEROSPACE MERPINS </v>
          </cell>
          <cell r="L304" t="str">
            <v>JFAJFA</v>
          </cell>
          <cell r="M304">
            <v>45243</v>
          </cell>
          <cell r="O304">
            <v>2650</v>
          </cell>
          <cell r="P304">
            <v>0</v>
          </cell>
          <cell r="Q304">
            <v>1104.284136</v>
          </cell>
          <cell r="R304">
            <v>43</v>
          </cell>
          <cell r="S304">
            <v>0.18962264150943398</v>
          </cell>
          <cell r="T304">
            <v>0.32362264150943398</v>
          </cell>
          <cell r="U304">
            <v>16</v>
          </cell>
          <cell r="V304">
            <v>1</v>
          </cell>
          <cell r="W304">
            <v>0</v>
          </cell>
          <cell r="X304">
            <v>15</v>
          </cell>
          <cell r="Y304">
            <v>15</v>
          </cell>
          <cell r="Z304">
            <v>0</v>
          </cell>
          <cell r="AA304">
            <v>840</v>
          </cell>
          <cell r="AB304">
            <v>43</v>
          </cell>
          <cell r="AC304">
            <v>712.5</v>
          </cell>
          <cell r="AD304">
            <v>0.10059523809523807</v>
          </cell>
          <cell r="AE304">
            <v>1810</v>
          </cell>
          <cell r="AF304">
            <v>1061.284136</v>
          </cell>
          <cell r="AG304">
            <v>0</v>
          </cell>
          <cell r="AH304">
            <v>1061.284136</v>
          </cell>
          <cell r="AI304">
            <v>0</v>
          </cell>
          <cell r="AJ304">
            <v>330.71586400000001</v>
          </cell>
          <cell r="AK304">
            <v>1448</v>
          </cell>
          <cell r="AL304">
            <v>1061.284136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0.23093922651933707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53.061699650756694</v>
          </cell>
          <cell r="BB304">
            <v>43</v>
          </cell>
          <cell r="BC304">
            <v>2104.5</v>
          </cell>
          <cell r="BD304">
            <v>2.0023282887077998E-2</v>
          </cell>
          <cell r="BE304">
            <v>0</v>
          </cell>
          <cell r="BF304">
            <v>0</v>
          </cell>
          <cell r="BG304">
            <v>53.061699650756694</v>
          </cell>
          <cell r="BH304">
            <v>0</v>
          </cell>
          <cell r="BI304">
            <v>105</v>
          </cell>
          <cell r="BJ304">
            <v>2.0023282887077998E-2</v>
          </cell>
          <cell r="BK304">
            <v>0</v>
          </cell>
          <cell r="BL304">
            <v>-56</v>
          </cell>
          <cell r="BM304">
            <v>5.0887399213812856E-4</v>
          </cell>
          <cell r="BN304">
            <v>53.061699650756694</v>
          </cell>
          <cell r="BO304">
            <v>43</v>
          </cell>
          <cell r="BP304">
            <v>10.061699650756694</v>
          </cell>
          <cell r="BQ304">
            <v>0</v>
          </cell>
          <cell r="BR304">
            <v>1.3485160791660391</v>
          </cell>
          <cell r="BS304">
            <v>0</v>
          </cell>
          <cell r="BT304">
            <v>1.3485160791660391</v>
          </cell>
          <cell r="BU304">
            <v>0</v>
          </cell>
          <cell r="BV304">
            <v>0</v>
          </cell>
          <cell r="BX304">
            <v>2596.9383003492435</v>
          </cell>
          <cell r="BY304">
            <v>1</v>
          </cell>
          <cell r="BZ304">
            <v>0</v>
          </cell>
          <cell r="CA304">
            <v>0</v>
          </cell>
        </row>
        <row r="305">
          <cell r="H305" t="str">
            <v>C233923</v>
          </cell>
          <cell r="I305" t="str">
            <v xml:space="preserve">PC-24 SB FOR WHITE LIVERY     </v>
          </cell>
          <cell r="J305" t="str">
            <v xml:space="preserve">23125                         </v>
          </cell>
          <cell r="K305" t="str">
            <v xml:space="preserve">JG AVIATION </v>
          </cell>
          <cell r="L305" t="str">
            <v>VGAVGA</v>
          </cell>
          <cell r="M305">
            <v>45209</v>
          </cell>
          <cell r="O305">
            <v>4200</v>
          </cell>
          <cell r="P305">
            <v>0</v>
          </cell>
          <cell r="Q305">
            <v>946</v>
          </cell>
          <cell r="R305">
            <v>946</v>
          </cell>
          <cell r="S305">
            <v>0.57119047619047625</v>
          </cell>
          <cell r="T305">
            <v>0.59</v>
          </cell>
          <cell r="U305">
            <v>40.059999999999995</v>
          </cell>
          <cell r="V305">
            <v>22</v>
          </cell>
          <cell r="W305">
            <v>0</v>
          </cell>
          <cell r="X305">
            <v>18</v>
          </cell>
          <cell r="Y305">
            <v>22</v>
          </cell>
          <cell r="Z305">
            <v>4</v>
          </cell>
          <cell r="AA305">
            <v>4200</v>
          </cell>
          <cell r="AB305">
            <v>946</v>
          </cell>
          <cell r="AC305">
            <v>855</v>
          </cell>
          <cell r="AD305">
            <v>0.57119047619047625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2206.1077179344807</v>
          </cell>
          <cell r="BB305">
            <v>946</v>
          </cell>
          <cell r="BC305">
            <v>855</v>
          </cell>
          <cell r="BD305">
            <v>0.52526374236535256</v>
          </cell>
          <cell r="BE305">
            <v>0</v>
          </cell>
          <cell r="BF305">
            <v>0</v>
          </cell>
          <cell r="BG305">
            <v>2206.1077179344807</v>
          </cell>
          <cell r="BH305">
            <v>0</v>
          </cell>
          <cell r="BI305">
            <v>105</v>
          </cell>
          <cell r="BJ305">
            <v>0.52526374236535256</v>
          </cell>
          <cell r="BK305">
            <v>0</v>
          </cell>
          <cell r="BL305">
            <v>-18</v>
          </cell>
          <cell r="BM305">
            <v>9.9755221199877009E-2</v>
          </cell>
          <cell r="BN305">
            <v>2206.1077179344807</v>
          </cell>
          <cell r="BO305">
            <v>946</v>
          </cell>
          <cell r="BP305">
            <v>1260.1077179344807</v>
          </cell>
          <cell r="BQ305">
            <v>0</v>
          </cell>
          <cell r="BR305">
            <v>418.97192903948326</v>
          </cell>
          <cell r="BS305">
            <v>172</v>
          </cell>
          <cell r="BT305">
            <v>246.97192903948326</v>
          </cell>
          <cell r="BU305">
            <v>0</v>
          </cell>
          <cell r="BV305">
            <v>0</v>
          </cell>
          <cell r="BX305">
            <v>1993.8922820655193</v>
          </cell>
          <cell r="BY305">
            <v>22</v>
          </cell>
          <cell r="BZ305">
            <v>0</v>
          </cell>
          <cell r="CA305">
            <v>0</v>
          </cell>
        </row>
        <row r="306">
          <cell r="H306" t="str">
            <v>C233958</v>
          </cell>
          <cell r="I306" t="str">
            <v xml:space="preserve">A350 EEL UPDATE               </v>
          </cell>
          <cell r="J306" t="str">
            <v xml:space="preserve">                              </v>
          </cell>
          <cell r="K306" t="str">
            <v xml:space="preserve">AIR CARAIBES ATLANTIQUE </v>
          </cell>
          <cell r="L306" t="str">
            <v>VGAVGA</v>
          </cell>
          <cell r="M306">
            <v>45245</v>
          </cell>
          <cell r="N306">
            <v>45291</v>
          </cell>
          <cell r="O306">
            <v>3300</v>
          </cell>
          <cell r="P306">
            <v>0</v>
          </cell>
          <cell r="Q306">
            <v>1591</v>
          </cell>
          <cell r="R306">
            <v>1591</v>
          </cell>
          <cell r="S306">
            <v>0.51787878787878783</v>
          </cell>
          <cell r="T306">
            <v>0.59</v>
          </cell>
          <cell r="U306">
            <v>31.050000000000004</v>
          </cell>
          <cell r="V306">
            <v>37</v>
          </cell>
          <cell r="W306">
            <v>0</v>
          </cell>
          <cell r="X306">
            <v>0</v>
          </cell>
          <cell r="Y306">
            <v>2</v>
          </cell>
          <cell r="Z306">
            <v>6</v>
          </cell>
          <cell r="AA306">
            <v>3300</v>
          </cell>
          <cell r="AB306">
            <v>1591</v>
          </cell>
          <cell r="AC306">
            <v>0</v>
          </cell>
          <cell r="AD306">
            <v>0.51787878787878783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3300</v>
          </cell>
          <cell r="BB306">
            <v>1591</v>
          </cell>
          <cell r="BC306">
            <v>0</v>
          </cell>
          <cell r="BD306">
            <v>1</v>
          </cell>
          <cell r="BE306">
            <v>0</v>
          </cell>
          <cell r="BF306">
            <v>0</v>
          </cell>
          <cell r="BG306">
            <v>3300</v>
          </cell>
          <cell r="BH306">
            <v>0</v>
          </cell>
          <cell r="BI306">
            <v>105</v>
          </cell>
          <cell r="BJ306">
            <v>1</v>
          </cell>
          <cell r="BK306">
            <v>0</v>
          </cell>
          <cell r="BL306">
            <v>163</v>
          </cell>
          <cell r="BM306">
            <v>6.6526610644257689E-2</v>
          </cell>
          <cell r="BN306">
            <v>3300</v>
          </cell>
          <cell r="BO306">
            <v>1591</v>
          </cell>
          <cell r="BP306">
            <v>1709</v>
          </cell>
          <cell r="BQ306">
            <v>0</v>
          </cell>
          <cell r="BR306">
            <v>219.53781512605019</v>
          </cell>
          <cell r="BS306">
            <v>258</v>
          </cell>
          <cell r="BT306">
            <v>-38.462184873949809</v>
          </cell>
          <cell r="BU306">
            <v>0</v>
          </cell>
          <cell r="BV306">
            <v>0</v>
          </cell>
          <cell r="BX306">
            <v>0</v>
          </cell>
          <cell r="BY306">
            <v>37</v>
          </cell>
          <cell r="BZ306">
            <v>0</v>
          </cell>
          <cell r="CA306">
            <v>0</v>
          </cell>
        </row>
        <row r="307">
          <cell r="H307" t="str">
            <v>G230265</v>
          </cell>
          <cell r="I307" t="str">
            <v xml:space="preserve">MISE À JOUR DOSSIER AE15156   </v>
          </cell>
          <cell r="J307" t="str">
            <v xml:space="preserve">                              </v>
          </cell>
          <cell r="K307" t="str">
            <v xml:space="preserve">AEROTEC </v>
          </cell>
          <cell r="L307" t="str">
            <v>LJALJA</v>
          </cell>
          <cell r="M307">
            <v>45243</v>
          </cell>
          <cell r="O307">
            <v>688</v>
          </cell>
          <cell r="P307">
            <v>0</v>
          </cell>
          <cell r="Q307">
            <v>86</v>
          </cell>
          <cell r="R307">
            <v>86</v>
          </cell>
          <cell r="S307">
            <v>-9.1569767441860517E-2</v>
          </cell>
          <cell r="T307">
            <v>0.59</v>
          </cell>
          <cell r="U307">
            <v>16</v>
          </cell>
          <cell r="V307">
            <v>2</v>
          </cell>
          <cell r="W307">
            <v>0</v>
          </cell>
          <cell r="X307">
            <v>14</v>
          </cell>
          <cell r="Y307">
            <v>14</v>
          </cell>
          <cell r="Z307">
            <v>0</v>
          </cell>
          <cell r="AA307">
            <v>688</v>
          </cell>
          <cell r="AB307">
            <v>86</v>
          </cell>
          <cell r="AC307">
            <v>665</v>
          </cell>
          <cell r="AD307">
            <v>-9.1569767441860517E-2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78.785619174434089</v>
          </cell>
          <cell r="BB307">
            <v>86</v>
          </cell>
          <cell r="BC307">
            <v>665</v>
          </cell>
          <cell r="BD307">
            <v>0.11451398135818908</v>
          </cell>
          <cell r="BE307">
            <v>0</v>
          </cell>
          <cell r="BF307">
            <v>0</v>
          </cell>
          <cell r="BG307">
            <v>78.785619174434089</v>
          </cell>
          <cell r="BH307">
            <v>0</v>
          </cell>
          <cell r="BI307">
            <v>43</v>
          </cell>
          <cell r="BJ307">
            <v>0.11451398135818908</v>
          </cell>
          <cell r="BK307">
            <v>0</v>
          </cell>
          <cell r="BL307">
            <v>0</v>
          </cell>
          <cell r="BM307">
            <v>0</v>
          </cell>
          <cell r="BN307">
            <v>78.785619174434089</v>
          </cell>
          <cell r="BO307">
            <v>86</v>
          </cell>
          <cell r="BP307">
            <v>-7.214380825565911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X307">
            <v>609.21438082556597</v>
          </cell>
          <cell r="BY307">
            <v>2</v>
          </cell>
          <cell r="BZ307">
            <v>0</v>
          </cell>
          <cell r="CA307">
            <v>0</v>
          </cell>
        </row>
        <row r="308">
          <cell r="H308" t="str">
            <v>C233911</v>
          </cell>
          <cell r="I308" t="str">
            <v>DEVELOPMENT OF WIRING DIAGRAMS</v>
          </cell>
          <cell r="J308" t="str">
            <v xml:space="preserve">23132                         </v>
          </cell>
          <cell r="K308" t="str">
            <v>UNIVERSAL HYDROGEN EUROP</v>
          </cell>
          <cell r="L308" t="str">
            <v>JFAPLA</v>
          </cell>
          <cell r="M308">
            <v>45244</v>
          </cell>
          <cell r="O308">
            <v>12800</v>
          </cell>
          <cell r="P308">
            <v>0</v>
          </cell>
          <cell r="Q308">
            <v>3375.5</v>
          </cell>
          <cell r="R308">
            <v>3375.5</v>
          </cell>
          <cell r="S308">
            <v>0.57486328125000008</v>
          </cell>
          <cell r="T308">
            <v>0.59</v>
          </cell>
          <cell r="U308">
            <v>122</v>
          </cell>
          <cell r="V308">
            <v>78.5</v>
          </cell>
          <cell r="W308">
            <v>0</v>
          </cell>
          <cell r="X308">
            <v>43.5</v>
          </cell>
          <cell r="Y308">
            <v>60.5</v>
          </cell>
          <cell r="Z308">
            <v>17</v>
          </cell>
          <cell r="AA308">
            <v>12800</v>
          </cell>
          <cell r="AB308">
            <v>3375.5</v>
          </cell>
          <cell r="AC308">
            <v>2066.25</v>
          </cell>
          <cell r="AD308">
            <v>0.57486328125000008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6400</v>
          </cell>
          <cell r="AZ308">
            <v>0</v>
          </cell>
          <cell r="BA308">
            <v>7939.7987779666464</v>
          </cell>
          <cell r="BB308">
            <v>3375.5</v>
          </cell>
          <cell r="BC308">
            <v>2066.25</v>
          </cell>
          <cell r="BD308">
            <v>0.62029677952864426</v>
          </cell>
          <cell r="BE308">
            <v>0.5</v>
          </cell>
          <cell r="BF308">
            <v>0</v>
          </cell>
          <cell r="BG308">
            <v>1539.7987779666464</v>
          </cell>
          <cell r="BH308">
            <v>0</v>
          </cell>
          <cell r="BI308">
            <v>105</v>
          </cell>
          <cell r="BJ308">
            <v>0.62029677952864426</v>
          </cell>
          <cell r="BK308">
            <v>0</v>
          </cell>
          <cell r="BL308">
            <v>-76.5</v>
          </cell>
          <cell r="BM308">
            <v>0.14106876340034269</v>
          </cell>
          <cell r="BN308">
            <v>7939.7987779666464</v>
          </cell>
          <cell r="BO308">
            <v>3375.5</v>
          </cell>
          <cell r="BP308">
            <v>4564.2987779666464</v>
          </cell>
          <cell r="BQ308">
            <v>6400</v>
          </cell>
          <cell r="BR308">
            <v>1805.6801715243864</v>
          </cell>
          <cell r="BS308">
            <v>731</v>
          </cell>
          <cell r="BT308">
            <v>1074.6801715243864</v>
          </cell>
          <cell r="BU308">
            <v>0</v>
          </cell>
          <cell r="BV308">
            <v>0</v>
          </cell>
          <cell r="BX308">
            <v>4860.2012220333536</v>
          </cell>
          <cell r="BY308">
            <v>78.5</v>
          </cell>
          <cell r="BZ308">
            <v>0</v>
          </cell>
          <cell r="CA308">
            <v>0</v>
          </cell>
        </row>
        <row r="309">
          <cell r="H309" t="str">
            <v>C233955</v>
          </cell>
          <cell r="I309" t="str">
            <v xml:space="preserve">AJOUT D'APPLICABILITÉ AE19072 </v>
          </cell>
          <cell r="J309" t="str">
            <v xml:space="preserve">19072                         </v>
          </cell>
          <cell r="K309" t="str">
            <v xml:space="preserve">MBH </v>
          </cell>
          <cell r="L309" t="str">
            <v>LJALJA</v>
          </cell>
          <cell r="M309">
            <v>45246</v>
          </cell>
          <cell r="N309">
            <v>45260</v>
          </cell>
          <cell r="O309">
            <v>700</v>
          </cell>
          <cell r="P309">
            <v>0</v>
          </cell>
          <cell r="Q309">
            <v>301</v>
          </cell>
          <cell r="R309">
            <v>301</v>
          </cell>
          <cell r="S309">
            <v>0.57000000000000006</v>
          </cell>
          <cell r="T309">
            <v>0.59</v>
          </cell>
          <cell r="U309">
            <v>6.5</v>
          </cell>
          <cell r="V309">
            <v>7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700</v>
          </cell>
          <cell r="AB309">
            <v>301</v>
          </cell>
          <cell r="AC309">
            <v>0</v>
          </cell>
          <cell r="AD309">
            <v>0.57000000000000006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700</v>
          </cell>
          <cell r="AZ309">
            <v>0</v>
          </cell>
          <cell r="BA309">
            <v>700</v>
          </cell>
          <cell r="BB309">
            <v>301</v>
          </cell>
          <cell r="BC309">
            <v>0</v>
          </cell>
          <cell r="BD309">
            <v>1</v>
          </cell>
          <cell r="BE309">
            <v>1</v>
          </cell>
          <cell r="BF309">
            <v>0</v>
          </cell>
          <cell r="BG309">
            <v>0</v>
          </cell>
          <cell r="BH309">
            <v>0</v>
          </cell>
          <cell r="BI309">
            <v>105</v>
          </cell>
          <cell r="BJ309">
            <v>1</v>
          </cell>
          <cell r="BK309">
            <v>0</v>
          </cell>
          <cell r="BL309">
            <v>0</v>
          </cell>
          <cell r="BM309">
            <v>0</v>
          </cell>
          <cell r="BN309">
            <v>700</v>
          </cell>
          <cell r="BO309">
            <v>301</v>
          </cell>
          <cell r="BP309">
            <v>399</v>
          </cell>
          <cell r="BQ309">
            <v>700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X309">
            <v>0</v>
          </cell>
          <cell r="BY309">
            <v>7</v>
          </cell>
          <cell r="BZ309">
            <v>0</v>
          </cell>
          <cell r="CA309">
            <v>0</v>
          </cell>
        </row>
        <row r="310">
          <cell r="H310" t="str">
            <v>C233948</v>
          </cell>
          <cell r="I310" t="str">
            <v xml:space="preserve"> DOSSIER REMPLACEMENT TFM66   </v>
          </cell>
          <cell r="J310" t="str">
            <v xml:space="preserve">23128                         </v>
          </cell>
          <cell r="K310" t="str">
            <v xml:space="preserve">RESEAUX TRANSPORT ELECTRICITE </v>
          </cell>
          <cell r="L310" t="str">
            <v>LJALJA</v>
          </cell>
          <cell r="M310">
            <v>45245</v>
          </cell>
          <cell r="O310">
            <v>4368</v>
          </cell>
          <cell r="P310">
            <v>0</v>
          </cell>
          <cell r="Q310">
            <v>1376</v>
          </cell>
          <cell r="R310">
            <v>1376</v>
          </cell>
          <cell r="S310">
            <v>0.58167353479853479</v>
          </cell>
          <cell r="T310">
            <v>0.59</v>
          </cell>
          <cell r="U310">
            <v>41.5</v>
          </cell>
          <cell r="V310">
            <v>32</v>
          </cell>
          <cell r="W310">
            <v>0</v>
          </cell>
          <cell r="X310">
            <v>9.5</v>
          </cell>
          <cell r="Y310">
            <v>30.5</v>
          </cell>
          <cell r="Z310">
            <v>21</v>
          </cell>
          <cell r="AA310">
            <v>4368</v>
          </cell>
          <cell r="AB310">
            <v>1376</v>
          </cell>
          <cell r="AC310">
            <v>451.25</v>
          </cell>
          <cell r="AD310">
            <v>0.58167353479853479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3289.2970310576002</v>
          </cell>
          <cell r="BB310">
            <v>1376</v>
          </cell>
          <cell r="BC310">
            <v>451.25</v>
          </cell>
          <cell r="BD310">
            <v>0.7530441920919414</v>
          </cell>
          <cell r="BE310">
            <v>0</v>
          </cell>
          <cell r="BF310">
            <v>0</v>
          </cell>
          <cell r="BG310">
            <v>3289.2970310576002</v>
          </cell>
          <cell r="BH310">
            <v>0</v>
          </cell>
          <cell r="BI310">
            <v>105</v>
          </cell>
          <cell r="BJ310">
            <v>0.7530441920919414</v>
          </cell>
          <cell r="BK310">
            <v>0</v>
          </cell>
          <cell r="BL310">
            <v>-94.5</v>
          </cell>
          <cell r="BM310">
            <v>0.50691436250952959</v>
          </cell>
          <cell r="BN310">
            <v>3289.2970310576002</v>
          </cell>
          <cell r="BO310">
            <v>1376</v>
          </cell>
          <cell r="BP310">
            <v>1913.2970310576002</v>
          </cell>
          <cell r="BQ310">
            <v>0</v>
          </cell>
          <cell r="BR310">
            <v>2214.2019354416252</v>
          </cell>
          <cell r="BS310">
            <v>903</v>
          </cell>
          <cell r="BT310">
            <v>1311.2019354416252</v>
          </cell>
          <cell r="BU310">
            <v>0</v>
          </cell>
          <cell r="BV310">
            <v>0</v>
          </cell>
          <cell r="BX310">
            <v>1078.7029689423998</v>
          </cell>
          <cell r="BY310">
            <v>32</v>
          </cell>
          <cell r="BZ310">
            <v>0</v>
          </cell>
          <cell r="CA310">
            <v>0</v>
          </cell>
        </row>
        <row r="311">
          <cell r="H311" t="str">
            <v>C233964</v>
          </cell>
          <cell r="I311" t="str">
            <v xml:space="preserve">B737CL &amp; B737NG               </v>
          </cell>
          <cell r="J311" t="str">
            <v xml:space="preserve">                              </v>
          </cell>
          <cell r="K311" t="str">
            <v xml:space="preserve">SAFRAN CABIN FRANCE </v>
          </cell>
          <cell r="L311" t="str">
            <v>VGAVGA</v>
          </cell>
          <cell r="M311">
            <v>45253</v>
          </cell>
          <cell r="O311">
            <v>33200</v>
          </cell>
          <cell r="P311">
            <v>0</v>
          </cell>
          <cell r="Q311">
            <v>1412.1</v>
          </cell>
          <cell r="R311">
            <v>1412.1</v>
          </cell>
          <cell r="S311">
            <v>0.54971084337349396</v>
          </cell>
          <cell r="T311">
            <v>0.59</v>
          </cell>
          <cell r="U311">
            <v>316</v>
          </cell>
          <cell r="V311">
            <v>22.5</v>
          </cell>
          <cell r="W311">
            <v>8.5500000000000007</v>
          </cell>
          <cell r="X311">
            <v>285</v>
          </cell>
          <cell r="Y311">
            <v>305</v>
          </cell>
          <cell r="Z311">
            <v>20.05</v>
          </cell>
          <cell r="AA311">
            <v>33200</v>
          </cell>
          <cell r="AB311">
            <v>1412.1</v>
          </cell>
          <cell r="AC311">
            <v>13537.5</v>
          </cell>
          <cell r="AD311">
            <v>0.54971084337349396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13280</v>
          </cell>
          <cell r="AZ311">
            <v>0</v>
          </cell>
          <cell r="BA311">
            <v>3135.9849092952318</v>
          </cell>
          <cell r="BB311">
            <v>1412.1</v>
          </cell>
          <cell r="BC311">
            <v>13537.5</v>
          </cell>
          <cell r="BD311">
            <v>9.4457376786000954E-2</v>
          </cell>
          <cell r="BE311">
            <v>0.4</v>
          </cell>
          <cell r="BF311">
            <v>-10144.015090704768</v>
          </cell>
          <cell r="BG311">
            <v>0</v>
          </cell>
          <cell r="BH311">
            <v>0</v>
          </cell>
          <cell r="BI311">
            <v>105</v>
          </cell>
          <cell r="BJ311">
            <v>9.4457376786000954E-2</v>
          </cell>
          <cell r="BK311">
            <v>0</v>
          </cell>
          <cell r="BL311">
            <v>-10.899999999999636</v>
          </cell>
          <cell r="BM311">
            <v>6.2840786431400508E-2</v>
          </cell>
          <cell r="BN311">
            <v>3135.9849092952318</v>
          </cell>
          <cell r="BO311">
            <v>1412.1</v>
          </cell>
          <cell r="BP311">
            <v>1723.8849092952319</v>
          </cell>
          <cell r="BQ311">
            <v>13280</v>
          </cell>
          <cell r="BR311">
            <v>2086.3141095224969</v>
          </cell>
          <cell r="BS311">
            <v>939.09999999999991</v>
          </cell>
          <cell r="BT311">
            <v>1147.214109522497</v>
          </cell>
          <cell r="BU311">
            <v>0</v>
          </cell>
          <cell r="BV311">
            <v>0</v>
          </cell>
          <cell r="BX311">
            <v>30064.015090704768</v>
          </cell>
          <cell r="BY311">
            <v>31.05</v>
          </cell>
          <cell r="BZ311">
            <v>8.5500000000000007</v>
          </cell>
          <cell r="CA311">
            <v>0</v>
          </cell>
        </row>
        <row r="312">
          <cell r="H312" t="str">
            <v>C233967</v>
          </cell>
          <cell r="I312" t="str">
            <v>PRE-ETUDE CALCULATEUR DE MISSION INTERIM</v>
          </cell>
          <cell r="K312" t="str">
            <v>AIRBUS HELICOPTERS</v>
          </cell>
          <cell r="L312" t="str">
            <v>TBI</v>
          </cell>
          <cell r="M312">
            <v>45258</v>
          </cell>
          <cell r="O312">
            <v>8400</v>
          </cell>
          <cell r="P312">
            <v>8400</v>
          </cell>
          <cell r="Q312">
            <v>1032</v>
          </cell>
          <cell r="R312">
            <v>1032</v>
          </cell>
          <cell r="S312">
            <v>0.47714285714285709</v>
          </cell>
          <cell r="T312">
            <v>0.39500000000000002</v>
          </cell>
          <cell r="U312">
            <v>40</v>
          </cell>
          <cell r="V312">
            <v>24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4200</v>
          </cell>
          <cell r="AB312">
            <v>1032</v>
          </cell>
          <cell r="AC312">
            <v>0</v>
          </cell>
          <cell r="AD312">
            <v>0.75428571428571423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4200</v>
          </cell>
          <cell r="AT312">
            <v>0</v>
          </cell>
          <cell r="AU312">
            <v>3360</v>
          </cell>
          <cell r="AV312">
            <v>0</v>
          </cell>
          <cell r="AW312">
            <v>0</v>
          </cell>
          <cell r="AX312">
            <v>0.19999999999999996</v>
          </cell>
          <cell r="AY312">
            <v>0</v>
          </cell>
          <cell r="AZ312">
            <v>0</v>
          </cell>
          <cell r="BA312">
            <v>1973.7704918032787</v>
          </cell>
          <cell r="BB312">
            <v>1032</v>
          </cell>
          <cell r="BC312">
            <v>3360</v>
          </cell>
          <cell r="BD312">
            <v>0.23497267759562843</v>
          </cell>
          <cell r="BE312">
            <v>0</v>
          </cell>
          <cell r="BF312">
            <v>0</v>
          </cell>
          <cell r="BG312">
            <v>1973.7704918032787</v>
          </cell>
          <cell r="BH312">
            <v>0</v>
          </cell>
          <cell r="BI312">
            <v>105</v>
          </cell>
          <cell r="BJ312">
            <v>0.23497267759562843</v>
          </cell>
          <cell r="BK312">
            <v>0</v>
          </cell>
          <cell r="BL312">
            <v>4392</v>
          </cell>
          <cell r="BM312">
            <v>0.23497267759562843</v>
          </cell>
          <cell r="BN312">
            <v>1973.7704918032787</v>
          </cell>
          <cell r="BO312">
            <v>1032</v>
          </cell>
          <cell r="BP312">
            <v>941.77049180327867</v>
          </cell>
          <cell r="BQ312">
            <v>0</v>
          </cell>
          <cell r="BR312">
            <v>1973.7704918032787</v>
          </cell>
          <cell r="BS312">
            <v>1032</v>
          </cell>
          <cell r="BT312">
            <v>941.77049180327867</v>
          </cell>
          <cell r="BU312">
            <v>0</v>
          </cell>
          <cell r="BV312">
            <v>0</v>
          </cell>
          <cell r="BX312">
            <v>6426.2295081967213</v>
          </cell>
          <cell r="BY312">
            <v>24</v>
          </cell>
          <cell r="BZ312">
            <v>0</v>
          </cell>
          <cell r="CA312">
            <v>0</v>
          </cell>
        </row>
        <row r="313">
          <cell r="H313" t="str">
            <v>C233953</v>
          </cell>
          <cell r="I313" t="str">
            <v xml:space="preserve">DÉSINSTALLATION RA4000 EC130  </v>
          </cell>
          <cell r="J313" t="str">
            <v xml:space="preserve">                              </v>
          </cell>
          <cell r="K313" t="str">
            <v>ROTOR TEAM</v>
          </cell>
          <cell r="L313" t="str">
            <v>LJALJA</v>
          </cell>
          <cell r="M313">
            <v>45252</v>
          </cell>
          <cell r="O313">
            <v>2100</v>
          </cell>
          <cell r="P313">
            <v>2100</v>
          </cell>
          <cell r="Q313">
            <v>645</v>
          </cell>
          <cell r="R313">
            <v>645</v>
          </cell>
          <cell r="S313">
            <v>0.69285714285714284</v>
          </cell>
          <cell r="T313">
            <v>0.59</v>
          </cell>
          <cell r="U313">
            <v>20</v>
          </cell>
          <cell r="V313">
            <v>15</v>
          </cell>
          <cell r="W313">
            <v>0</v>
          </cell>
          <cell r="X313">
            <v>0</v>
          </cell>
          <cell r="Y313">
            <v>0</v>
          </cell>
          <cell r="Z313">
            <v>5</v>
          </cell>
          <cell r="AA313">
            <v>2100</v>
          </cell>
          <cell r="AB313">
            <v>645</v>
          </cell>
          <cell r="AC313">
            <v>0</v>
          </cell>
          <cell r="AD313">
            <v>0.69285714285714284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2100</v>
          </cell>
          <cell r="BB313">
            <v>645</v>
          </cell>
          <cell r="BC313">
            <v>0</v>
          </cell>
          <cell r="BD313">
            <v>1</v>
          </cell>
          <cell r="BE313">
            <v>0</v>
          </cell>
          <cell r="BF313">
            <v>0</v>
          </cell>
          <cell r="BG313">
            <v>2100</v>
          </cell>
          <cell r="BH313">
            <v>0</v>
          </cell>
          <cell r="BI313">
            <v>105</v>
          </cell>
          <cell r="BJ313">
            <v>1</v>
          </cell>
          <cell r="BK313">
            <v>0</v>
          </cell>
          <cell r="BL313">
            <v>645</v>
          </cell>
          <cell r="BM313">
            <v>1</v>
          </cell>
          <cell r="BN313">
            <v>2100</v>
          </cell>
          <cell r="BO313">
            <v>645</v>
          </cell>
          <cell r="BP313">
            <v>1455</v>
          </cell>
          <cell r="BQ313">
            <v>0</v>
          </cell>
          <cell r="BR313">
            <v>2100</v>
          </cell>
          <cell r="BS313">
            <v>645</v>
          </cell>
          <cell r="BT313">
            <v>1455</v>
          </cell>
          <cell r="BU313">
            <v>0</v>
          </cell>
          <cell r="BV313">
            <v>0</v>
          </cell>
          <cell r="BX313">
            <v>0</v>
          </cell>
          <cell r="BY313">
            <v>15</v>
          </cell>
          <cell r="BZ313">
            <v>0</v>
          </cell>
          <cell r="CA313">
            <v>0</v>
          </cell>
        </row>
        <row r="314">
          <cell r="H314" t="str">
            <v>C233965</v>
          </cell>
          <cell r="I314" t="str">
            <v xml:space="preserve">LD-MRS420201                  </v>
          </cell>
          <cell r="J314" t="str">
            <v xml:space="preserve">                              </v>
          </cell>
          <cell r="K314" t="str">
            <v>OTONOMY AVIATION</v>
          </cell>
          <cell r="L314" t="str">
            <v>VSEVSE</v>
          </cell>
          <cell r="M314">
            <v>45258</v>
          </cell>
          <cell r="O314">
            <v>10414</v>
          </cell>
          <cell r="P314">
            <v>10414</v>
          </cell>
          <cell r="Q314">
            <v>9537.7000000000007</v>
          </cell>
          <cell r="R314">
            <v>9537.7000000000007</v>
          </cell>
          <cell r="S314">
            <v>8.4146341463414598E-2</v>
          </cell>
          <cell r="T314">
            <v>0.2</v>
          </cell>
          <cell r="U314">
            <v>1</v>
          </cell>
          <cell r="V314">
            <v>1</v>
          </cell>
          <cell r="W314">
            <v>0</v>
          </cell>
          <cell r="X314">
            <v>0</v>
          </cell>
          <cell r="Y314">
            <v>0</v>
          </cell>
          <cell r="Z314">
            <v>1</v>
          </cell>
          <cell r="AA314">
            <v>0</v>
          </cell>
          <cell r="AB314">
            <v>43</v>
          </cell>
          <cell r="AC314">
            <v>0</v>
          </cell>
          <cell r="AD314">
            <v>0</v>
          </cell>
          <cell r="AE314">
            <v>10414</v>
          </cell>
          <cell r="AF314">
            <v>9494.7000000000007</v>
          </cell>
          <cell r="AG314">
            <v>9494.7000000000007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9494.7000000000007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8.8275398502016489E-2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10414</v>
          </cell>
          <cell r="AZ314">
            <v>0</v>
          </cell>
          <cell r="BA314">
            <v>10414</v>
          </cell>
          <cell r="BB314">
            <v>9537.7000000000007</v>
          </cell>
          <cell r="BC314">
            <v>0</v>
          </cell>
          <cell r="BD314">
            <v>1</v>
          </cell>
          <cell r="BE314">
            <v>1</v>
          </cell>
          <cell r="BF314">
            <v>0</v>
          </cell>
          <cell r="BG314">
            <v>0</v>
          </cell>
          <cell r="BH314">
            <v>0</v>
          </cell>
          <cell r="BI314">
            <v>105</v>
          </cell>
          <cell r="BJ314">
            <v>1</v>
          </cell>
          <cell r="BK314">
            <v>0</v>
          </cell>
          <cell r="BL314">
            <v>9537.7000000000007</v>
          </cell>
          <cell r="BM314">
            <v>1</v>
          </cell>
          <cell r="BN314">
            <v>10414</v>
          </cell>
          <cell r="BO314">
            <v>9537.7000000000007</v>
          </cell>
          <cell r="BP314">
            <v>876.29999999999927</v>
          </cell>
          <cell r="BQ314">
            <v>10414</v>
          </cell>
          <cell r="BR314">
            <v>10414</v>
          </cell>
          <cell r="BS314">
            <v>9537.7000000000007</v>
          </cell>
          <cell r="BT314">
            <v>876.29999999999927</v>
          </cell>
          <cell r="BU314">
            <v>10414</v>
          </cell>
          <cell r="BV314">
            <v>0</v>
          </cell>
          <cell r="BX314">
            <v>0</v>
          </cell>
          <cell r="BY314">
            <v>1</v>
          </cell>
          <cell r="BZ314">
            <v>0</v>
          </cell>
          <cell r="CA314">
            <v>9494.7000000000007</v>
          </cell>
        </row>
        <row r="315">
          <cell r="H315" t="str">
            <v>B230231</v>
          </cell>
          <cell r="I315" t="str">
            <v xml:space="preserve">B200 F-HTCH                   </v>
          </cell>
          <cell r="J315" t="str">
            <v xml:space="preserve">23133                         </v>
          </cell>
          <cell r="K315" t="str">
            <v xml:space="preserve">AEROTEC BLAGNAC </v>
          </cell>
          <cell r="L315" t="str">
            <v>VGAVGA</v>
          </cell>
          <cell r="M315">
            <v>45260</v>
          </cell>
          <cell r="O315">
            <v>903</v>
          </cell>
          <cell r="P315">
            <v>903</v>
          </cell>
          <cell r="Q315">
            <v>1075</v>
          </cell>
          <cell r="R315">
            <v>1075</v>
          </cell>
          <cell r="S315">
            <v>-0.19047619047619047</v>
          </cell>
          <cell r="T315">
            <v>0.59</v>
          </cell>
          <cell r="U315">
            <v>21</v>
          </cell>
          <cell r="V315">
            <v>25</v>
          </cell>
          <cell r="W315">
            <v>0</v>
          </cell>
          <cell r="X315">
            <v>0</v>
          </cell>
          <cell r="Y315">
            <v>0</v>
          </cell>
          <cell r="Z315">
            <v>25</v>
          </cell>
          <cell r="AA315">
            <v>903</v>
          </cell>
          <cell r="AB315">
            <v>1075</v>
          </cell>
          <cell r="AC315">
            <v>0</v>
          </cell>
          <cell r="AD315">
            <v>-0.19047619047619047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903</v>
          </cell>
          <cell r="BB315">
            <v>1075</v>
          </cell>
          <cell r="BC315">
            <v>0</v>
          </cell>
          <cell r="BD315">
            <v>1</v>
          </cell>
          <cell r="BE315">
            <v>0</v>
          </cell>
          <cell r="BF315">
            <v>0</v>
          </cell>
          <cell r="BG315">
            <v>903</v>
          </cell>
          <cell r="BH315">
            <v>0</v>
          </cell>
          <cell r="BI315">
            <v>105</v>
          </cell>
          <cell r="BJ315">
            <v>1</v>
          </cell>
          <cell r="BK315">
            <v>0</v>
          </cell>
          <cell r="BL315">
            <v>1075</v>
          </cell>
          <cell r="BM315">
            <v>1</v>
          </cell>
          <cell r="BN315">
            <v>903</v>
          </cell>
          <cell r="BO315">
            <v>1075</v>
          </cell>
          <cell r="BP315">
            <v>-172</v>
          </cell>
          <cell r="BQ315">
            <v>0</v>
          </cell>
          <cell r="BR315">
            <v>903</v>
          </cell>
          <cell r="BS315">
            <v>1075</v>
          </cell>
          <cell r="BT315">
            <v>-172</v>
          </cell>
          <cell r="BU315">
            <v>0</v>
          </cell>
          <cell r="BV315">
            <v>0</v>
          </cell>
          <cell r="BX315">
            <v>0</v>
          </cell>
          <cell r="BY315">
            <v>25</v>
          </cell>
          <cell r="BZ315">
            <v>0</v>
          </cell>
          <cell r="CA315">
            <v>0</v>
          </cell>
        </row>
        <row r="316">
          <cell r="H316" t="str">
            <v>C233960</v>
          </cell>
          <cell r="I316" t="str">
            <v xml:space="preserve">MOD AE21089 - DEMOD AMDS      </v>
          </cell>
          <cell r="J316" t="str">
            <v xml:space="preserve">21089                         </v>
          </cell>
          <cell r="K316" t="str">
            <v xml:space="preserve">PT. INDONESIA AIRASIA </v>
          </cell>
          <cell r="L316" t="str">
            <v>LJAPLA</v>
          </cell>
          <cell r="M316">
            <v>45252</v>
          </cell>
          <cell r="O316">
            <v>7084</v>
          </cell>
          <cell r="P316">
            <v>7084</v>
          </cell>
          <cell r="Q316">
            <v>1147</v>
          </cell>
          <cell r="R316">
            <v>1147</v>
          </cell>
          <cell r="S316">
            <v>0.55646527385657818</v>
          </cell>
          <cell r="T316">
            <v>0.59</v>
          </cell>
          <cell r="U316">
            <v>67</v>
          </cell>
          <cell r="V316">
            <v>17</v>
          </cell>
          <cell r="W316">
            <v>8</v>
          </cell>
          <cell r="X316">
            <v>42</v>
          </cell>
          <cell r="Y316">
            <v>0</v>
          </cell>
          <cell r="Z316">
            <v>25</v>
          </cell>
          <cell r="AA316">
            <v>7084</v>
          </cell>
          <cell r="AB316">
            <v>1147</v>
          </cell>
          <cell r="AC316">
            <v>1995</v>
          </cell>
          <cell r="AD316">
            <v>0.55646527385657818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7084</v>
          </cell>
          <cell r="AZ316">
            <v>0</v>
          </cell>
          <cell r="BA316">
            <v>2586.0432845321452</v>
          </cell>
          <cell r="BB316">
            <v>1147</v>
          </cell>
          <cell r="BC316">
            <v>1995</v>
          </cell>
          <cell r="BD316">
            <v>0.36505410566518143</v>
          </cell>
          <cell r="BE316">
            <v>1</v>
          </cell>
          <cell r="BF316">
            <v>-4497.9567154678543</v>
          </cell>
          <cell r="BG316">
            <v>0</v>
          </cell>
          <cell r="BH316">
            <v>0</v>
          </cell>
          <cell r="BI316">
            <v>105</v>
          </cell>
          <cell r="BJ316">
            <v>0.36505410566518143</v>
          </cell>
          <cell r="BK316">
            <v>0</v>
          </cell>
          <cell r="BL316">
            <v>3142</v>
          </cell>
          <cell r="BM316">
            <v>0.36505410566518143</v>
          </cell>
          <cell r="BN316">
            <v>2586.0432845321452</v>
          </cell>
          <cell r="BO316">
            <v>1147</v>
          </cell>
          <cell r="BP316">
            <v>1439.0432845321452</v>
          </cell>
          <cell r="BQ316">
            <v>7084</v>
          </cell>
          <cell r="BR316">
            <v>2586.0432845321452</v>
          </cell>
          <cell r="BS316">
            <v>1147</v>
          </cell>
          <cell r="BT316">
            <v>1439.0432845321452</v>
          </cell>
          <cell r="BU316">
            <v>7084</v>
          </cell>
          <cell r="BV316">
            <v>0</v>
          </cell>
          <cell r="BX316">
            <v>4497.9567154678552</v>
          </cell>
          <cell r="BY316">
            <v>25</v>
          </cell>
          <cell r="BZ316">
            <v>8</v>
          </cell>
          <cell r="CA316">
            <v>0</v>
          </cell>
        </row>
        <row r="317">
          <cell r="H317" t="str">
            <v>C233972</v>
          </cell>
          <cell r="I317" t="str">
            <v xml:space="preserve">DEVELOPPEMENT SB LIVRÉE       </v>
          </cell>
          <cell r="J317" t="str">
            <v xml:space="preserve">23134                         </v>
          </cell>
          <cell r="K317" t="str">
            <v xml:space="preserve">VALLJET </v>
          </cell>
          <cell r="L317" t="str">
            <v>VGAPLA</v>
          </cell>
          <cell r="M317">
            <v>45261</v>
          </cell>
          <cell r="O317">
            <v>4000</v>
          </cell>
          <cell r="P317">
            <v>4000</v>
          </cell>
          <cell r="Q317">
            <v>1462</v>
          </cell>
          <cell r="R317">
            <v>1462</v>
          </cell>
          <cell r="S317">
            <v>0.63450000000000006</v>
          </cell>
          <cell r="T317">
            <v>0.59</v>
          </cell>
          <cell r="U317">
            <v>38.04</v>
          </cell>
          <cell r="V317">
            <v>34</v>
          </cell>
          <cell r="W317">
            <v>0</v>
          </cell>
          <cell r="X317">
            <v>0</v>
          </cell>
          <cell r="Y317">
            <v>0</v>
          </cell>
          <cell r="Z317">
            <v>34</v>
          </cell>
          <cell r="AA317">
            <v>4000</v>
          </cell>
          <cell r="AB317">
            <v>1462</v>
          </cell>
          <cell r="AC317">
            <v>0</v>
          </cell>
          <cell r="AD317">
            <v>0.63450000000000006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4000</v>
          </cell>
          <cell r="BB317">
            <v>1462</v>
          </cell>
          <cell r="BC317">
            <v>0</v>
          </cell>
          <cell r="BD317">
            <v>1</v>
          </cell>
          <cell r="BE317">
            <v>0</v>
          </cell>
          <cell r="BF317">
            <v>0</v>
          </cell>
          <cell r="BG317">
            <v>4000</v>
          </cell>
          <cell r="BH317">
            <v>0</v>
          </cell>
          <cell r="BI317">
            <v>105</v>
          </cell>
          <cell r="BJ317">
            <v>1</v>
          </cell>
          <cell r="BK317">
            <v>0</v>
          </cell>
          <cell r="BL317">
            <v>1462</v>
          </cell>
          <cell r="BM317">
            <v>1</v>
          </cell>
          <cell r="BN317">
            <v>4000</v>
          </cell>
          <cell r="BO317">
            <v>1462</v>
          </cell>
          <cell r="BP317">
            <v>2538</v>
          </cell>
          <cell r="BQ317">
            <v>0</v>
          </cell>
          <cell r="BR317">
            <v>4000</v>
          </cell>
          <cell r="BS317">
            <v>1462</v>
          </cell>
          <cell r="BT317">
            <v>2538</v>
          </cell>
          <cell r="BU317">
            <v>0</v>
          </cell>
          <cell r="BV317">
            <v>0</v>
          </cell>
          <cell r="BX317">
            <v>0</v>
          </cell>
          <cell r="BY317">
            <v>34</v>
          </cell>
          <cell r="BZ317">
            <v>0</v>
          </cell>
          <cell r="CA317">
            <v>0</v>
          </cell>
        </row>
        <row r="318">
          <cell r="H318" t="str">
            <v>C233943</v>
          </cell>
          <cell r="I318" t="str">
            <v xml:space="preserve">DEVELOPMENT OF A STC          </v>
          </cell>
          <cell r="J318" t="str">
            <v xml:space="preserve">23136                         </v>
          </cell>
          <cell r="K318" t="str">
            <v>AERO CABIN SOLUTIONS</v>
          </cell>
          <cell r="L318" t="str">
            <v>FDEFDE</v>
          </cell>
          <cell r="M318">
            <v>45264</v>
          </cell>
          <cell r="O318">
            <v>51500</v>
          </cell>
          <cell r="P318">
            <v>51500</v>
          </cell>
          <cell r="Q318">
            <v>15411.86</v>
          </cell>
          <cell r="R318">
            <v>15411.86</v>
          </cell>
          <cell r="S318">
            <v>0.34367747572815532</v>
          </cell>
          <cell r="T318">
            <v>0.3885631067961165</v>
          </cell>
          <cell r="U318">
            <v>237</v>
          </cell>
          <cell r="V318">
            <v>22.5</v>
          </cell>
          <cell r="W318">
            <v>0</v>
          </cell>
          <cell r="X318">
            <v>214.5</v>
          </cell>
          <cell r="Y318">
            <v>0</v>
          </cell>
          <cell r="Z318">
            <v>22.5</v>
          </cell>
          <cell r="AA318">
            <v>24900</v>
          </cell>
          <cell r="AB318">
            <v>967.5</v>
          </cell>
          <cell r="AC318">
            <v>10188.75</v>
          </cell>
          <cell r="AD318">
            <v>0.55195783132530118</v>
          </cell>
          <cell r="AE318">
            <v>26600</v>
          </cell>
          <cell r="AF318">
            <v>14444.36</v>
          </cell>
          <cell r="AG318">
            <v>14444.36</v>
          </cell>
          <cell r="AH318">
            <v>0</v>
          </cell>
          <cell r="AI318">
            <v>0</v>
          </cell>
          <cell r="AJ318">
            <v>8200</v>
          </cell>
          <cell r="AK318">
            <v>0</v>
          </cell>
          <cell r="AL318">
            <v>14444.36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0.14870827067669168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13300</v>
          </cell>
          <cell r="AZ318">
            <v>0</v>
          </cell>
          <cell r="BA318">
            <v>23482.143961307207</v>
          </cell>
          <cell r="BB318">
            <v>15411.86</v>
          </cell>
          <cell r="BC318">
            <v>18388.75</v>
          </cell>
          <cell r="BD318">
            <v>0.45596396041373216</v>
          </cell>
          <cell r="BE318">
            <v>0.258252427184466</v>
          </cell>
          <cell r="BF318">
            <v>0</v>
          </cell>
          <cell r="BG318">
            <v>10182.143961307207</v>
          </cell>
          <cell r="BH318">
            <v>0</v>
          </cell>
          <cell r="BI318">
            <v>105</v>
          </cell>
          <cell r="BJ318">
            <v>0.45596396041373216</v>
          </cell>
          <cell r="BK318">
            <v>0</v>
          </cell>
          <cell r="BL318">
            <v>33800.61</v>
          </cell>
          <cell r="BM318">
            <v>0.45596396041373216</v>
          </cell>
          <cell r="BN318">
            <v>23482.143961307207</v>
          </cell>
          <cell r="BO318">
            <v>15411.86</v>
          </cell>
          <cell r="BP318">
            <v>8070.2839613072065</v>
          </cell>
          <cell r="BQ318">
            <v>13300</v>
          </cell>
          <cell r="BR318">
            <v>23482.143961307207</v>
          </cell>
          <cell r="BS318">
            <v>15411.86</v>
          </cell>
          <cell r="BT318">
            <v>8070.2839613072065</v>
          </cell>
          <cell r="BU318">
            <v>13300</v>
          </cell>
          <cell r="BV318">
            <v>0</v>
          </cell>
          <cell r="BX318">
            <v>28017.856038692793</v>
          </cell>
          <cell r="BY318">
            <v>10.5</v>
          </cell>
          <cell r="BZ318">
            <v>0</v>
          </cell>
          <cell r="CA318">
            <v>14444.36</v>
          </cell>
        </row>
        <row r="319">
          <cell r="H319" t="str">
            <v>C233976</v>
          </cell>
          <cell r="I319" t="str">
            <v xml:space="preserve">DEVELOPMENT OF A SB           </v>
          </cell>
          <cell r="J319" t="str">
            <v xml:space="preserve">23135                         </v>
          </cell>
          <cell r="K319" t="str">
            <v>AERO CABIN SOLUTIONS</v>
          </cell>
          <cell r="L319" t="str">
            <v>FDEPLA</v>
          </cell>
          <cell r="M319">
            <v>45265</v>
          </cell>
          <cell r="O319">
            <v>7800</v>
          </cell>
          <cell r="P319">
            <v>7800</v>
          </cell>
          <cell r="Q319">
            <v>795.5</v>
          </cell>
          <cell r="R319">
            <v>795.5</v>
          </cell>
          <cell r="S319">
            <v>0.56003205128205136</v>
          </cell>
          <cell r="T319">
            <v>0.59</v>
          </cell>
          <cell r="U319">
            <v>74</v>
          </cell>
          <cell r="V319">
            <v>18.5</v>
          </cell>
          <cell r="W319">
            <v>0</v>
          </cell>
          <cell r="X319">
            <v>55.5</v>
          </cell>
          <cell r="Y319">
            <v>0</v>
          </cell>
          <cell r="Z319">
            <v>18.5</v>
          </cell>
          <cell r="AA319">
            <v>7800</v>
          </cell>
          <cell r="AB319">
            <v>795.5</v>
          </cell>
          <cell r="AC319">
            <v>2636.25</v>
          </cell>
          <cell r="AD319">
            <v>0.56003205128205136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1808.0862533692721</v>
          </cell>
          <cell r="BB319">
            <v>795.5</v>
          </cell>
          <cell r="BC319">
            <v>2636.25</v>
          </cell>
          <cell r="BD319">
            <v>0.23180592991913745</v>
          </cell>
          <cell r="BE319">
            <v>0</v>
          </cell>
          <cell r="BF319">
            <v>0</v>
          </cell>
          <cell r="BG319">
            <v>1808.0862533692721</v>
          </cell>
          <cell r="BH319">
            <v>0</v>
          </cell>
          <cell r="BI319">
            <v>105</v>
          </cell>
          <cell r="BJ319">
            <v>0.23180592991913745</v>
          </cell>
          <cell r="BK319">
            <v>0</v>
          </cell>
          <cell r="BL319">
            <v>3431.75</v>
          </cell>
          <cell r="BM319">
            <v>0.23180592991913745</v>
          </cell>
          <cell r="BN319">
            <v>1808.0862533692721</v>
          </cell>
          <cell r="BO319">
            <v>795.5</v>
          </cell>
          <cell r="BP319">
            <v>1012.5862533692721</v>
          </cell>
          <cell r="BQ319">
            <v>0</v>
          </cell>
          <cell r="BR319">
            <v>1808.0862533692721</v>
          </cell>
          <cell r="BS319">
            <v>795.5</v>
          </cell>
          <cell r="BT319">
            <v>1012.5862533692721</v>
          </cell>
          <cell r="BU319">
            <v>0</v>
          </cell>
          <cell r="BV319">
            <v>0</v>
          </cell>
          <cell r="BX319">
            <v>5991.9137466307275</v>
          </cell>
          <cell r="BY319">
            <v>14.5</v>
          </cell>
          <cell r="BZ319">
            <v>0</v>
          </cell>
          <cell r="CA319">
            <v>0</v>
          </cell>
        </row>
        <row r="320">
          <cell r="H320" t="str">
            <v>C233945</v>
          </cell>
          <cell r="I320" t="str">
            <v xml:space="preserve">F2000-227 - CABIN LED         </v>
          </cell>
          <cell r="J320" t="str">
            <v xml:space="preserve">23137                         </v>
          </cell>
          <cell r="K320" t="str">
            <v xml:space="preserve">DASSAULT AVIATION BUSINESS SERVICES </v>
          </cell>
          <cell r="L320" t="str">
            <v>VGAVGA</v>
          </cell>
          <cell r="M320">
            <v>45266</v>
          </cell>
          <cell r="O320">
            <v>5000</v>
          </cell>
          <cell r="P320">
            <v>5000</v>
          </cell>
          <cell r="Q320">
            <v>0</v>
          </cell>
          <cell r="R320">
            <v>0</v>
          </cell>
          <cell r="S320">
            <v>0.55349999999999999</v>
          </cell>
          <cell r="T320">
            <v>0.59</v>
          </cell>
          <cell r="U320">
            <v>47.61904761904762</v>
          </cell>
          <cell r="V320">
            <v>0</v>
          </cell>
          <cell r="W320">
            <v>0</v>
          </cell>
          <cell r="X320">
            <v>47</v>
          </cell>
          <cell r="Y320">
            <v>0</v>
          </cell>
          <cell r="Z320">
            <v>0</v>
          </cell>
          <cell r="AA320">
            <v>5000</v>
          </cell>
          <cell r="AB320">
            <v>0</v>
          </cell>
          <cell r="AC320">
            <v>2232.5</v>
          </cell>
          <cell r="AD320">
            <v>0.55349999999999999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2232.5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105</v>
          </cell>
          <cell r="BJ320">
            <v>0</v>
          </cell>
          <cell r="BK320">
            <v>0</v>
          </cell>
          <cell r="BL320">
            <v>2232.5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X320">
            <v>5000</v>
          </cell>
          <cell r="BY320">
            <v>0</v>
          </cell>
          <cell r="BZ320">
            <v>0</v>
          </cell>
          <cell r="CA320">
            <v>0</v>
          </cell>
        </row>
        <row r="321">
          <cell r="H321" t="str">
            <v>B230091</v>
          </cell>
          <cell r="I321" t="str">
            <v xml:space="preserve">GESTION DE PROJET - FTB       </v>
          </cell>
          <cell r="J321" t="str">
            <v xml:space="preserve">                              </v>
          </cell>
          <cell r="K321" t="str">
            <v xml:space="preserve">AEROTEC BLAGNAC </v>
          </cell>
          <cell r="L321" t="str">
            <v>BAZBAZ</v>
          </cell>
          <cell r="M321">
            <v>45261</v>
          </cell>
          <cell r="O321">
            <v>75336</v>
          </cell>
          <cell r="P321">
            <v>75336</v>
          </cell>
          <cell r="Q321">
            <v>442</v>
          </cell>
          <cell r="R321">
            <v>442</v>
          </cell>
          <cell r="S321">
            <v>0.4471666932143995</v>
          </cell>
          <cell r="T321">
            <v>0.59</v>
          </cell>
          <cell r="U321">
            <v>876</v>
          </cell>
          <cell r="V321">
            <v>0</v>
          </cell>
          <cell r="W321">
            <v>8.5</v>
          </cell>
          <cell r="X321">
            <v>867.5</v>
          </cell>
          <cell r="Y321">
            <v>0</v>
          </cell>
          <cell r="Z321">
            <v>8.5</v>
          </cell>
          <cell r="AA321">
            <v>75336</v>
          </cell>
          <cell r="AB321">
            <v>442</v>
          </cell>
          <cell r="AC321">
            <v>41206.25</v>
          </cell>
          <cell r="AD321">
            <v>0.4471666932143995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799.51767481226705</v>
          </cell>
          <cell r="BB321">
            <v>442</v>
          </cell>
          <cell r="BC321">
            <v>41206.25</v>
          </cell>
          <cell r="BD321">
            <v>1.0612690809337728E-2</v>
          </cell>
          <cell r="BE321">
            <v>0</v>
          </cell>
          <cell r="BF321">
            <v>0</v>
          </cell>
          <cell r="BG321">
            <v>799.51767481226705</v>
          </cell>
          <cell r="BH321">
            <v>0</v>
          </cell>
          <cell r="BI321">
            <v>105</v>
          </cell>
          <cell r="BJ321">
            <v>1.0612690809337728E-2</v>
          </cell>
          <cell r="BK321">
            <v>0</v>
          </cell>
          <cell r="BL321">
            <v>41648.25</v>
          </cell>
          <cell r="BM321">
            <v>1.0612690809337728E-2</v>
          </cell>
          <cell r="BN321">
            <v>799.51767481226705</v>
          </cell>
          <cell r="BO321">
            <v>442</v>
          </cell>
          <cell r="BP321">
            <v>357.51767481226705</v>
          </cell>
          <cell r="BQ321">
            <v>0</v>
          </cell>
          <cell r="BR321">
            <v>799.51767481226705</v>
          </cell>
          <cell r="BS321">
            <v>442</v>
          </cell>
          <cell r="BT321">
            <v>357.51767481226705</v>
          </cell>
          <cell r="BU321">
            <v>0</v>
          </cell>
          <cell r="BV321">
            <v>0</v>
          </cell>
          <cell r="BX321">
            <v>74536.482325187739</v>
          </cell>
          <cell r="BY321">
            <v>8.5</v>
          </cell>
          <cell r="BZ321">
            <v>8.5</v>
          </cell>
          <cell r="CA321">
            <v>0</v>
          </cell>
        </row>
        <row r="322">
          <cell r="H322" t="str">
            <v>C233974</v>
          </cell>
          <cell r="I322" t="str">
            <v xml:space="preserve"> DOSSIER DE MODIFICATION      </v>
          </cell>
          <cell r="J322" t="str">
            <v xml:space="preserve">23138                         </v>
          </cell>
          <cell r="K322" t="str">
            <v xml:space="preserve">MBH </v>
          </cell>
          <cell r="L322" t="str">
            <v>LJALJA</v>
          </cell>
          <cell r="M322">
            <v>45265</v>
          </cell>
          <cell r="O322">
            <v>7994.95</v>
          </cell>
          <cell r="P322">
            <v>7994.95</v>
          </cell>
          <cell r="Q322">
            <v>1341.2</v>
          </cell>
          <cell r="R322">
            <v>1214</v>
          </cell>
          <cell r="S322">
            <v>0.33974571448226698</v>
          </cell>
          <cell r="T322">
            <v>0.38133528039574982</v>
          </cell>
          <cell r="U322">
            <v>26</v>
          </cell>
          <cell r="V322">
            <v>16.399999999999999</v>
          </cell>
          <cell r="W322">
            <v>0</v>
          </cell>
          <cell r="X322">
            <v>9</v>
          </cell>
          <cell r="Y322">
            <v>0</v>
          </cell>
          <cell r="Z322">
            <v>16.399999999999999</v>
          </cell>
          <cell r="AA322">
            <v>3717.35</v>
          </cell>
          <cell r="AB322">
            <v>705.2</v>
          </cell>
          <cell r="AC322">
            <v>427.5</v>
          </cell>
          <cell r="AD322">
            <v>0.69529369039772959</v>
          </cell>
          <cell r="AE322">
            <v>4913.5999999999995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0</v>
          </cell>
          <cell r="AL322">
            <v>0</v>
          </cell>
          <cell r="AM322">
            <v>636</v>
          </cell>
          <cell r="AN322">
            <v>508.8</v>
          </cell>
          <cell r="AO322">
            <v>3510</v>
          </cell>
          <cell r="AP322">
            <v>0</v>
          </cell>
          <cell r="AQ322">
            <v>636</v>
          </cell>
          <cell r="AR322">
            <v>0.15621947248453261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1838.6855286339439</v>
          </cell>
          <cell r="BB322">
            <v>1214</v>
          </cell>
          <cell r="BC322">
            <v>4064.7</v>
          </cell>
          <cell r="BD322">
            <v>0.2299808665012219</v>
          </cell>
          <cell r="BE322">
            <v>0</v>
          </cell>
          <cell r="BF322">
            <v>0</v>
          </cell>
          <cell r="BG322">
            <v>1838.6855286339439</v>
          </cell>
          <cell r="BH322">
            <v>0</v>
          </cell>
          <cell r="BI322">
            <v>105</v>
          </cell>
          <cell r="BJ322">
            <v>0.2299808665012219</v>
          </cell>
          <cell r="BK322">
            <v>-635.99999999999909</v>
          </cell>
          <cell r="BL322">
            <v>5278.7</v>
          </cell>
          <cell r="BM322">
            <v>0.2299808665012219</v>
          </cell>
          <cell r="BN322">
            <v>1838.6855286339439</v>
          </cell>
          <cell r="BO322">
            <v>1214</v>
          </cell>
          <cell r="BP322">
            <v>624.68552863394393</v>
          </cell>
          <cell r="BQ322">
            <v>0</v>
          </cell>
          <cell r="BR322">
            <v>1838.6855286339439</v>
          </cell>
          <cell r="BS322">
            <v>1214</v>
          </cell>
          <cell r="BT322">
            <v>624.68552863394393</v>
          </cell>
          <cell r="BU322">
            <v>0</v>
          </cell>
          <cell r="BV322">
            <v>0</v>
          </cell>
          <cell r="BX322">
            <v>6156.2644713660557</v>
          </cell>
          <cell r="BY322">
            <v>16.399999999999999</v>
          </cell>
          <cell r="BZ322">
            <v>0</v>
          </cell>
          <cell r="CA322">
            <v>0</v>
          </cell>
        </row>
        <row r="323">
          <cell r="H323" t="str">
            <v>C233971</v>
          </cell>
          <cell r="I323" t="str">
            <v xml:space="preserve">21082M00-0102                 </v>
          </cell>
          <cell r="J323" t="str">
            <v xml:space="preserve">                              </v>
          </cell>
          <cell r="K323" t="str">
            <v xml:space="preserve">BABCOCK INTERNATIONAL FRANCE AVIATION </v>
          </cell>
          <cell r="L323" t="str">
            <v>LUDLUD</v>
          </cell>
          <cell r="M323">
            <v>45268</v>
          </cell>
          <cell r="N323" t="str">
            <v/>
          </cell>
          <cell r="O323">
            <v>7424</v>
          </cell>
          <cell r="P323">
            <v>7424</v>
          </cell>
          <cell r="Q323">
            <v>5155.04</v>
          </cell>
          <cell r="R323">
            <v>2620.52</v>
          </cell>
          <cell r="S323">
            <v>0.30562500000000004</v>
          </cell>
          <cell r="T323">
            <v>0.21103178879310344</v>
          </cell>
          <cell r="U323">
            <v>2</v>
          </cell>
          <cell r="V323">
            <v>2</v>
          </cell>
          <cell r="W323">
            <v>0</v>
          </cell>
          <cell r="X323">
            <v>0</v>
          </cell>
          <cell r="Y323">
            <v>0</v>
          </cell>
          <cell r="Z323">
            <v>2</v>
          </cell>
          <cell r="AA323">
            <v>210</v>
          </cell>
          <cell r="AB323">
            <v>86</v>
          </cell>
          <cell r="AC323">
            <v>0</v>
          </cell>
          <cell r="AD323">
            <v>0.59047619047619049</v>
          </cell>
          <cell r="AE323">
            <v>7424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5069.04</v>
          </cell>
          <cell r="AN323">
            <v>2534.52</v>
          </cell>
          <cell r="AO323">
            <v>0</v>
          </cell>
          <cell r="AP323">
            <v>0</v>
          </cell>
          <cell r="AQ323">
            <v>5069.04</v>
          </cell>
          <cell r="AR323">
            <v>0.31720905172413794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3773.9261926192617</v>
          </cell>
          <cell r="BB323">
            <v>2620.52</v>
          </cell>
          <cell r="BC323">
            <v>2534.52</v>
          </cell>
          <cell r="BD323">
            <v>0.50834135137651693</v>
          </cell>
          <cell r="BE323">
            <v>0</v>
          </cell>
          <cell r="BF323">
            <v>0</v>
          </cell>
          <cell r="BG323">
            <v>3773.9261926192617</v>
          </cell>
          <cell r="BH323">
            <v>0</v>
          </cell>
          <cell r="BI323">
            <v>105</v>
          </cell>
          <cell r="BJ323">
            <v>0.50834135137651693</v>
          </cell>
          <cell r="BK323">
            <v>-210</v>
          </cell>
          <cell r="BL323">
            <v>5155.04</v>
          </cell>
          <cell r="BM323">
            <v>0.50834135137651693</v>
          </cell>
          <cell r="BN323">
            <v>3773.9261926192617</v>
          </cell>
          <cell r="BO323">
            <v>2620.52</v>
          </cell>
          <cell r="BP323">
            <v>1153.4061926192617</v>
          </cell>
          <cell r="BQ323">
            <v>0</v>
          </cell>
          <cell r="BR323">
            <v>3773.9261926192617</v>
          </cell>
          <cell r="BS323">
            <v>2620.52</v>
          </cell>
          <cell r="BT323">
            <v>1153.4061926192617</v>
          </cell>
          <cell r="BU323">
            <v>0</v>
          </cell>
          <cell r="BV323">
            <v>0</v>
          </cell>
          <cell r="BX323">
            <v>3650.0738073807383</v>
          </cell>
          <cell r="BY323">
            <v>2</v>
          </cell>
          <cell r="BZ323">
            <v>0</v>
          </cell>
          <cell r="CA323">
            <v>0</v>
          </cell>
        </row>
        <row r="324">
          <cell r="H324" t="str">
            <v>C233984</v>
          </cell>
          <cell r="I324" t="str">
            <v>DOSSIER DÉSINSTALLATION HF BLU</v>
          </cell>
          <cell r="J324" t="str">
            <v xml:space="preserve">23143                         </v>
          </cell>
          <cell r="K324" t="str">
            <v>AIRTELIS</v>
          </cell>
          <cell r="L324" t="str">
            <v>LJALJA</v>
          </cell>
          <cell r="M324">
            <v>45279</v>
          </cell>
          <cell r="O324">
            <v>7450</v>
          </cell>
          <cell r="P324">
            <v>7450</v>
          </cell>
          <cell r="Q324">
            <v>1251.3000000000002</v>
          </cell>
          <cell r="R324">
            <v>1251.3000000000002</v>
          </cell>
          <cell r="S324">
            <v>0.76190604026845632</v>
          </cell>
          <cell r="T324">
            <v>0.59</v>
          </cell>
          <cell r="U324">
            <v>71</v>
          </cell>
          <cell r="V324">
            <v>29.099999999999998</v>
          </cell>
          <cell r="W324">
            <v>0</v>
          </cell>
          <cell r="X324">
            <v>11</v>
          </cell>
          <cell r="Y324">
            <v>0</v>
          </cell>
          <cell r="Z324">
            <v>29.099999999999998</v>
          </cell>
          <cell r="AA324">
            <v>7450</v>
          </cell>
          <cell r="AB324">
            <v>1251.3000000000002</v>
          </cell>
          <cell r="AC324">
            <v>522.5</v>
          </cell>
          <cell r="AD324">
            <v>0.76190604026845632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5255.4882173864025</v>
          </cell>
          <cell r="BB324">
            <v>1251.3000000000002</v>
          </cell>
          <cell r="BC324">
            <v>522.5</v>
          </cell>
          <cell r="BD324">
            <v>0.70543466005186606</v>
          </cell>
          <cell r="BE324">
            <v>0</v>
          </cell>
          <cell r="BF324">
            <v>0</v>
          </cell>
          <cell r="BG324">
            <v>5255.4882173864025</v>
          </cell>
          <cell r="BH324">
            <v>0</v>
          </cell>
          <cell r="BI324">
            <v>105</v>
          </cell>
          <cell r="BJ324">
            <v>0.70543466005186606</v>
          </cell>
          <cell r="BK324">
            <v>0</v>
          </cell>
          <cell r="BL324">
            <v>1773.8000000000002</v>
          </cell>
          <cell r="BM324">
            <v>0.70543466005186606</v>
          </cell>
          <cell r="BN324">
            <v>5255.4882173864025</v>
          </cell>
          <cell r="BO324">
            <v>1251.3000000000002</v>
          </cell>
          <cell r="BP324">
            <v>4004.1882173864024</v>
          </cell>
          <cell r="BQ324">
            <v>0</v>
          </cell>
          <cell r="BR324">
            <v>5255.4882173864025</v>
          </cell>
          <cell r="BS324">
            <v>1251.3000000000002</v>
          </cell>
          <cell r="BT324">
            <v>4004.1882173864024</v>
          </cell>
          <cell r="BU324">
            <v>0</v>
          </cell>
          <cell r="BV324">
            <v>0</v>
          </cell>
          <cell r="BX324">
            <v>2194.5117826135975</v>
          </cell>
          <cell r="BY324">
            <v>29.099999999999998</v>
          </cell>
          <cell r="BZ324">
            <v>0</v>
          </cell>
          <cell r="CA324">
            <v>0</v>
          </cell>
        </row>
        <row r="325">
          <cell r="H325" t="str">
            <v>C233916</v>
          </cell>
          <cell r="I325" t="str">
            <v xml:space="preserve">DEVELOPMENT OF A STC          </v>
          </cell>
          <cell r="J325" t="str">
            <v xml:space="preserve">                              </v>
          </cell>
          <cell r="K325" t="str">
            <v>AIRBUS SAS</v>
          </cell>
          <cell r="L325" t="str">
            <v>JFAPLA</v>
          </cell>
          <cell r="M325">
            <v>45274</v>
          </cell>
          <cell r="O325">
            <v>420244.83829700004</v>
          </cell>
          <cell r="P325">
            <v>420244.83829700004</v>
          </cell>
          <cell r="Q325">
            <v>0</v>
          </cell>
          <cell r="R325">
            <v>0</v>
          </cell>
          <cell r="S325">
            <v>0.4892349520107544</v>
          </cell>
          <cell r="T325">
            <v>0.5381008259652057</v>
          </cell>
          <cell r="U325">
            <v>3488.05</v>
          </cell>
          <cell r="V325">
            <v>0</v>
          </cell>
          <cell r="W325">
            <v>0</v>
          </cell>
          <cell r="X325">
            <v>3488.05</v>
          </cell>
          <cell r="Y325">
            <v>0</v>
          </cell>
          <cell r="Z325">
            <v>0</v>
          </cell>
          <cell r="AA325">
            <v>364320.83829700004</v>
          </cell>
          <cell r="AB325">
            <v>0</v>
          </cell>
          <cell r="AC325">
            <v>165682.375</v>
          </cell>
          <cell r="AD325">
            <v>0.54522948570695495</v>
          </cell>
          <cell r="AE325">
            <v>34800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27840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0.19999999999999996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126073.45999999999</v>
          </cell>
          <cell r="AZ325">
            <v>0</v>
          </cell>
          <cell r="BA325">
            <v>0</v>
          </cell>
          <cell r="BB325">
            <v>0</v>
          </cell>
          <cell r="BC325">
            <v>214646.375</v>
          </cell>
          <cell r="BD325">
            <v>0</v>
          </cell>
          <cell r="BE325">
            <v>0.30000002025224154</v>
          </cell>
          <cell r="BF325">
            <v>-126073.45999999998</v>
          </cell>
          <cell r="BG325">
            <v>0</v>
          </cell>
          <cell r="BH325">
            <v>21124</v>
          </cell>
          <cell r="BI325">
            <v>105</v>
          </cell>
          <cell r="BJ325">
            <v>0</v>
          </cell>
          <cell r="BK325">
            <v>0</v>
          </cell>
          <cell r="BL325">
            <v>214646.375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126073.45999999999</v>
          </cell>
          <cell r="BR325">
            <v>0</v>
          </cell>
          <cell r="BS325">
            <v>0</v>
          </cell>
          <cell r="BT325">
            <v>0</v>
          </cell>
          <cell r="BU325">
            <v>126073.45999999999</v>
          </cell>
          <cell r="BV325">
            <v>0</v>
          </cell>
          <cell r="BX325">
            <v>420244.83829700004</v>
          </cell>
          <cell r="BY325">
            <v>0</v>
          </cell>
          <cell r="BZ325">
            <v>0</v>
          </cell>
          <cell r="CA325">
            <v>0</v>
          </cell>
        </row>
        <row r="326">
          <cell r="H326" t="str">
            <v>C233994</v>
          </cell>
          <cell r="I326" t="str">
            <v xml:space="preserve">A320-214 MSN 4399 &amp; 4438      </v>
          </cell>
          <cell r="J326" t="str">
            <v xml:space="preserve">23142                         </v>
          </cell>
          <cell r="K326" t="str">
            <v>AERO CABIN SOLUTIONS</v>
          </cell>
          <cell r="L326" t="str">
            <v>FDEPLA</v>
          </cell>
          <cell r="M326">
            <v>45278</v>
          </cell>
          <cell r="O326">
            <v>6700</v>
          </cell>
          <cell r="P326">
            <v>6700</v>
          </cell>
          <cell r="Q326">
            <v>2586</v>
          </cell>
          <cell r="R326">
            <v>86</v>
          </cell>
          <cell r="S326">
            <v>0.38007462686567162</v>
          </cell>
          <cell r="T326">
            <v>0.41537313432835821</v>
          </cell>
          <cell r="U326">
            <v>35</v>
          </cell>
          <cell r="V326">
            <v>2</v>
          </cell>
          <cell r="W326">
            <v>0</v>
          </cell>
          <cell r="X326">
            <v>33</v>
          </cell>
          <cell r="Y326">
            <v>0</v>
          </cell>
          <cell r="Z326">
            <v>2</v>
          </cell>
          <cell r="AA326">
            <v>3700</v>
          </cell>
          <cell r="AB326">
            <v>86</v>
          </cell>
          <cell r="AC326">
            <v>1567.5</v>
          </cell>
          <cell r="AD326">
            <v>0.55310810810810818</v>
          </cell>
          <cell r="AE326">
            <v>3000</v>
          </cell>
          <cell r="AF326">
            <v>2500</v>
          </cell>
          <cell r="AG326">
            <v>0</v>
          </cell>
          <cell r="AH326">
            <v>2500</v>
          </cell>
          <cell r="AI326">
            <v>0</v>
          </cell>
          <cell r="AJ326">
            <v>0</v>
          </cell>
          <cell r="AK326">
            <v>0</v>
          </cell>
          <cell r="AL326">
            <v>2500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0.16666666666666663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138.72637534609365</v>
          </cell>
          <cell r="BB326">
            <v>86</v>
          </cell>
          <cell r="BC326">
            <v>4067.5</v>
          </cell>
          <cell r="BD326">
            <v>2.0705429156133381E-2</v>
          </cell>
          <cell r="BE326">
            <v>0</v>
          </cell>
          <cell r="BF326">
            <v>0</v>
          </cell>
          <cell r="BG326">
            <v>138.72637534609365</v>
          </cell>
          <cell r="BH326">
            <v>0</v>
          </cell>
          <cell r="BI326">
            <v>105</v>
          </cell>
          <cell r="BJ326">
            <v>2.0705429156133381E-2</v>
          </cell>
          <cell r="BK326">
            <v>0</v>
          </cell>
          <cell r="BL326">
            <v>4153.5</v>
          </cell>
          <cell r="BM326">
            <v>2.0705429156133381E-2</v>
          </cell>
          <cell r="BN326">
            <v>138.72637534609365</v>
          </cell>
          <cell r="BO326">
            <v>86</v>
          </cell>
          <cell r="BP326">
            <v>52.726375346093647</v>
          </cell>
          <cell r="BQ326">
            <v>0</v>
          </cell>
          <cell r="BR326">
            <v>138.72637534609365</v>
          </cell>
          <cell r="BS326">
            <v>86</v>
          </cell>
          <cell r="BT326">
            <v>52.726375346093647</v>
          </cell>
          <cell r="BU326">
            <v>0</v>
          </cell>
          <cell r="BV326">
            <v>0</v>
          </cell>
          <cell r="BX326">
            <v>6561.2736246539062</v>
          </cell>
          <cell r="BY326">
            <v>2</v>
          </cell>
          <cell r="BZ326">
            <v>0</v>
          </cell>
          <cell r="CA326">
            <v>0</v>
          </cell>
        </row>
        <row r="327">
          <cell r="H327" t="str">
            <v>C233777</v>
          </cell>
          <cell r="I327" t="str">
            <v>RFP A330 - JIANGXI - MSN 785-7</v>
          </cell>
          <cell r="J327" t="str">
            <v xml:space="preserve">23145                         </v>
          </cell>
          <cell r="K327" t="str">
            <v>AIRBUS SAS</v>
          </cell>
          <cell r="L327" t="str">
            <v>VGAQPO</v>
          </cell>
          <cell r="M327">
            <v>45279</v>
          </cell>
          <cell r="O327">
            <v>46895.035721</v>
          </cell>
          <cell r="P327">
            <v>46895.035721</v>
          </cell>
          <cell r="Q327">
            <v>0</v>
          </cell>
          <cell r="R327">
            <v>0</v>
          </cell>
          <cell r="S327">
            <v>0.24413104785573825</v>
          </cell>
          <cell r="T327">
            <v>0.2495117187519329</v>
          </cell>
          <cell r="U327">
            <v>56.699726971428575</v>
          </cell>
          <cell r="V327">
            <v>0</v>
          </cell>
          <cell r="W327">
            <v>0</v>
          </cell>
          <cell r="X327">
            <v>56.7</v>
          </cell>
          <cell r="Y327">
            <v>0</v>
          </cell>
          <cell r="Z327">
            <v>0</v>
          </cell>
          <cell r="AA327">
            <v>5953.4713320000001</v>
          </cell>
          <cell r="AB327">
            <v>0</v>
          </cell>
          <cell r="AC327">
            <v>2693.25</v>
          </cell>
          <cell r="AD327">
            <v>0.54761686925008946</v>
          </cell>
          <cell r="AE327">
            <v>40941.564388999999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32753.2515112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0.19999999999999996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14012.04</v>
          </cell>
          <cell r="AZ327">
            <v>0</v>
          </cell>
          <cell r="BA327">
            <v>0</v>
          </cell>
          <cell r="BB327">
            <v>0</v>
          </cell>
          <cell r="BC327">
            <v>35446.501511199996</v>
          </cell>
          <cell r="BD327">
            <v>0</v>
          </cell>
          <cell r="BE327">
            <v>0.29879580609265405</v>
          </cell>
          <cell r="BF327">
            <v>-14012.04</v>
          </cell>
          <cell r="BG327">
            <v>0</v>
          </cell>
          <cell r="BH327">
            <v>0</v>
          </cell>
          <cell r="BI327">
            <v>105</v>
          </cell>
          <cell r="BJ327">
            <v>0</v>
          </cell>
          <cell r="BK327">
            <v>0</v>
          </cell>
          <cell r="BL327">
            <v>35446.501511199996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14012.04</v>
          </cell>
          <cell r="BR327">
            <v>0</v>
          </cell>
          <cell r="BS327">
            <v>0</v>
          </cell>
          <cell r="BT327">
            <v>0</v>
          </cell>
          <cell r="BU327">
            <v>14012.04</v>
          </cell>
          <cell r="BV327">
            <v>0</v>
          </cell>
          <cell r="BX327">
            <v>46895.035721</v>
          </cell>
          <cell r="BY327">
            <v>0</v>
          </cell>
          <cell r="BZ327">
            <v>0</v>
          </cell>
          <cell r="CA327">
            <v>0</v>
          </cell>
        </row>
        <row r="328">
          <cell r="H328" t="str">
            <v>C233986</v>
          </cell>
          <cell r="I328" t="str">
            <v xml:space="preserve">FRANCISATION KODIAK 100       </v>
          </cell>
          <cell r="J328" t="str">
            <v xml:space="preserve">                              </v>
          </cell>
          <cell r="K328" t="str">
            <v>LMO FLY DYNAMICS DEVELOPMENT</v>
          </cell>
          <cell r="L328" t="str">
            <v>PROPLA</v>
          </cell>
          <cell r="M328">
            <v>45278</v>
          </cell>
          <cell r="O328">
            <v>83057</v>
          </cell>
          <cell r="P328">
            <v>83057</v>
          </cell>
          <cell r="Q328">
            <v>42177</v>
          </cell>
          <cell r="R328">
            <v>21174.5</v>
          </cell>
          <cell r="S328">
            <v>0.44752398954934558</v>
          </cell>
          <cell r="T328">
            <v>0.35123023947409615</v>
          </cell>
          <cell r="U328">
            <v>40</v>
          </cell>
          <cell r="V328">
            <v>4</v>
          </cell>
          <cell r="W328">
            <v>0</v>
          </cell>
          <cell r="X328">
            <v>36</v>
          </cell>
          <cell r="Y328">
            <v>0</v>
          </cell>
          <cell r="Z328">
            <v>4</v>
          </cell>
          <cell r="AA328">
            <v>32207</v>
          </cell>
          <cell r="AB328">
            <v>172</v>
          </cell>
          <cell r="AC328">
            <v>1710</v>
          </cell>
          <cell r="AD328">
            <v>0.94156549818362467</v>
          </cell>
          <cell r="AE328">
            <v>50850</v>
          </cell>
          <cell r="AF328">
            <v>42005</v>
          </cell>
          <cell r="AG328">
            <v>21002.5</v>
          </cell>
          <cell r="AH328">
            <v>21002.5</v>
          </cell>
          <cell r="AI328">
            <v>21002.5</v>
          </cell>
          <cell r="AJ328">
            <v>2000</v>
          </cell>
          <cell r="AK328">
            <v>0</v>
          </cell>
          <cell r="AL328">
            <v>42005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0.13461160275319572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38326.551016627804</v>
          </cell>
          <cell r="BB328">
            <v>21174.5</v>
          </cell>
          <cell r="BC328">
            <v>24712.5</v>
          </cell>
          <cell r="BD328">
            <v>0.4614487763418833</v>
          </cell>
          <cell r="BE328">
            <v>0</v>
          </cell>
          <cell r="BF328">
            <v>0</v>
          </cell>
          <cell r="BG328">
            <v>38326.551016627804</v>
          </cell>
          <cell r="BH328">
            <v>0</v>
          </cell>
          <cell r="BI328">
            <v>105</v>
          </cell>
          <cell r="BJ328">
            <v>0.4614487763418833</v>
          </cell>
          <cell r="BK328">
            <v>0</v>
          </cell>
          <cell r="BL328">
            <v>45887</v>
          </cell>
          <cell r="BM328">
            <v>0.4614487763418833</v>
          </cell>
          <cell r="BN328">
            <v>38326.551016627804</v>
          </cell>
          <cell r="BO328">
            <v>21174.5</v>
          </cell>
          <cell r="BP328">
            <v>17152.051016627804</v>
          </cell>
          <cell r="BQ328">
            <v>0</v>
          </cell>
          <cell r="BR328">
            <v>38326.551016627804</v>
          </cell>
          <cell r="BS328">
            <v>21174.5</v>
          </cell>
          <cell r="BT328">
            <v>17152.051016627804</v>
          </cell>
          <cell r="BU328">
            <v>0</v>
          </cell>
          <cell r="BV328">
            <v>0</v>
          </cell>
          <cell r="BX328">
            <v>44730.448983372196</v>
          </cell>
          <cell r="BY328">
            <v>4</v>
          </cell>
          <cell r="BZ328">
            <v>0</v>
          </cell>
          <cell r="CA328">
            <v>21002.5</v>
          </cell>
        </row>
        <row r="329">
          <cell r="H329" t="str">
            <v>C233987</v>
          </cell>
          <cell r="I329" t="str">
            <v xml:space="preserve">REPRISE DOSSIER AE23084       </v>
          </cell>
          <cell r="J329" t="str">
            <v xml:space="preserve">                              </v>
          </cell>
          <cell r="K329" t="str">
            <v xml:space="preserve">RESEAUX TRANSPORT ELECTRICITE </v>
          </cell>
          <cell r="L329" t="str">
            <v>LJALJA</v>
          </cell>
          <cell r="M329">
            <v>45280</v>
          </cell>
          <cell r="O329">
            <v>7643</v>
          </cell>
          <cell r="P329">
            <v>7643</v>
          </cell>
          <cell r="Q329">
            <v>2777.48</v>
          </cell>
          <cell r="R329">
            <v>0</v>
          </cell>
          <cell r="S329">
            <v>0.51230145230930257</v>
          </cell>
          <cell r="T329">
            <v>0.32159754023289283</v>
          </cell>
          <cell r="U329">
            <v>20</v>
          </cell>
          <cell r="V329">
            <v>0</v>
          </cell>
          <cell r="W329">
            <v>0</v>
          </cell>
          <cell r="X329">
            <v>20</v>
          </cell>
          <cell r="Y329">
            <v>0</v>
          </cell>
          <cell r="Z329">
            <v>0</v>
          </cell>
          <cell r="AA329">
            <v>2383</v>
          </cell>
          <cell r="AB329">
            <v>0</v>
          </cell>
          <cell r="AC329">
            <v>950</v>
          </cell>
          <cell r="AD329">
            <v>0.60134284515316827</v>
          </cell>
          <cell r="AE329">
            <v>5260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2777.48</v>
          </cell>
          <cell r="AN329">
            <v>0</v>
          </cell>
          <cell r="AO329">
            <v>0</v>
          </cell>
          <cell r="AP329">
            <v>0</v>
          </cell>
          <cell r="AQ329">
            <v>2777.48</v>
          </cell>
          <cell r="AR329">
            <v>0.47196197718631183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3727.48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105</v>
          </cell>
          <cell r="BJ329">
            <v>0</v>
          </cell>
          <cell r="BK329">
            <v>0</v>
          </cell>
          <cell r="BL329">
            <v>3727.48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X329">
            <v>7643</v>
          </cell>
          <cell r="BY329">
            <v>0</v>
          </cell>
          <cell r="BZ329">
            <v>0</v>
          </cell>
          <cell r="CA329">
            <v>0</v>
          </cell>
        </row>
        <row r="330">
          <cell r="H330" t="str">
            <v>C233995</v>
          </cell>
          <cell r="I330" t="str">
            <v xml:space="preserve">SSFR VSB ENDORSEMENT          </v>
          </cell>
          <cell r="J330" t="str">
            <v xml:space="preserve">23144                         </v>
          </cell>
          <cell r="K330" t="str">
            <v xml:space="preserve">AIR CARAIBES ATLANTIQUE </v>
          </cell>
          <cell r="L330" t="str">
            <v>VGAVGA</v>
          </cell>
          <cell r="M330">
            <v>45279</v>
          </cell>
          <cell r="O330">
            <v>4400</v>
          </cell>
          <cell r="P330">
            <v>4400</v>
          </cell>
          <cell r="Q330">
            <v>0</v>
          </cell>
          <cell r="R330">
            <v>0</v>
          </cell>
          <cell r="S330">
            <v>0.54767045454545449</v>
          </cell>
          <cell r="T330">
            <v>0.59</v>
          </cell>
          <cell r="U330">
            <v>41.904761904761905</v>
          </cell>
          <cell r="V330">
            <v>0</v>
          </cell>
          <cell r="W330">
            <v>0</v>
          </cell>
          <cell r="X330">
            <v>41.9</v>
          </cell>
          <cell r="Y330">
            <v>0</v>
          </cell>
          <cell r="Z330">
            <v>0</v>
          </cell>
          <cell r="AA330">
            <v>4400</v>
          </cell>
          <cell r="AB330">
            <v>0</v>
          </cell>
          <cell r="AC330">
            <v>1990.25</v>
          </cell>
          <cell r="AD330">
            <v>0.54767045454545449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1990.25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105</v>
          </cell>
          <cell r="BJ330">
            <v>0</v>
          </cell>
          <cell r="BK330">
            <v>0</v>
          </cell>
          <cell r="BL330">
            <v>1990.25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X330">
            <v>4400</v>
          </cell>
          <cell r="BY330">
            <v>0</v>
          </cell>
          <cell r="BZ330">
            <v>0</v>
          </cell>
          <cell r="CA330">
            <v>0</v>
          </cell>
        </row>
        <row r="331">
          <cell r="H331" t="str">
            <v>C233991</v>
          </cell>
          <cell r="I331" t="str">
            <v xml:space="preserve">DOSSIER D'INSTALLATION        </v>
          </cell>
          <cell r="J331" t="str">
            <v xml:space="preserve">                              </v>
          </cell>
          <cell r="K331" t="str">
            <v xml:space="preserve">SAF INTERNATIONAL </v>
          </cell>
          <cell r="L331" t="str">
            <v>LJALJA</v>
          </cell>
          <cell r="M331">
            <v>45280</v>
          </cell>
          <cell r="O331">
            <v>65468</v>
          </cell>
          <cell r="P331">
            <v>65468</v>
          </cell>
          <cell r="Q331">
            <v>10512.42</v>
          </cell>
          <cell r="R331">
            <v>0</v>
          </cell>
          <cell r="S331">
            <v>0.26886035925948559</v>
          </cell>
          <cell r="T331">
            <v>0.27725178713264498</v>
          </cell>
          <cell r="U331">
            <v>123.5</v>
          </cell>
          <cell r="V331">
            <v>0</v>
          </cell>
          <cell r="W331">
            <v>0</v>
          </cell>
          <cell r="X331">
            <v>123.5</v>
          </cell>
          <cell r="Y331">
            <v>0</v>
          </cell>
          <cell r="Z331">
            <v>0</v>
          </cell>
          <cell r="AA331">
            <v>12968</v>
          </cell>
          <cell r="AB331">
            <v>0</v>
          </cell>
          <cell r="AC331">
            <v>5866.25</v>
          </cell>
          <cell r="AD331">
            <v>0.54763648982109814</v>
          </cell>
          <cell r="AE331">
            <v>52500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31487.58</v>
          </cell>
          <cell r="AK331">
            <v>0</v>
          </cell>
          <cell r="AL331">
            <v>0</v>
          </cell>
          <cell r="AM331">
            <v>10512.42</v>
          </cell>
          <cell r="AN331">
            <v>0</v>
          </cell>
          <cell r="AO331">
            <v>0</v>
          </cell>
          <cell r="AP331">
            <v>0</v>
          </cell>
          <cell r="AQ331">
            <v>10512.42</v>
          </cell>
          <cell r="AR331">
            <v>0.19999999999999996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47866.25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105</v>
          </cell>
          <cell r="BJ331">
            <v>0</v>
          </cell>
          <cell r="BK331">
            <v>0</v>
          </cell>
          <cell r="BL331">
            <v>47866.25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X331">
            <v>65468</v>
          </cell>
          <cell r="BY331">
            <v>0</v>
          </cell>
          <cell r="BZ331">
            <v>0</v>
          </cell>
          <cell r="CA331">
            <v>0</v>
          </cell>
        </row>
        <row r="332">
          <cell r="H332" t="str">
            <v>C233992</v>
          </cell>
          <cell r="I332" t="str">
            <v xml:space="preserve">DOSSIER REMPLACEMENT NPX138   </v>
          </cell>
          <cell r="J332" t="str">
            <v xml:space="preserve">                              </v>
          </cell>
          <cell r="K332" t="str">
            <v>AIRTELIS</v>
          </cell>
          <cell r="L332" t="str">
            <v>LJALJA</v>
          </cell>
          <cell r="M332">
            <v>45279</v>
          </cell>
          <cell r="O332">
            <v>4380</v>
          </cell>
          <cell r="P332">
            <v>4380</v>
          </cell>
          <cell r="Q332">
            <v>0</v>
          </cell>
          <cell r="R332">
            <v>0</v>
          </cell>
          <cell r="S332">
            <v>0.54777397260273974</v>
          </cell>
          <cell r="T332">
            <v>0.59</v>
          </cell>
          <cell r="U332">
            <v>41.714285714285715</v>
          </cell>
          <cell r="V332">
            <v>0</v>
          </cell>
          <cell r="W332">
            <v>0</v>
          </cell>
          <cell r="X332">
            <v>41.7</v>
          </cell>
          <cell r="Y332">
            <v>0</v>
          </cell>
          <cell r="Z332">
            <v>0</v>
          </cell>
          <cell r="AA332">
            <v>4380</v>
          </cell>
          <cell r="AB332">
            <v>0</v>
          </cell>
          <cell r="AC332">
            <v>1980.7500000000002</v>
          </cell>
          <cell r="AD332">
            <v>0.54777397260273974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1980.7500000000002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105</v>
          </cell>
          <cell r="BJ332">
            <v>0</v>
          </cell>
          <cell r="BK332">
            <v>0</v>
          </cell>
          <cell r="BL332">
            <v>1980.7500000000002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X332">
            <v>4380</v>
          </cell>
          <cell r="BY332">
            <v>0</v>
          </cell>
          <cell r="BZ332">
            <v>0</v>
          </cell>
          <cell r="CA332">
            <v>0</v>
          </cell>
        </row>
        <row r="333">
          <cell r="H333" t="str">
            <v>C233998</v>
          </cell>
          <cell r="I333" t="str">
            <v xml:space="preserve">NOUVEAU DOSSIER REMPLACEMENT  </v>
          </cell>
          <cell r="J333" t="str">
            <v xml:space="preserve">                              </v>
          </cell>
          <cell r="K333" t="str">
            <v>ROTOR TEAM</v>
          </cell>
          <cell r="L333" t="str">
            <v>FDE</v>
          </cell>
          <cell r="M333">
            <v>45281</v>
          </cell>
          <cell r="O333">
            <v>4500</v>
          </cell>
          <cell r="P333">
            <v>4500</v>
          </cell>
          <cell r="Q333">
            <v>0</v>
          </cell>
          <cell r="R333">
            <v>0</v>
          </cell>
          <cell r="S333">
            <v>0.54716666666666669</v>
          </cell>
          <cell r="T333">
            <v>0.59</v>
          </cell>
          <cell r="U333">
            <v>42.857142857142854</v>
          </cell>
          <cell r="V333">
            <v>0</v>
          </cell>
          <cell r="W333">
            <v>0</v>
          </cell>
          <cell r="X333">
            <v>42.9</v>
          </cell>
          <cell r="Y333">
            <v>0</v>
          </cell>
          <cell r="Z333">
            <v>0</v>
          </cell>
          <cell r="AA333">
            <v>4500</v>
          </cell>
          <cell r="AB333">
            <v>0</v>
          </cell>
          <cell r="AC333">
            <v>2037.75</v>
          </cell>
          <cell r="AD333">
            <v>0.54716666666666669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2037.75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105</v>
          </cell>
          <cell r="BJ333">
            <v>0</v>
          </cell>
          <cell r="BK333">
            <v>0</v>
          </cell>
          <cell r="BL333">
            <v>2037.75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X333">
            <v>4500</v>
          </cell>
          <cell r="BY333">
            <v>0</v>
          </cell>
          <cell r="BZ333">
            <v>0</v>
          </cell>
          <cell r="CA333">
            <v>0</v>
          </cell>
        </row>
        <row r="334">
          <cell r="H334" t="str">
            <v>C233723</v>
          </cell>
          <cell r="I334" t="str">
            <v xml:space="preserve">POSTE 1                       </v>
          </cell>
          <cell r="J334" t="str">
            <v xml:space="preserve">24001                         </v>
          </cell>
          <cell r="K334" t="str">
            <v>ESCAPE INTERNATIONAL</v>
          </cell>
          <cell r="L334" t="str">
            <v>MSULJA</v>
          </cell>
          <cell r="M334">
            <v>45274</v>
          </cell>
          <cell r="O334">
            <v>619874</v>
          </cell>
          <cell r="P334">
            <v>619874</v>
          </cell>
          <cell r="Q334">
            <v>0</v>
          </cell>
          <cell r="R334">
            <v>0</v>
          </cell>
          <cell r="S334">
            <v>0.53669261817724245</v>
          </cell>
          <cell r="T334">
            <v>0.57774144422898843</v>
          </cell>
          <cell r="U334">
            <v>5718</v>
          </cell>
          <cell r="V334">
            <v>0</v>
          </cell>
          <cell r="W334">
            <v>0</v>
          </cell>
          <cell r="X334">
            <v>5718</v>
          </cell>
          <cell r="Y334">
            <v>0</v>
          </cell>
          <cell r="Z334">
            <v>0</v>
          </cell>
          <cell r="AA334">
            <v>600390</v>
          </cell>
          <cell r="AB334">
            <v>0</v>
          </cell>
          <cell r="AC334">
            <v>271605</v>
          </cell>
          <cell r="AD334">
            <v>0.54761904761904767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19484</v>
          </cell>
          <cell r="AT334">
            <v>0</v>
          </cell>
          <cell r="AU334">
            <v>15587.2</v>
          </cell>
          <cell r="AV334">
            <v>0</v>
          </cell>
          <cell r="AW334">
            <v>0</v>
          </cell>
          <cell r="AX334">
            <v>0.19999999999999996</v>
          </cell>
          <cell r="AY334">
            <v>48975</v>
          </cell>
          <cell r="AZ334">
            <v>0</v>
          </cell>
          <cell r="BA334">
            <v>0</v>
          </cell>
          <cell r="BB334">
            <v>0</v>
          </cell>
          <cell r="BC334">
            <v>287192.2</v>
          </cell>
          <cell r="BD334">
            <v>0</v>
          </cell>
          <cell r="BE334">
            <v>7.9007991946750469E-2</v>
          </cell>
          <cell r="BF334">
            <v>-48975</v>
          </cell>
          <cell r="BG334">
            <v>0</v>
          </cell>
          <cell r="BH334">
            <v>0</v>
          </cell>
          <cell r="BI334">
            <v>105</v>
          </cell>
          <cell r="BJ334">
            <v>0</v>
          </cell>
          <cell r="BK334">
            <v>0</v>
          </cell>
          <cell r="BL334">
            <v>287192.2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48975</v>
          </cell>
          <cell r="BR334">
            <v>0</v>
          </cell>
          <cell r="BS334">
            <v>0</v>
          </cell>
          <cell r="BT334">
            <v>0</v>
          </cell>
          <cell r="BU334">
            <v>48975</v>
          </cell>
          <cell r="BV334">
            <v>0</v>
          </cell>
          <cell r="BX334">
            <v>619874</v>
          </cell>
          <cell r="BY334">
            <v>0</v>
          </cell>
          <cell r="BZ334">
            <v>0</v>
          </cell>
          <cell r="CA334">
            <v>0</v>
          </cell>
        </row>
        <row r="335">
          <cell r="H335" t="str">
            <v>C233889</v>
          </cell>
          <cell r="I335" t="str">
            <v xml:space="preserve">PRESTATION                    </v>
          </cell>
          <cell r="J335" t="str">
            <v xml:space="preserve">                              </v>
          </cell>
          <cell r="K335" t="str">
            <v>TRANSACO SAS</v>
          </cell>
          <cell r="L335" t="str">
            <v>LUDLUD</v>
          </cell>
          <cell r="M335">
            <v>45281</v>
          </cell>
          <cell r="N335" t="str">
            <v/>
          </cell>
          <cell r="O335">
            <v>14900</v>
          </cell>
          <cell r="P335">
            <v>14900</v>
          </cell>
          <cell r="Q335">
            <v>0</v>
          </cell>
          <cell r="R335">
            <v>0</v>
          </cell>
          <cell r="S335">
            <v>0.54761904761904767</v>
          </cell>
          <cell r="T335">
            <v>0.59</v>
          </cell>
          <cell r="U335">
            <v>141.9047619047619</v>
          </cell>
          <cell r="V335">
            <v>0</v>
          </cell>
          <cell r="W335">
            <v>0</v>
          </cell>
          <cell r="X335">
            <v>141.9047619047619</v>
          </cell>
          <cell r="Y335">
            <v>0</v>
          </cell>
          <cell r="Z335">
            <v>0</v>
          </cell>
          <cell r="AA335">
            <v>14900</v>
          </cell>
          <cell r="AB335">
            <v>0</v>
          </cell>
          <cell r="AC335">
            <v>6740.4761904761899</v>
          </cell>
          <cell r="AD335">
            <v>0.54761904761904767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6740.4761904761899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105</v>
          </cell>
          <cell r="BJ335">
            <v>0</v>
          </cell>
          <cell r="BK335">
            <v>0</v>
          </cell>
          <cell r="BL335">
            <v>6740.4761904761899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X335">
            <v>14900</v>
          </cell>
          <cell r="BY335">
            <v>0</v>
          </cell>
          <cell r="BZ335">
            <v>0</v>
          </cell>
          <cell r="CA335">
            <v>0</v>
          </cell>
        </row>
        <row r="337">
          <cell r="BR337">
            <v>494950.71736484091</v>
          </cell>
        </row>
        <row r="338">
          <cell r="BR338">
            <v>36130.042726933956</v>
          </cell>
        </row>
      </sheetData>
      <sheetData sheetId="13"/>
      <sheetData sheetId="14">
        <row r="1">
          <cell r="H1">
            <v>1</v>
          </cell>
          <cell r="I1">
            <v>2</v>
          </cell>
          <cell r="J1">
            <v>3</v>
          </cell>
          <cell r="K1">
            <v>4</v>
          </cell>
          <cell r="L1">
            <v>5</v>
          </cell>
          <cell r="M1">
            <v>6</v>
          </cell>
          <cell r="N1">
            <v>7</v>
          </cell>
          <cell r="O1">
            <v>8</v>
          </cell>
          <cell r="P1">
            <v>9</v>
          </cell>
          <cell r="Q1">
            <v>10</v>
          </cell>
          <cell r="R1">
            <v>11</v>
          </cell>
          <cell r="S1">
            <v>12</v>
          </cell>
          <cell r="T1">
            <v>13</v>
          </cell>
          <cell r="U1">
            <v>14</v>
          </cell>
          <cell r="V1">
            <v>15</v>
          </cell>
          <cell r="W1">
            <v>16</v>
          </cell>
          <cell r="X1">
            <v>17</v>
          </cell>
          <cell r="Y1">
            <v>18</v>
          </cell>
          <cell r="Z1">
            <v>19</v>
          </cell>
          <cell r="AA1">
            <v>20</v>
          </cell>
          <cell r="AB1">
            <v>21</v>
          </cell>
          <cell r="AC1">
            <v>22</v>
          </cell>
          <cell r="AD1">
            <v>23</v>
          </cell>
          <cell r="AE1">
            <v>24</v>
          </cell>
          <cell r="AF1">
            <v>25</v>
          </cell>
          <cell r="AG1">
            <v>26</v>
          </cell>
          <cell r="AH1">
            <v>27</v>
          </cell>
          <cell r="AI1">
            <v>28</v>
          </cell>
          <cell r="AJ1">
            <v>29</v>
          </cell>
          <cell r="AK1">
            <v>30</v>
          </cell>
          <cell r="AL1">
            <v>31</v>
          </cell>
          <cell r="AM1">
            <v>32</v>
          </cell>
          <cell r="AN1">
            <v>33</v>
          </cell>
          <cell r="AO1">
            <v>34</v>
          </cell>
          <cell r="AP1">
            <v>35</v>
          </cell>
          <cell r="AQ1">
            <v>36</v>
          </cell>
          <cell r="AR1">
            <v>37</v>
          </cell>
          <cell r="AS1">
            <v>38</v>
          </cell>
          <cell r="AT1">
            <v>39</v>
          </cell>
          <cell r="AU1">
            <v>40</v>
          </cell>
          <cell r="AV1">
            <v>41</v>
          </cell>
          <cell r="AW1">
            <v>42</v>
          </cell>
          <cell r="AX1">
            <v>43</v>
          </cell>
          <cell r="AY1">
            <v>44</v>
          </cell>
          <cell r="AZ1">
            <v>45</v>
          </cell>
          <cell r="BA1">
            <v>46</v>
          </cell>
          <cell r="BB1">
            <v>47</v>
          </cell>
          <cell r="BC1">
            <v>48</v>
          </cell>
          <cell r="BD1">
            <v>49</v>
          </cell>
          <cell r="BE1">
            <v>50</v>
          </cell>
          <cell r="BF1">
            <v>51</v>
          </cell>
          <cell r="BG1">
            <v>52</v>
          </cell>
          <cell r="BH1">
            <v>53</v>
          </cell>
          <cell r="BI1">
            <v>54</v>
          </cell>
          <cell r="BJ1">
            <v>55</v>
          </cell>
          <cell r="BK1">
            <v>56</v>
          </cell>
          <cell r="BL1">
            <v>57</v>
          </cell>
          <cell r="BM1">
            <v>58</v>
          </cell>
          <cell r="BN1">
            <v>59</v>
          </cell>
          <cell r="BO1">
            <v>60</v>
          </cell>
          <cell r="BP1">
            <v>61</v>
          </cell>
          <cell r="BQ1">
            <v>62</v>
          </cell>
          <cell r="BR1">
            <v>63</v>
          </cell>
          <cell r="BS1">
            <v>64</v>
          </cell>
          <cell r="BT1">
            <v>65</v>
          </cell>
          <cell r="BU1">
            <v>66</v>
          </cell>
          <cell r="BV1">
            <v>67</v>
          </cell>
          <cell r="BW1">
            <v>68</v>
          </cell>
          <cell r="BX1">
            <v>69</v>
          </cell>
          <cell r="BY1">
            <v>70</v>
          </cell>
          <cell r="BZ1">
            <v>71</v>
          </cell>
          <cell r="CA1">
            <v>72</v>
          </cell>
        </row>
        <row r="2">
          <cell r="K2" t="str">
            <v>estim ETP mois</v>
          </cell>
          <cell r="L2">
            <v>19.23</v>
          </cell>
          <cell r="O2">
            <v>35518122.958351307</v>
          </cell>
          <cell r="P2">
            <v>525212.83218139585</v>
          </cell>
          <cell r="Q2">
            <v>23100670.387600206</v>
          </cell>
          <cell r="R2">
            <v>21943935.752853837</v>
          </cell>
          <cell r="S2">
            <v>0.30206282636374049</v>
          </cell>
          <cell r="T2">
            <v>0.30185980096691389</v>
          </cell>
          <cell r="U2">
            <v>91975.124145749214</v>
          </cell>
          <cell r="V2">
            <v>75996.349999999991</v>
          </cell>
          <cell r="W2">
            <v>11010.800000000001</v>
          </cell>
          <cell r="X2">
            <v>8487.8169642857119</v>
          </cell>
          <cell r="Y2">
            <v>7608.819345238092</v>
          </cell>
          <cell r="Z2">
            <v>2999</v>
          </cell>
          <cell r="AA2">
            <v>9276587.0134770274</v>
          </cell>
          <cell r="AB2">
            <v>3776476.7499999991</v>
          </cell>
          <cell r="AC2">
            <v>428694.11547619029</v>
          </cell>
          <cell r="AD2">
            <v>0.54668986995250335</v>
          </cell>
          <cell r="AE2">
            <v>24880213.583422326</v>
          </cell>
          <cell r="AF2">
            <v>17813617.2376002</v>
          </cell>
          <cell r="AG2">
            <v>17589726.792563826</v>
          </cell>
          <cell r="AH2">
            <v>223890.44503636568</v>
          </cell>
          <cell r="AI2">
            <v>306370.68256383337</v>
          </cell>
          <cell r="AJ2">
            <v>528680.52589786274</v>
          </cell>
          <cell r="AK2">
            <v>404563.42715386301</v>
          </cell>
          <cell r="AL2">
            <v>21199.578153999879</v>
          </cell>
          <cell r="AM2">
            <v>1367643.29</v>
          </cell>
          <cell r="AN2">
            <v>434799.10028999997</v>
          </cell>
          <cell r="AO2">
            <v>176767.65</v>
          </cell>
          <cell r="AP2">
            <v>242327</v>
          </cell>
          <cell r="AQ2">
            <v>18932.04</v>
          </cell>
          <cell r="AR2">
            <v>0.26277571122944343</v>
          </cell>
          <cell r="AS2">
            <v>219242.81364100002</v>
          </cell>
          <cell r="AT2">
            <v>142933.10999999999</v>
          </cell>
          <cell r="AU2">
            <v>54908.475000000006</v>
          </cell>
          <cell r="AV2">
            <v>47374.603181818187</v>
          </cell>
          <cell r="AW2">
            <v>5863.7800000000007</v>
          </cell>
          <cell r="AX2">
            <v>9.7614276543830258E-2</v>
          </cell>
          <cell r="AY2">
            <v>30022771.133998003</v>
          </cell>
          <cell r="AZ2">
            <v>25806586.688489266</v>
          </cell>
          <cell r="BA2">
            <v>5009898.2557614595</v>
          </cell>
          <cell r="BB2">
            <v>21943935.752853837</v>
          </cell>
          <cell r="BC2">
            <v>2845482.5975630176</v>
          </cell>
          <cell r="BD2">
            <v>0.88521382158548434</v>
          </cell>
          <cell r="BE2">
            <v>0.84528034235375626</v>
          </cell>
          <cell r="BF2">
            <v>-828717.38375701371</v>
          </cell>
          <cell r="BG2">
            <v>1622431.1940097241</v>
          </cell>
          <cell r="BH2">
            <v>499697.19644259999</v>
          </cell>
          <cell r="BL2">
            <v>350373.51301592437</v>
          </cell>
          <cell r="BN2">
            <v>5009898.2557614595</v>
          </cell>
          <cell r="BO2">
            <v>2837378.2509924835</v>
          </cell>
          <cell r="BP2">
            <v>2172520.0047689765</v>
          </cell>
          <cell r="BQ2">
            <v>4037537.804</v>
          </cell>
          <cell r="BR2">
            <v>776217.11992992868</v>
          </cell>
          <cell r="BS2">
            <v>400093.58616166667</v>
          </cell>
          <cell r="BT2">
            <v>376123.53376826196</v>
          </cell>
          <cell r="BU2">
            <v>710183.12399999995</v>
          </cell>
          <cell r="BV2">
            <v>1994477.7892621118</v>
          </cell>
          <cell r="BW2">
            <v>0</v>
          </cell>
          <cell r="BX2">
            <v>2707160.2248385027</v>
          </cell>
          <cell r="BY2">
            <v>24466.05</v>
          </cell>
          <cell r="BZ2">
            <v>2852.1000000000004</v>
          </cell>
          <cell r="CA2">
            <v>5495351.8243533252</v>
          </cell>
        </row>
        <row r="3">
          <cell r="I3">
            <v>1.508745364844799E-3</v>
          </cell>
          <cell r="K3" t="str">
            <v>estim ETP mois</v>
          </cell>
          <cell r="L3">
            <v>20.498333333333335</v>
          </cell>
          <cell r="O3">
            <v>35728467.77031032</v>
          </cell>
          <cell r="P3">
            <v>467143.81195899984</v>
          </cell>
          <cell r="Q3">
            <v>23419314.783621196</v>
          </cell>
          <cell r="R3">
            <v>22433896.229230497</v>
          </cell>
          <cell r="S3">
            <v>0.30263170170214182</v>
          </cell>
          <cell r="T3">
            <v>0.30707188067734525</v>
          </cell>
          <cell r="U3">
            <v>96591.141252197544</v>
          </cell>
          <cell r="V3">
            <v>78794.099999999991</v>
          </cell>
          <cell r="W3">
            <v>11287.800000000001</v>
          </cell>
          <cell r="X3">
            <v>7434.5502976190437</v>
          </cell>
          <cell r="Y3">
            <v>8487.8169642857119</v>
          </cell>
          <cell r="Z3">
            <v>3074.75</v>
          </cell>
          <cell r="AA3">
            <v>9809010.8663770277</v>
          </cell>
          <cell r="AB3">
            <v>3906234.9999999991</v>
          </cell>
          <cell r="AC3">
            <v>377083.24880952371</v>
          </cell>
          <cell r="AD3">
            <v>0.56332821859829663</v>
          </cell>
          <cell r="AE3">
            <v>25108462.796782326</v>
          </cell>
          <cell r="AF3">
            <v>17989603.553621195</v>
          </cell>
          <cell r="AG3">
            <v>17711415.913730491</v>
          </cell>
          <cell r="AH3">
            <v>278187.63989069773</v>
          </cell>
          <cell r="AI3">
            <v>261334.68373050002</v>
          </cell>
          <cell r="AJ3">
            <v>368966.04589786346</v>
          </cell>
          <cell r="AK3">
            <v>484446.12589786272</v>
          </cell>
          <cell r="AL3">
            <v>175986.31602099905</v>
          </cell>
          <cell r="AM3">
            <v>1376910.2100000002</v>
          </cell>
          <cell r="AN3">
            <v>669679.29550000001</v>
          </cell>
          <cell r="AO3">
            <v>206577</v>
          </cell>
          <cell r="AP3">
            <v>176767.65</v>
          </cell>
          <cell r="AQ3">
            <v>9266.9200000000128</v>
          </cell>
          <cell r="AR3">
            <v>0.26882940831121982</v>
          </cell>
          <cell r="AS3">
            <v>169416.23934000003</v>
          </cell>
          <cell r="AT3">
            <v>146566.01999999999</v>
          </cell>
          <cell r="AU3">
            <v>54945.495000000003</v>
          </cell>
          <cell r="AV3">
            <v>54908.475000000006</v>
          </cell>
          <cell r="AW3">
            <v>3632.909999999998</v>
          </cell>
          <cell r="AX3">
            <v>-0.18944627613642284</v>
          </cell>
          <cell r="AY3">
            <v>30287188.053998001</v>
          </cell>
          <cell r="AZ3">
            <v>25806586.688489266</v>
          </cell>
          <cell r="BA3">
            <v>5762473.3969148025</v>
          </cell>
          <cell r="BB3">
            <v>22433896.229230497</v>
          </cell>
          <cell r="BC3">
            <v>2482004.5405406849</v>
          </cell>
          <cell r="BD3">
            <v>0.90038471562898759</v>
          </cell>
          <cell r="BE3">
            <v>0.84770464405882195</v>
          </cell>
          <cell r="BF3">
            <v>-479115.12887886097</v>
          </cell>
          <cell r="BG3">
            <v>1760987.1602849176</v>
          </cell>
          <cell r="BH3">
            <v>489014.19644259999</v>
          </cell>
          <cell r="BL3">
            <v>126482.41935433309</v>
          </cell>
          <cell r="BN3">
            <v>5762473.3969148025</v>
          </cell>
          <cell r="BO3">
            <v>3327338.7273691492</v>
          </cell>
          <cell r="BP3">
            <v>2435134.6695456551</v>
          </cell>
          <cell r="BQ3">
            <v>4301954.7240000004</v>
          </cell>
          <cell r="BR3">
            <v>752575.14115334605</v>
          </cell>
          <cell r="BS3">
            <v>489960.47637666645</v>
          </cell>
          <cell r="BT3">
            <v>262614.66477667936</v>
          </cell>
          <cell r="BU3">
            <v>264416.92</v>
          </cell>
          <cell r="BV3">
            <v>1518043.1251540645</v>
          </cell>
          <cell r="BW3">
            <v>0</v>
          </cell>
          <cell r="BX3">
            <v>2641364.559752204</v>
          </cell>
          <cell r="BY3">
            <v>25256.55</v>
          </cell>
          <cell r="BZ3">
            <v>2930.1000000000004</v>
          </cell>
          <cell r="CA3">
            <v>5441279.7163123256</v>
          </cell>
        </row>
        <row r="4">
          <cell r="H4" t="str">
            <v>Num Projets</v>
          </cell>
          <cell r="I4" t="str">
            <v>Projets</v>
          </cell>
          <cell r="J4" t="str">
            <v>Ref Interne</v>
          </cell>
          <cell r="K4" t="str">
            <v>Client</v>
          </cell>
          <cell r="L4" t="str">
            <v>CdP</v>
          </cell>
          <cell r="M4" t="str">
            <v>Date début</v>
          </cell>
          <cell r="N4" t="str">
            <v>Date fin</v>
          </cell>
          <cell r="O4" t="str">
            <v>Total Budgeté (€)</v>
          </cell>
          <cell r="P4" t="str">
            <v>Ecart Budget 
M-1</v>
          </cell>
          <cell r="Q4" t="str">
            <v>Total Dépensé Commandé (€)</v>
          </cell>
          <cell r="R4" t="str">
            <v>Total Dépensé Enregistré (€)</v>
          </cell>
          <cell r="S4" t="str">
            <v>Total Marge Projeté (%)</v>
          </cell>
          <cell r="T4" t="str">
            <v>Objectif de marge %</v>
          </cell>
          <cell r="U4" t="str">
            <v>BUDGET (h) MO</v>
          </cell>
          <cell r="V4" t="str">
            <v>DÉPENSE (h)AEC MO</v>
          </cell>
          <cell r="W4" t="str">
            <v>DÉPENSE (h)ST MO</v>
          </cell>
          <cell r="X4" t="str">
            <v>RaF (h) MO</v>
          </cell>
          <cell r="Y4" t="str">
            <v>RaF (h) MO fin mois M-1</v>
          </cell>
          <cell r="Z4" t="str">
            <v>Ecart Hrs
M-1</v>
          </cell>
          <cell r="AA4" t="str">
            <v>BUDGET (€ HT) MO</v>
          </cell>
          <cell r="AB4" t="str">
            <v xml:space="preserve">DÉPENSE COUT REEL (€ HT) MO </v>
          </cell>
          <cell r="AC4" t="str">
            <v>RaF (€) MO</v>
          </cell>
          <cell r="AD4" t="str">
            <v>Marge finale prévi (%) MO</v>
          </cell>
          <cell r="AE4" t="str">
            <v>BUDGET Achat (€ HT)</v>
          </cell>
          <cell r="AF4" t="str">
            <v>COMMANDÉ Achats (€ HT)</v>
          </cell>
          <cell r="AG4" t="str">
            <v>Charges Enregistrées (€ HT)</v>
          </cell>
          <cell r="AH4" t="str">
            <v>Commandé-Enregistré yc FNP</v>
          </cell>
          <cell r="AI4" t="str">
            <v>dont FNP à date (€ HT)</v>
          </cell>
          <cell r="AJ4" t="str">
            <v>RaCommander (€) Achats</v>
          </cell>
          <cell r="AK4" t="str">
            <v>RaCommander (€) Achats M-1</v>
          </cell>
          <cell r="AL4" t="str">
            <v>Ecart Achats
M-1</v>
          </cell>
          <cell r="AM4" t="str">
            <v>Int Commandé OT</v>
          </cell>
          <cell r="AN4" t="str">
            <v>Int Réalisé OT</v>
          </cell>
          <cell r="AO4" t="str">
            <v>int Reste à commander OT</v>
          </cell>
          <cell r="AP4" t="str">
            <v>RAF OT M-1</v>
          </cell>
          <cell r="AQ4" t="str">
            <v>Ecart Int OT M-1</v>
          </cell>
          <cell r="AR4" t="str">
            <v>Marge finale prévi (%) Achats</v>
          </cell>
          <cell r="AS4" t="str">
            <v>BUDGET Mission (€ HT)</v>
          </cell>
          <cell r="AT4" t="str">
            <v>Dépense Mission (€ HT)</v>
          </cell>
          <cell r="AU4" t="str">
            <v>RaF (€) Mission</v>
          </cell>
          <cell r="AV4" t="str">
            <v>RaF (€) Mission fin mois M-1</v>
          </cell>
          <cell r="AW4" t="str">
            <v>Ecart Missions
M-1</v>
          </cell>
          <cell r="AX4" t="str">
            <v>Marge finale prévi (%) Mission</v>
          </cell>
          <cell r="AY4" t="str">
            <v xml:space="preserve">Facturation globale projet à date (€ HT) </v>
          </cell>
          <cell r="AZ4" t="str">
            <v>CA fin N-1</v>
          </cell>
          <cell r="BA4" t="str">
            <v xml:space="preserve">CA N à date (€ HT) </v>
          </cell>
          <cell r="BB4" t="str">
            <v>Consommé global Enregistré à date (€ HT)</v>
          </cell>
          <cell r="BC4" t="str">
            <v>RaF Global à terminaison à date (€ HT)</v>
          </cell>
          <cell r="BD4" t="str">
            <v>Avancement Global Financier basé sur Enregistré à date (%)</v>
          </cell>
          <cell r="BE4" t="str">
            <v>Avancement Global Facturation à date (%)</v>
          </cell>
          <cell r="BF4" t="str">
            <v>PCA basé sur Enregistré à date (€)</v>
          </cell>
          <cell r="BG4" t="str">
            <v>FAE basé sur Enregistré à date (€)</v>
          </cell>
          <cell r="BH4" t="str">
            <v>Provisions pour risques</v>
          </cell>
          <cell r="BI4" t="str">
            <v>Valeur vente Ingenieur (€ HT)</v>
          </cell>
          <cell r="BJ4" t="str">
            <v>Objectif fin d'année</v>
          </cell>
          <cell r="BK4" t="str">
            <v>Cohérence Budget</v>
          </cell>
          <cell r="BL4" t="str">
            <v>ecart couts à terminaison vs M-1</v>
          </cell>
          <cell r="BM4" t="str">
            <v>écart avancement</v>
          </cell>
          <cell r="BN4" t="str">
            <v>CA Y</v>
          </cell>
          <cell r="BO4" t="str">
            <v>Charges Y</v>
          </cell>
          <cell r="BP4" t="str">
            <v>Marge Y</v>
          </cell>
          <cell r="BQ4" t="str">
            <v>Facturation Y</v>
          </cell>
          <cell r="BR4" t="str">
            <v>CA mois</v>
          </cell>
          <cell r="BS4" t="str">
            <v>Charges mois</v>
          </cell>
          <cell r="BT4" t="str">
            <v>Marge mois</v>
          </cell>
          <cell r="BU4" t="str">
            <v>Facturation mois</v>
          </cell>
          <cell r="BV4" t="str">
            <v>Remaining Forecast</v>
          </cell>
          <cell r="BW4" t="str">
            <v>Factu achats du mois (pour CCA)</v>
          </cell>
          <cell r="BX4" t="str">
            <v>CA 2024+</v>
          </cell>
          <cell r="BY4" t="str">
            <v>Heures Internes 2023</v>
          </cell>
          <cell r="BZ4" t="str">
            <v>Heures S/T 2023</v>
          </cell>
          <cell r="CA4" t="str">
            <v>Achats+missions 2023</v>
          </cell>
        </row>
        <row r="5">
          <cell r="H5" t="str">
            <v>C150666</v>
          </cell>
          <cell r="I5" t="str">
            <v xml:space="preserve">Support technique             </v>
          </cell>
          <cell r="J5" t="str">
            <v xml:space="preserve">15063-16205                   </v>
          </cell>
          <cell r="K5" t="str">
            <v xml:space="preserve">NOVESPACE </v>
          </cell>
          <cell r="L5" t="str">
            <v>TBI</v>
          </cell>
          <cell r="M5">
            <v>42005</v>
          </cell>
          <cell r="N5">
            <v>45016</v>
          </cell>
          <cell r="O5">
            <v>73014.850000000006</v>
          </cell>
          <cell r="P5">
            <v>0</v>
          </cell>
          <cell r="Q5">
            <v>48986.17</v>
          </cell>
          <cell r="R5">
            <v>48986.17</v>
          </cell>
          <cell r="S5">
            <v>0.32909305435812031</v>
          </cell>
          <cell r="T5">
            <v>0.44026057696492915</v>
          </cell>
          <cell r="U5">
            <v>482.73333300000002</v>
          </cell>
          <cell r="V5">
            <v>491.4</v>
          </cell>
          <cell r="W5">
            <v>2</v>
          </cell>
          <cell r="X5">
            <v>5.6843418860808015E-14</v>
          </cell>
          <cell r="Y5">
            <v>0</v>
          </cell>
          <cell r="Z5">
            <v>-5.6843418860808015E-14</v>
          </cell>
          <cell r="AA5">
            <v>44980.999969250668</v>
          </cell>
          <cell r="AB5">
            <v>32031</v>
          </cell>
          <cell r="AC5">
            <v>3.694822225952521E-12</v>
          </cell>
          <cell r="AD5">
            <v>0.28789933478809671</v>
          </cell>
          <cell r="AE5">
            <v>9769.85</v>
          </cell>
          <cell r="AF5">
            <v>8537.9500000000007</v>
          </cell>
          <cell r="AG5">
            <v>8537.9499999999989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0.12609200755385186</v>
          </cell>
          <cell r="AS5">
            <v>18264</v>
          </cell>
          <cell r="AT5">
            <v>8417.2199999999993</v>
          </cell>
          <cell r="AU5">
            <v>0</v>
          </cell>
          <cell r="AV5">
            <v>0</v>
          </cell>
          <cell r="AW5">
            <v>0</v>
          </cell>
          <cell r="AX5">
            <v>0.53913600525624183</v>
          </cell>
          <cell r="AY5">
            <v>73014.850000000006</v>
          </cell>
          <cell r="AZ5">
            <v>73014.850000000006</v>
          </cell>
          <cell r="BA5">
            <v>0</v>
          </cell>
          <cell r="BB5">
            <v>48986.17</v>
          </cell>
          <cell r="BC5">
            <v>5.5138116294983774E-12</v>
          </cell>
          <cell r="BD5">
            <v>0.99999999999999989</v>
          </cell>
          <cell r="BE5">
            <v>1</v>
          </cell>
          <cell r="BF5">
            <v>-8.1062767609552117E-12</v>
          </cell>
          <cell r="BG5">
            <v>0</v>
          </cell>
          <cell r="BH5">
            <v>0</v>
          </cell>
          <cell r="BI5">
            <v>93.179809419232015</v>
          </cell>
          <cell r="BJ5">
            <v>1</v>
          </cell>
          <cell r="BK5">
            <v>3.0749339202884585E-5</v>
          </cell>
          <cell r="BL5">
            <v>-1.8189894035458565E-12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</row>
        <row r="6">
          <cell r="H6" t="str">
            <v>C160852</v>
          </cell>
          <cell r="I6" t="str">
            <v xml:space="preserve">Modification civière TMC pour </v>
          </cell>
          <cell r="J6" t="str">
            <v xml:space="preserve">16077-16078-16109-16231       </v>
          </cell>
          <cell r="K6" t="str">
            <v xml:space="preserve">UUDS AERO </v>
          </cell>
          <cell r="L6" t="str">
            <v>TPA</v>
          </cell>
          <cell r="M6">
            <v>42005</v>
          </cell>
          <cell r="N6">
            <v>44719</v>
          </cell>
          <cell r="O6">
            <v>70009.56</v>
          </cell>
          <cell r="P6">
            <v>0</v>
          </cell>
          <cell r="Q6">
            <v>135204.63999999998</v>
          </cell>
          <cell r="R6">
            <v>135204.63999999998</v>
          </cell>
          <cell r="S6">
            <v>-0.93123110615178817</v>
          </cell>
          <cell r="T6">
            <v>0.47333038499357399</v>
          </cell>
          <cell r="U6">
            <v>527.58333300000004</v>
          </cell>
          <cell r="V6">
            <v>552</v>
          </cell>
          <cell r="W6">
            <v>52.5</v>
          </cell>
          <cell r="X6">
            <v>0</v>
          </cell>
          <cell r="Y6">
            <v>0</v>
          </cell>
          <cell r="Z6">
            <v>0</v>
          </cell>
          <cell r="AA6">
            <v>49065.999969309538</v>
          </cell>
          <cell r="AB6">
            <v>38242.5</v>
          </cell>
          <cell r="AC6">
            <v>0</v>
          </cell>
          <cell r="AD6">
            <v>0.22059063253738975</v>
          </cell>
          <cell r="AE6">
            <v>20234</v>
          </cell>
          <cell r="AF6">
            <v>95873.84</v>
          </cell>
          <cell r="AG6">
            <v>95873.84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-3.7382544232479979</v>
          </cell>
          <cell r="AS6">
            <v>709.56</v>
          </cell>
          <cell r="AT6">
            <v>1088.3</v>
          </cell>
          <cell r="AU6">
            <v>0</v>
          </cell>
          <cell r="AV6">
            <v>0</v>
          </cell>
          <cell r="AW6">
            <v>0</v>
          </cell>
          <cell r="AX6">
            <v>-0.53376740515248899</v>
          </cell>
          <cell r="AY6">
            <v>70009.56</v>
          </cell>
          <cell r="AZ6">
            <v>70009.56</v>
          </cell>
          <cell r="BA6">
            <v>0</v>
          </cell>
          <cell r="BB6">
            <v>135204.63999999998</v>
          </cell>
          <cell r="BC6">
            <v>0</v>
          </cell>
          <cell r="BD6">
            <v>1</v>
          </cell>
          <cell r="BE6">
            <v>1</v>
          </cell>
          <cell r="BF6">
            <v>0</v>
          </cell>
          <cell r="BG6">
            <v>0</v>
          </cell>
          <cell r="BH6">
            <v>0</v>
          </cell>
          <cell r="BI6">
            <v>93.001421576957839</v>
          </cell>
          <cell r="BJ6">
            <v>1</v>
          </cell>
          <cell r="BK6">
            <v>3.0690459880133858E-5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</row>
        <row r="7">
          <cell r="H7" t="str">
            <v>C181320</v>
          </cell>
          <cell r="I7" t="str">
            <v xml:space="preserve"> EC120B dépose KX165 et KY196A</v>
          </cell>
          <cell r="J7" t="str">
            <v xml:space="preserve">                              </v>
          </cell>
          <cell r="K7" t="str">
            <v xml:space="preserve">AEROTEC </v>
          </cell>
          <cell r="L7" t="str">
            <v>TBI</v>
          </cell>
          <cell r="M7">
            <v>42005</v>
          </cell>
          <cell r="N7">
            <v>44812</v>
          </cell>
          <cell r="O7">
            <v>-2500</v>
          </cell>
          <cell r="P7">
            <v>-2500</v>
          </cell>
          <cell r="Q7">
            <v>155</v>
          </cell>
          <cell r="R7">
            <v>155</v>
          </cell>
          <cell r="S7">
            <v>1.0620000000000001</v>
          </cell>
          <cell r="T7">
            <v>0.2</v>
          </cell>
          <cell r="U7">
            <v>26.866665999999999</v>
          </cell>
          <cell r="V7">
            <v>1</v>
          </cell>
          <cell r="W7">
            <v>2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155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234.84848484848484</v>
          </cell>
          <cell r="BA7">
            <v>-2734.848484848485</v>
          </cell>
          <cell r="BB7">
            <v>155</v>
          </cell>
          <cell r="BC7">
            <v>0</v>
          </cell>
          <cell r="BD7">
            <v>1</v>
          </cell>
          <cell r="BE7">
            <v>0</v>
          </cell>
          <cell r="BF7">
            <v>0</v>
          </cell>
          <cell r="BG7">
            <v>-2500</v>
          </cell>
          <cell r="BH7">
            <v>0</v>
          </cell>
          <cell r="BI7">
            <v>93.052109204231286</v>
          </cell>
          <cell r="BJ7">
            <v>1</v>
          </cell>
          <cell r="BK7">
            <v>-2500</v>
          </cell>
          <cell r="BL7">
            <v>0</v>
          </cell>
          <cell r="BM7">
            <v>0</v>
          </cell>
          <cell r="BN7">
            <v>-2734.848484848485</v>
          </cell>
          <cell r="BO7">
            <v>0</v>
          </cell>
          <cell r="BP7">
            <v>-2734.848484848485</v>
          </cell>
          <cell r="BQ7">
            <v>0</v>
          </cell>
          <cell r="BR7">
            <v>-2500</v>
          </cell>
          <cell r="BS7">
            <v>0</v>
          </cell>
          <cell r="BT7">
            <v>-2500</v>
          </cell>
          <cell r="BU7">
            <v>0</v>
          </cell>
          <cell r="BV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</row>
        <row r="8">
          <cell r="H8" t="str">
            <v>C181556</v>
          </cell>
          <cell r="I8" t="str">
            <v>B777 AM Seat Backrest Shroud I</v>
          </cell>
          <cell r="J8" t="str">
            <v xml:space="preserve">18020                         </v>
          </cell>
          <cell r="K8" t="str">
            <v xml:space="preserve">UUDS AERO </v>
          </cell>
          <cell r="L8" t="str">
            <v>TPA</v>
          </cell>
          <cell r="M8">
            <v>42005</v>
          </cell>
          <cell r="N8" t="str">
            <v/>
          </cell>
          <cell r="O8">
            <v>20230</v>
          </cell>
          <cell r="P8">
            <v>0</v>
          </cell>
          <cell r="Q8">
            <v>16260.41</v>
          </cell>
          <cell r="R8">
            <v>16260.41</v>
          </cell>
          <cell r="S8">
            <v>9.6618388531883315E-2</v>
          </cell>
          <cell r="T8">
            <v>0.34227384949515183</v>
          </cell>
          <cell r="U8">
            <v>76.866665999999995</v>
          </cell>
          <cell r="V8">
            <v>13.5</v>
          </cell>
          <cell r="W8">
            <v>16</v>
          </cell>
          <cell r="X8">
            <v>31</v>
          </cell>
          <cell r="Y8">
            <v>31</v>
          </cell>
          <cell r="Z8">
            <v>0</v>
          </cell>
          <cell r="AA8">
            <v>7379.9999366331294</v>
          </cell>
          <cell r="AB8">
            <v>1597.5</v>
          </cell>
          <cell r="AC8">
            <v>2015</v>
          </cell>
          <cell r="AD8">
            <v>0.51050135081056947</v>
          </cell>
          <cell r="AE8">
            <v>12850</v>
          </cell>
          <cell r="AF8">
            <v>14662.91</v>
          </cell>
          <cell r="AG8">
            <v>14662.91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-0.14108249027237352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10115</v>
          </cell>
          <cell r="AZ8">
            <v>17999.491901960064</v>
          </cell>
          <cell r="BA8">
            <v>0</v>
          </cell>
          <cell r="BB8">
            <v>16260.41</v>
          </cell>
          <cell r="BC8">
            <v>2015</v>
          </cell>
          <cell r="BD8">
            <v>0.88974255570736849</v>
          </cell>
          <cell r="BE8">
            <v>0.5</v>
          </cell>
          <cell r="BF8">
            <v>0</v>
          </cell>
          <cell r="BG8">
            <v>7884.4919019600648</v>
          </cell>
          <cell r="BH8">
            <v>0</v>
          </cell>
          <cell r="BI8">
            <v>96.010407640590657</v>
          </cell>
          <cell r="BJ8">
            <v>1</v>
          </cell>
          <cell r="BK8">
            <v>6.3366871472680941E-5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2230.5080980399362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</row>
        <row r="9">
          <cell r="H9" t="str">
            <v>C181575</v>
          </cell>
          <cell r="I9" t="str">
            <v>PIPER PA28 update système GPAS</v>
          </cell>
          <cell r="J9" t="str">
            <v xml:space="preserve">18092                         </v>
          </cell>
          <cell r="K9" t="str">
            <v xml:space="preserve">AEROTEC </v>
          </cell>
          <cell r="L9" t="str">
            <v>DVE</v>
          </cell>
          <cell r="M9">
            <v>42005</v>
          </cell>
          <cell r="N9">
            <v>45022</v>
          </cell>
          <cell r="O9">
            <v>1500</v>
          </cell>
          <cell r="P9">
            <v>0</v>
          </cell>
          <cell r="Q9">
            <v>780</v>
          </cell>
          <cell r="R9">
            <v>780</v>
          </cell>
          <cell r="S9">
            <v>0.48</v>
          </cell>
          <cell r="T9">
            <v>0.58999998402895548</v>
          </cell>
          <cell r="U9">
            <v>16.116665999999999</v>
          </cell>
          <cell r="V9">
            <v>12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1499.9999385729059</v>
          </cell>
          <cell r="AB9">
            <v>780</v>
          </cell>
          <cell r="AC9">
            <v>0</v>
          </cell>
          <cell r="AD9">
            <v>0.47999997870527311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1500</v>
          </cell>
          <cell r="AZ9">
            <v>1384.6153846153848</v>
          </cell>
          <cell r="BA9">
            <v>115.38461538461524</v>
          </cell>
          <cell r="BB9">
            <v>780</v>
          </cell>
          <cell r="BC9">
            <v>0</v>
          </cell>
          <cell r="BD9">
            <v>1</v>
          </cell>
          <cell r="BE9">
            <v>1</v>
          </cell>
          <cell r="BF9">
            <v>0</v>
          </cell>
          <cell r="BG9">
            <v>0</v>
          </cell>
          <cell r="BH9">
            <v>0</v>
          </cell>
          <cell r="BI9">
            <v>93.071354743773057</v>
          </cell>
          <cell r="BJ9">
            <v>1</v>
          </cell>
          <cell r="BK9">
            <v>6.1427094124155701E-5</v>
          </cell>
          <cell r="BL9">
            <v>0</v>
          </cell>
          <cell r="BM9">
            <v>0</v>
          </cell>
          <cell r="BN9">
            <v>115.38461538461524</v>
          </cell>
          <cell r="BO9">
            <v>0</v>
          </cell>
          <cell r="BP9">
            <v>115.38461538461524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</row>
        <row r="10">
          <cell r="H10" t="str">
            <v>C181592</v>
          </cell>
          <cell r="I10" t="str">
            <v xml:space="preserve">Fournitures liaison ARINC FMS </v>
          </cell>
          <cell r="J10" t="str">
            <v xml:space="preserve">18099                         </v>
          </cell>
          <cell r="K10" t="str">
            <v xml:space="preserve">D.T.I </v>
          </cell>
          <cell r="L10" t="str">
            <v>DVE</v>
          </cell>
          <cell r="M10">
            <v>42005</v>
          </cell>
          <cell r="N10" t="str">
            <v/>
          </cell>
          <cell r="O10">
            <v>3600</v>
          </cell>
          <cell r="P10">
            <v>0</v>
          </cell>
          <cell r="Q10">
            <v>325</v>
          </cell>
          <cell r="R10">
            <v>325</v>
          </cell>
          <cell r="S10">
            <v>0.36805555555555558</v>
          </cell>
          <cell r="T10">
            <v>0.59</v>
          </cell>
          <cell r="U10">
            <v>38.700000000000003</v>
          </cell>
          <cell r="V10">
            <v>5</v>
          </cell>
          <cell r="W10">
            <v>0</v>
          </cell>
          <cell r="X10">
            <v>30</v>
          </cell>
          <cell r="Y10">
            <v>30</v>
          </cell>
          <cell r="Z10">
            <v>0</v>
          </cell>
          <cell r="AA10">
            <v>3600</v>
          </cell>
          <cell r="AB10">
            <v>325</v>
          </cell>
          <cell r="AC10">
            <v>1950</v>
          </cell>
          <cell r="AD10">
            <v>0.36805555555555558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514.28571428571422</v>
          </cell>
          <cell r="BA10">
            <v>0</v>
          </cell>
          <cell r="BB10">
            <v>325</v>
          </cell>
          <cell r="BC10">
            <v>1950</v>
          </cell>
          <cell r="BD10">
            <v>0.14285714285714285</v>
          </cell>
          <cell r="BE10">
            <v>0</v>
          </cell>
          <cell r="BF10">
            <v>0</v>
          </cell>
          <cell r="BG10">
            <v>514.28571428571422</v>
          </cell>
          <cell r="BH10">
            <v>0</v>
          </cell>
          <cell r="BI10">
            <v>93.023255813953483</v>
          </cell>
          <cell r="BJ10">
            <v>1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3085.7142857142858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</row>
        <row r="11">
          <cell r="H11" t="str">
            <v>C181688</v>
          </cell>
          <cell r="I11" t="str">
            <v xml:space="preserve">Emirates Cushions Replacement </v>
          </cell>
          <cell r="J11" t="str">
            <v xml:space="preserve">18105                         </v>
          </cell>
          <cell r="K11" t="str">
            <v xml:space="preserve">UUDS AERO </v>
          </cell>
          <cell r="L11" t="str">
            <v>TPA</v>
          </cell>
          <cell r="M11">
            <v>42005</v>
          </cell>
          <cell r="N11" t="str">
            <v/>
          </cell>
          <cell r="O11">
            <v>38252</v>
          </cell>
          <cell r="P11">
            <v>0</v>
          </cell>
          <cell r="Q11">
            <v>20778.39</v>
          </cell>
          <cell r="R11">
            <v>20778.39</v>
          </cell>
          <cell r="S11">
            <v>0.40072702080936951</v>
          </cell>
          <cell r="T11">
            <v>0.40138241137718289</v>
          </cell>
          <cell r="U11">
            <v>205</v>
          </cell>
          <cell r="V11">
            <v>172.5</v>
          </cell>
          <cell r="W11">
            <v>0</v>
          </cell>
          <cell r="X11">
            <v>33</v>
          </cell>
          <cell r="Y11">
            <v>33</v>
          </cell>
          <cell r="Z11">
            <v>0</v>
          </cell>
          <cell r="AA11">
            <v>19752</v>
          </cell>
          <cell r="AB11">
            <v>11212.5</v>
          </cell>
          <cell r="AC11">
            <v>2145</v>
          </cell>
          <cell r="AD11">
            <v>0.32373936816524906</v>
          </cell>
          <cell r="AE11">
            <v>15500</v>
          </cell>
          <cell r="AF11">
            <v>7665.86</v>
          </cell>
          <cell r="AG11">
            <v>7665.86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0.50542838709677418</v>
          </cell>
          <cell r="AS11">
            <v>3000</v>
          </cell>
          <cell r="AT11">
            <v>1900.03</v>
          </cell>
          <cell r="AU11">
            <v>0</v>
          </cell>
          <cell r="AV11">
            <v>0</v>
          </cell>
          <cell r="AW11">
            <v>0</v>
          </cell>
          <cell r="AX11">
            <v>0.36665666666666663</v>
          </cell>
          <cell r="AY11">
            <v>12742</v>
          </cell>
          <cell r="AZ11">
            <v>34672.662912422638</v>
          </cell>
          <cell r="BA11">
            <v>0</v>
          </cell>
          <cell r="BB11">
            <v>20778.39</v>
          </cell>
          <cell r="BC11">
            <v>2145</v>
          </cell>
          <cell r="BD11">
            <v>0.90642745248412215</v>
          </cell>
          <cell r="BE11">
            <v>0.33310676565931191</v>
          </cell>
          <cell r="BF11">
            <v>0</v>
          </cell>
          <cell r="BG11">
            <v>21930.662912422638</v>
          </cell>
          <cell r="BH11">
            <v>0</v>
          </cell>
          <cell r="BI11">
            <v>96.351219512195115</v>
          </cell>
          <cell r="BJ11">
            <v>1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3579.3370875773617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</row>
        <row r="12">
          <cell r="H12" t="str">
            <v>C181763</v>
          </cell>
          <cell r="I12" t="str">
            <v>Beech F90 Change of Quick Donn</v>
          </cell>
          <cell r="J12" t="str">
            <v xml:space="preserve">19053                         </v>
          </cell>
          <cell r="K12" t="str">
            <v xml:space="preserve">AIR AUSTRAL </v>
          </cell>
          <cell r="L12" t="str">
            <v>VGA</v>
          </cell>
          <cell r="M12">
            <v>42005</v>
          </cell>
          <cell r="N12" t="str">
            <v/>
          </cell>
          <cell r="O12">
            <v>10400</v>
          </cell>
          <cell r="P12">
            <v>0</v>
          </cell>
          <cell r="Q12">
            <v>8352.5</v>
          </cell>
          <cell r="R12">
            <v>8352.5</v>
          </cell>
          <cell r="S12">
            <v>0.19687500000000002</v>
          </cell>
          <cell r="T12">
            <v>0.58999999881199994</v>
          </cell>
          <cell r="U12">
            <v>108.333333</v>
          </cell>
          <cell r="V12">
            <v>128.5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10399.999968319999</v>
          </cell>
          <cell r="AB12">
            <v>8352.5</v>
          </cell>
          <cell r="AC12">
            <v>0</v>
          </cell>
          <cell r="AD12">
            <v>0.19687499755355753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10400</v>
          </cell>
          <cell r="AZ12">
            <v>9113.4020618556697</v>
          </cell>
          <cell r="BA12">
            <v>1286.5979381443303</v>
          </cell>
          <cell r="BB12">
            <v>8352.5</v>
          </cell>
          <cell r="BC12">
            <v>0</v>
          </cell>
          <cell r="BD12">
            <v>1</v>
          </cell>
          <cell r="BE12">
            <v>1</v>
          </cell>
          <cell r="BF12">
            <v>0</v>
          </cell>
          <cell r="BG12">
            <v>0</v>
          </cell>
          <cell r="BH12">
            <v>0</v>
          </cell>
          <cell r="BI12">
            <v>96.00000000295384</v>
          </cell>
          <cell r="BJ12">
            <v>1</v>
          </cell>
          <cell r="BK12">
            <v>3.1680001484346576E-5</v>
          </cell>
          <cell r="BL12">
            <v>0</v>
          </cell>
          <cell r="BM12">
            <v>0</v>
          </cell>
          <cell r="BN12">
            <v>1286.5979381443303</v>
          </cell>
          <cell r="BO12">
            <v>2827.5</v>
          </cell>
          <cell r="BP12">
            <v>-1540.9020618556697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X12">
            <v>0</v>
          </cell>
          <cell r="BY12">
            <v>43.5</v>
          </cell>
          <cell r="BZ12">
            <v>0</v>
          </cell>
          <cell r="CA12">
            <v>0</v>
          </cell>
        </row>
        <row r="13">
          <cell r="H13" t="str">
            <v>C181787</v>
          </cell>
          <cell r="I13" t="str">
            <v xml:space="preserve"> Weather Radar replacement, GP</v>
          </cell>
          <cell r="J13" t="str">
            <v xml:space="preserve">18013-18017-18138             </v>
          </cell>
          <cell r="K13" t="str">
            <v xml:space="preserve">D.T.I </v>
          </cell>
          <cell r="L13" t="str">
            <v>DVE</v>
          </cell>
          <cell r="M13">
            <v>43413</v>
          </cell>
          <cell r="N13" t="str">
            <v/>
          </cell>
          <cell r="O13">
            <v>12080</v>
          </cell>
          <cell r="P13">
            <v>0</v>
          </cell>
          <cell r="Q13">
            <v>11447.5</v>
          </cell>
          <cell r="R13">
            <v>11447.5</v>
          </cell>
          <cell r="S13">
            <v>4.1597682119205337E-2</v>
          </cell>
          <cell r="T13">
            <v>0.58999999897721855</v>
          </cell>
          <cell r="U13">
            <v>125.833333</v>
          </cell>
          <cell r="V13">
            <v>173</v>
          </cell>
          <cell r="W13">
            <v>4.5</v>
          </cell>
          <cell r="X13">
            <v>2</v>
          </cell>
          <cell r="Y13">
            <v>2</v>
          </cell>
          <cell r="Z13">
            <v>0</v>
          </cell>
          <cell r="AA13">
            <v>12079.99996832</v>
          </cell>
          <cell r="AB13">
            <v>11447.5</v>
          </cell>
          <cell r="AC13">
            <v>130</v>
          </cell>
          <cell r="AD13">
            <v>4.1597679605779425E-2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10540</v>
          </cell>
          <cell r="AZ13">
            <v>11944.357590153315</v>
          </cell>
          <cell r="BA13">
            <v>0</v>
          </cell>
          <cell r="BB13">
            <v>11447.5</v>
          </cell>
          <cell r="BC13">
            <v>130</v>
          </cell>
          <cell r="BD13">
            <v>0.98877132368818832</v>
          </cell>
          <cell r="BE13">
            <v>0.87251655629139069</v>
          </cell>
          <cell r="BF13">
            <v>0</v>
          </cell>
          <cell r="BG13">
            <v>1404.3575901533154</v>
          </cell>
          <cell r="BH13">
            <v>0</v>
          </cell>
          <cell r="BI13">
            <v>96.000000002543047</v>
          </cell>
          <cell r="BJ13">
            <v>1</v>
          </cell>
          <cell r="BK13">
            <v>3.1679999665357172E-5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135.64240984668504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</row>
        <row r="14">
          <cell r="H14" t="str">
            <v>C191843</v>
          </cell>
          <cell r="I14" t="str">
            <v>Etude dossier IS10-100 STC AS3</v>
          </cell>
          <cell r="J14" t="str">
            <v xml:space="preserve">19048                         </v>
          </cell>
          <cell r="K14" t="str">
            <v>LACE</v>
          </cell>
          <cell r="L14" t="str">
            <v>TBI</v>
          </cell>
          <cell r="M14">
            <v>42005</v>
          </cell>
          <cell r="N14" t="str">
            <v/>
          </cell>
          <cell r="O14">
            <v>5000</v>
          </cell>
          <cell r="P14">
            <v>0</v>
          </cell>
          <cell r="Q14">
            <v>595</v>
          </cell>
          <cell r="R14">
            <v>595</v>
          </cell>
          <cell r="S14">
            <v>0.34799999999999998</v>
          </cell>
          <cell r="T14">
            <v>0.58999999752896004</v>
          </cell>
          <cell r="U14">
            <v>52.083333000000003</v>
          </cell>
          <cell r="V14">
            <v>5</v>
          </cell>
          <cell r="W14">
            <v>6</v>
          </cell>
          <cell r="X14">
            <v>41</v>
          </cell>
          <cell r="Y14">
            <v>41</v>
          </cell>
          <cell r="Z14">
            <v>0</v>
          </cell>
          <cell r="AA14">
            <v>4999.9999683200003</v>
          </cell>
          <cell r="AB14">
            <v>595</v>
          </cell>
          <cell r="AC14">
            <v>2665</v>
          </cell>
          <cell r="AD14">
            <v>0.34799999586892805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2500</v>
          </cell>
          <cell r="AZ14">
            <v>912.57668711656447</v>
          </cell>
          <cell r="BA14">
            <v>0</v>
          </cell>
          <cell r="BB14">
            <v>595</v>
          </cell>
          <cell r="BC14">
            <v>2665</v>
          </cell>
          <cell r="BD14">
            <v>0.18251533742331288</v>
          </cell>
          <cell r="BE14">
            <v>0.5</v>
          </cell>
          <cell r="BF14">
            <v>-1587.4233128834355</v>
          </cell>
          <cell r="BG14">
            <v>0</v>
          </cell>
          <cell r="BH14">
            <v>0</v>
          </cell>
          <cell r="BI14">
            <v>96.000000006143992</v>
          </cell>
          <cell r="BJ14">
            <v>1</v>
          </cell>
          <cell r="BK14">
            <v>3.1679999665357172E-5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4087.4233128834358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</row>
        <row r="15">
          <cell r="H15" t="str">
            <v>C191860</v>
          </cell>
          <cell r="I15" t="str">
            <v>B737 BSI - Certification of ne</v>
          </cell>
          <cell r="J15" t="str">
            <v xml:space="preserve">19016-19017                   </v>
          </cell>
          <cell r="K15" t="str">
            <v>ZODIAC CABIN FRANCE SASU</v>
          </cell>
          <cell r="L15" t="str">
            <v>VGA</v>
          </cell>
          <cell r="M15">
            <v>42005</v>
          </cell>
          <cell r="N15" t="str">
            <v/>
          </cell>
          <cell r="O15">
            <v>0</v>
          </cell>
          <cell r="P15">
            <v>0</v>
          </cell>
          <cell r="Q15">
            <v>1912.5</v>
          </cell>
          <cell r="R15">
            <v>1912.5</v>
          </cell>
          <cell r="S15">
            <v>0</v>
          </cell>
          <cell r="T15">
            <v>0</v>
          </cell>
          <cell r="U15">
            <v>130.19999899999999</v>
          </cell>
          <cell r="V15">
            <v>22.5</v>
          </cell>
          <cell r="W15">
            <v>10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1912.5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2909.1877091572865</v>
          </cell>
          <cell r="BA15">
            <v>-2909.1877091572865</v>
          </cell>
          <cell r="BB15">
            <v>1912.5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96.0061444006149</v>
          </cell>
          <cell r="BJ15">
            <v>1</v>
          </cell>
          <cell r="BK15">
            <v>0</v>
          </cell>
          <cell r="BL15">
            <v>0</v>
          </cell>
          <cell r="BM15">
            <v>0</v>
          </cell>
          <cell r="BN15">
            <v>-2909.1877091572865</v>
          </cell>
          <cell r="BO15">
            <v>0</v>
          </cell>
          <cell r="BP15">
            <v>-2909.1877091572865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</row>
        <row r="16">
          <cell r="H16" t="str">
            <v>C191893</v>
          </cell>
          <cell r="I16" t="str">
            <v xml:space="preserve">Vente camera MX15             </v>
          </cell>
          <cell r="J16" t="str">
            <v xml:space="preserve">                              </v>
          </cell>
          <cell r="K16" t="str">
            <v xml:space="preserve">DAHER AEROSPACE </v>
          </cell>
          <cell r="L16" t="str">
            <v>JCL</v>
          </cell>
          <cell r="M16">
            <v>42005</v>
          </cell>
          <cell r="N16" t="str">
            <v/>
          </cell>
          <cell r="O16">
            <v>3140272.5</v>
          </cell>
          <cell r="P16">
            <v>0</v>
          </cell>
          <cell r="Q16">
            <v>2108741.2200000002</v>
          </cell>
          <cell r="R16">
            <v>2101459.1380000003</v>
          </cell>
          <cell r="S16">
            <v>0.32848463946998219</v>
          </cell>
          <cell r="T16">
            <v>0.2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3140272.5</v>
          </cell>
          <cell r="AF16">
            <v>2108741.2200000002</v>
          </cell>
          <cell r="AG16">
            <v>2101459.1380000003</v>
          </cell>
          <cell r="AH16">
            <v>7282.0819999999367</v>
          </cell>
          <cell r="AI16">
            <v>65538.738000000056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0.32848463946998219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3140272.5</v>
          </cell>
          <cell r="AZ16">
            <v>2971653.6160144005</v>
          </cell>
          <cell r="BA16">
            <v>157774.63167504594</v>
          </cell>
          <cell r="BB16">
            <v>2101459.1380000003</v>
          </cell>
          <cell r="BC16">
            <v>7282.0819999999367</v>
          </cell>
          <cell r="BD16">
            <v>0.99654671614945722</v>
          </cell>
          <cell r="BE16">
            <v>1</v>
          </cell>
          <cell r="BF16">
            <v>-10844.252310553591</v>
          </cell>
          <cell r="BG16">
            <v>0</v>
          </cell>
          <cell r="BH16">
            <v>0</v>
          </cell>
          <cell r="BI16">
            <v>0</v>
          </cell>
          <cell r="BJ16">
            <v>1</v>
          </cell>
          <cell r="BK16">
            <v>0</v>
          </cell>
          <cell r="BL16">
            <v>0</v>
          </cell>
          <cell r="BM16">
            <v>8.0576623179333673E-3</v>
          </cell>
          <cell r="BN16">
            <v>157774.63167504594</v>
          </cell>
          <cell r="BO16">
            <v>105948.08867175924</v>
          </cell>
          <cell r="BP16">
            <v>51826.543003286701</v>
          </cell>
          <cell r="BQ16">
            <v>0</v>
          </cell>
          <cell r="BR16">
            <v>25303.255391292274</v>
          </cell>
          <cell r="BS16">
            <v>16991.524666666752</v>
          </cell>
          <cell r="BT16">
            <v>8311.7307246255223</v>
          </cell>
          <cell r="BU16">
            <v>0</v>
          </cell>
          <cell r="BV16">
            <v>10844.252310553566</v>
          </cell>
          <cell r="BX16">
            <v>0</v>
          </cell>
          <cell r="BY16">
            <v>0</v>
          </cell>
          <cell r="BZ16">
            <v>0</v>
          </cell>
          <cell r="CA16">
            <v>105948.08867175924</v>
          </cell>
        </row>
        <row r="17">
          <cell r="H17" t="str">
            <v>C191948</v>
          </cell>
          <cell r="I17" t="str">
            <v xml:space="preserve">Modification Avion de mission </v>
          </cell>
          <cell r="J17" t="str">
            <v xml:space="preserve">19105-19106-19107-19108       </v>
          </cell>
          <cell r="K17" t="str">
            <v xml:space="preserve">DAHER AEROSPACE </v>
          </cell>
          <cell r="L17" t="str">
            <v>BAZ</v>
          </cell>
          <cell r="M17">
            <v>42005</v>
          </cell>
          <cell r="N17">
            <v>45085</v>
          </cell>
          <cell r="O17">
            <v>4872723</v>
          </cell>
          <cell r="P17">
            <v>0</v>
          </cell>
          <cell r="Q17">
            <v>2691531.5400000005</v>
          </cell>
          <cell r="R17">
            <v>2691531.5400000005</v>
          </cell>
          <cell r="S17">
            <v>0.4476329682602519</v>
          </cell>
          <cell r="T17">
            <v>0.37268861393647434</v>
          </cell>
          <cell r="U17">
            <v>17000.302083333332</v>
          </cell>
          <cell r="V17">
            <v>15549.8</v>
          </cell>
          <cell r="W17">
            <v>1450.5</v>
          </cell>
          <cell r="X17">
            <v>0</v>
          </cell>
          <cell r="Y17">
            <v>0</v>
          </cell>
          <cell r="Z17">
            <v>0</v>
          </cell>
          <cell r="AA17">
            <v>2157599.438375331</v>
          </cell>
          <cell r="AB17">
            <v>765013.5</v>
          </cell>
          <cell r="AC17">
            <v>0</v>
          </cell>
          <cell r="AD17">
            <v>0.64543302783947054</v>
          </cell>
          <cell r="AE17">
            <v>2243866.64</v>
          </cell>
          <cell r="AF17">
            <v>1887098.11</v>
          </cell>
          <cell r="AG17">
            <v>1887098.11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0.1589972076058852</v>
          </cell>
          <cell r="AS17">
            <v>43462</v>
          </cell>
          <cell r="AT17">
            <v>39419.93</v>
          </cell>
          <cell r="AU17">
            <v>0</v>
          </cell>
          <cell r="AV17">
            <v>0</v>
          </cell>
          <cell r="AW17">
            <v>0</v>
          </cell>
          <cell r="AX17">
            <v>9.300239289494272E-2</v>
          </cell>
          <cell r="AY17">
            <v>4872723</v>
          </cell>
          <cell r="AZ17">
            <v>4872723</v>
          </cell>
          <cell r="BA17">
            <v>0</v>
          </cell>
          <cell r="BB17">
            <v>2691531.5400000005</v>
          </cell>
          <cell r="BC17">
            <v>0</v>
          </cell>
          <cell r="BD17">
            <v>1</v>
          </cell>
          <cell r="BE17">
            <v>1</v>
          </cell>
          <cell r="BF17">
            <v>0</v>
          </cell>
          <cell r="BG17">
            <v>0</v>
          </cell>
          <cell r="BH17">
            <v>0</v>
          </cell>
          <cell r="BI17">
            <v>126.9153587859234</v>
          </cell>
          <cell r="BJ17">
            <v>1</v>
          </cell>
          <cell r="BK17">
            <v>427794.92162466887</v>
          </cell>
          <cell r="BL17">
            <v>0</v>
          </cell>
          <cell r="BM17">
            <v>0</v>
          </cell>
          <cell r="BN17">
            <v>0</v>
          </cell>
          <cell r="BO17">
            <v>-91.009999999776483</v>
          </cell>
          <cell r="BP17">
            <v>91.009999999776483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-91.010000000009313</v>
          </cell>
        </row>
        <row r="18">
          <cell r="H18" t="str">
            <v>C191954</v>
          </cell>
          <cell r="I18" t="str">
            <v>DOUBLER INSPECTION INTERVAL IM</v>
          </cell>
          <cell r="J18" t="str">
            <v xml:space="preserve">17026-17144                   </v>
          </cell>
          <cell r="K18" t="str">
            <v xml:space="preserve">ASTRONICS CSC </v>
          </cell>
          <cell r="L18" t="str">
            <v>VSE</v>
          </cell>
          <cell r="M18">
            <v>42005</v>
          </cell>
          <cell r="N18">
            <v>44589</v>
          </cell>
          <cell r="O18">
            <v>7500</v>
          </cell>
          <cell r="P18">
            <v>0</v>
          </cell>
          <cell r="Q18">
            <v>8645</v>
          </cell>
          <cell r="R18">
            <v>8645</v>
          </cell>
          <cell r="S18">
            <v>-0.15266666666666673</v>
          </cell>
          <cell r="T18">
            <v>0.59</v>
          </cell>
          <cell r="U18">
            <v>156.25</v>
          </cell>
          <cell r="V18">
            <v>133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7500</v>
          </cell>
          <cell r="AB18">
            <v>8645</v>
          </cell>
          <cell r="AC18">
            <v>0</v>
          </cell>
          <cell r="AD18">
            <v>-0.15266666666666673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7500</v>
          </cell>
          <cell r="AZ18">
            <v>15000</v>
          </cell>
          <cell r="BA18">
            <v>-7500</v>
          </cell>
          <cell r="BB18">
            <v>8645</v>
          </cell>
          <cell r="BC18">
            <v>0</v>
          </cell>
          <cell r="BD18">
            <v>1</v>
          </cell>
          <cell r="BE18">
            <v>1</v>
          </cell>
          <cell r="BF18">
            <v>0</v>
          </cell>
          <cell r="BG18">
            <v>0</v>
          </cell>
          <cell r="BH18">
            <v>0</v>
          </cell>
          <cell r="BI18">
            <v>96</v>
          </cell>
          <cell r="BJ18">
            <v>1</v>
          </cell>
          <cell r="BK18">
            <v>0</v>
          </cell>
          <cell r="BL18">
            <v>0</v>
          </cell>
          <cell r="BM18">
            <v>0</v>
          </cell>
          <cell r="BN18">
            <v>-7500</v>
          </cell>
          <cell r="BO18">
            <v>0</v>
          </cell>
          <cell r="BP18">
            <v>-7500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</row>
        <row r="19">
          <cell r="H19" t="str">
            <v>C192026</v>
          </cell>
          <cell r="I19" t="str">
            <v xml:space="preserve">EC155 systems upgrade for LPV </v>
          </cell>
          <cell r="J19" t="str">
            <v xml:space="preserve">19097-21180                   </v>
          </cell>
          <cell r="K19" t="str">
            <v>HELIAR</v>
          </cell>
          <cell r="L19" t="str">
            <v>PRO</v>
          </cell>
          <cell r="M19">
            <v>43669</v>
          </cell>
          <cell r="N19" t="str">
            <v/>
          </cell>
          <cell r="O19">
            <v>248294.2</v>
          </cell>
          <cell r="P19">
            <v>0</v>
          </cell>
          <cell r="Q19">
            <v>337475.34450100001</v>
          </cell>
          <cell r="R19">
            <v>337475.33999999997</v>
          </cell>
          <cell r="S19">
            <v>-0.39925561894317307</v>
          </cell>
          <cell r="T19">
            <v>0.32972083117527518</v>
          </cell>
          <cell r="U19">
            <v>833.33333300000004</v>
          </cell>
          <cell r="V19">
            <v>1763.5</v>
          </cell>
          <cell r="W19">
            <v>22.5</v>
          </cell>
          <cell r="X19">
            <v>8</v>
          </cell>
          <cell r="Y19">
            <v>22</v>
          </cell>
          <cell r="Z19">
            <v>14</v>
          </cell>
          <cell r="AA19">
            <v>82587</v>
          </cell>
          <cell r="AB19">
            <v>115640</v>
          </cell>
          <cell r="AC19">
            <v>520</v>
          </cell>
          <cell r="AD19">
            <v>-0.40651676413963456</v>
          </cell>
          <cell r="AE19">
            <v>164707.20000000001</v>
          </cell>
          <cell r="AF19">
            <v>219995.81450099999</v>
          </cell>
          <cell r="AG19">
            <v>219995.80999999997</v>
          </cell>
          <cell r="AH19">
            <v>4.501000017626211E-3</v>
          </cell>
          <cell r="AI19">
            <v>192.12</v>
          </cell>
          <cell r="AJ19">
            <v>9431.710000000021</v>
          </cell>
          <cell r="AK19">
            <v>9642.0100000000093</v>
          </cell>
          <cell r="AL19">
            <v>210.29999999998836</v>
          </cell>
          <cell r="AM19">
            <v>193.75</v>
          </cell>
          <cell r="AN19">
            <v>193.75</v>
          </cell>
          <cell r="AO19">
            <v>0</v>
          </cell>
          <cell r="AP19">
            <v>0</v>
          </cell>
          <cell r="AQ19">
            <v>193.75</v>
          </cell>
          <cell r="AR19">
            <v>-0.39411801366910493</v>
          </cell>
          <cell r="AS19">
            <v>1000</v>
          </cell>
          <cell r="AT19">
            <v>1645.7800000000002</v>
          </cell>
          <cell r="AU19">
            <v>0</v>
          </cell>
          <cell r="AV19">
            <v>0</v>
          </cell>
          <cell r="AW19">
            <v>0</v>
          </cell>
          <cell r="AX19">
            <v>-0.64578000000000024</v>
          </cell>
          <cell r="AY19">
            <v>241893.5</v>
          </cell>
          <cell r="AZ19">
            <v>242588.42982395142</v>
          </cell>
          <cell r="BA19">
            <v>0</v>
          </cell>
          <cell r="BB19">
            <v>337475.33999999997</v>
          </cell>
          <cell r="BC19">
            <v>9951.7145010000386</v>
          </cell>
          <cell r="BD19">
            <v>0.97702012299905272</v>
          </cell>
          <cell r="BE19">
            <v>0.97422130682069896</v>
          </cell>
          <cell r="BF19">
            <v>0</v>
          </cell>
          <cell r="BG19">
            <v>694.9298239514037</v>
          </cell>
          <cell r="BH19">
            <v>0</v>
          </cell>
          <cell r="BI19">
            <v>95.040000000380161</v>
          </cell>
          <cell r="BJ19">
            <v>1</v>
          </cell>
          <cell r="BK19">
            <v>0</v>
          </cell>
          <cell r="BL19">
            <v>193.74999999991269</v>
          </cell>
          <cell r="BM19">
            <v>0</v>
          </cell>
          <cell r="BN19">
            <v>0</v>
          </cell>
          <cell r="BO19">
            <v>49874.909999999974</v>
          </cell>
          <cell r="BP19">
            <v>-49874.909999999974</v>
          </cell>
          <cell r="BQ19">
            <v>0</v>
          </cell>
          <cell r="BR19">
            <v>0</v>
          </cell>
          <cell r="BS19">
            <v>1314.0499999999302</v>
          </cell>
          <cell r="BT19">
            <v>-1314.0499999999302</v>
          </cell>
          <cell r="BU19">
            <v>0</v>
          </cell>
          <cell r="BV19">
            <v>5705.7701760485943</v>
          </cell>
          <cell r="BX19">
            <v>0</v>
          </cell>
          <cell r="BY19">
            <v>193.5</v>
          </cell>
          <cell r="BZ19">
            <v>0</v>
          </cell>
          <cell r="CA19">
            <v>37103.659999999974</v>
          </cell>
        </row>
        <row r="20">
          <cell r="H20" t="str">
            <v>C192102</v>
          </cell>
          <cell r="I20" t="str">
            <v>B737 MSN 39419 - Cabin reconfi</v>
          </cell>
          <cell r="J20" t="str">
            <v xml:space="preserve">19098                         </v>
          </cell>
          <cell r="K20" t="str">
            <v>MACQUARIE AIRCRAFT LEASING</v>
          </cell>
          <cell r="L20" t="str">
            <v>FDE</v>
          </cell>
          <cell r="M20">
            <v>42005</v>
          </cell>
          <cell r="N20">
            <v>45014</v>
          </cell>
          <cell r="O20">
            <v>19300</v>
          </cell>
          <cell r="P20">
            <v>0</v>
          </cell>
          <cell r="Q20">
            <v>12662.5</v>
          </cell>
          <cell r="R20">
            <v>12662.5</v>
          </cell>
          <cell r="S20">
            <v>0.3439119170984456</v>
          </cell>
          <cell r="T20">
            <v>0.53948186528497399</v>
          </cell>
          <cell r="U20">
            <v>175</v>
          </cell>
          <cell r="V20">
            <v>162.5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16800</v>
          </cell>
          <cell r="AB20">
            <v>10562.5</v>
          </cell>
          <cell r="AC20">
            <v>0</v>
          </cell>
          <cell r="AD20">
            <v>0.37127976190476186</v>
          </cell>
          <cell r="AE20">
            <v>2500</v>
          </cell>
          <cell r="AF20">
            <v>2100</v>
          </cell>
          <cell r="AG20">
            <v>2100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0.16000000000000003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19300</v>
          </cell>
          <cell r="AZ20">
            <v>17714.846989141166</v>
          </cell>
          <cell r="BA20">
            <v>1585.153010858834</v>
          </cell>
          <cell r="BB20">
            <v>12662.5</v>
          </cell>
          <cell r="BC20">
            <v>0</v>
          </cell>
          <cell r="BD20">
            <v>1</v>
          </cell>
          <cell r="BE20">
            <v>1</v>
          </cell>
          <cell r="BF20">
            <v>0</v>
          </cell>
          <cell r="BG20">
            <v>0</v>
          </cell>
          <cell r="BH20">
            <v>0</v>
          </cell>
          <cell r="BI20">
            <v>96</v>
          </cell>
          <cell r="BJ20">
            <v>1</v>
          </cell>
          <cell r="BK20">
            <v>0</v>
          </cell>
          <cell r="BL20">
            <v>0</v>
          </cell>
          <cell r="BM20">
            <v>0</v>
          </cell>
          <cell r="BN20">
            <v>1585.153010858834</v>
          </cell>
          <cell r="BO20">
            <v>1040</v>
          </cell>
          <cell r="BP20">
            <v>545.15301085883402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X20">
            <v>0</v>
          </cell>
          <cell r="BY20">
            <v>16</v>
          </cell>
          <cell r="BZ20">
            <v>0</v>
          </cell>
          <cell r="CA20">
            <v>0</v>
          </cell>
        </row>
        <row r="21">
          <cell r="H21" t="str">
            <v>C192108</v>
          </cell>
          <cell r="I21" t="str">
            <v>Daher</v>
          </cell>
          <cell r="J21" t="str">
            <v xml:space="preserve">                              </v>
          </cell>
          <cell r="K21" t="str">
            <v xml:space="preserve">DAHER AEROSPACE </v>
          </cell>
          <cell r="L21" t="str">
            <v>BAZ</v>
          </cell>
          <cell r="M21">
            <v>42005</v>
          </cell>
          <cell r="N21">
            <v>45085</v>
          </cell>
          <cell r="O21">
            <v>1792265</v>
          </cell>
          <cell r="P21">
            <v>0</v>
          </cell>
          <cell r="Q21">
            <v>1189142.5899999999</v>
          </cell>
          <cell r="R21">
            <v>1189142.5899999999</v>
          </cell>
          <cell r="S21">
            <v>0.33651408134399774</v>
          </cell>
          <cell r="T21">
            <v>0.27157297129609737</v>
          </cell>
          <cell r="U21">
            <v>2765</v>
          </cell>
          <cell r="V21">
            <v>2442.5</v>
          </cell>
          <cell r="W21">
            <v>322.5</v>
          </cell>
          <cell r="X21">
            <v>0</v>
          </cell>
          <cell r="Y21">
            <v>0</v>
          </cell>
          <cell r="Z21">
            <v>0</v>
          </cell>
          <cell r="AA21">
            <v>328917.26</v>
          </cell>
          <cell r="AB21">
            <v>124425</v>
          </cell>
          <cell r="AC21">
            <v>0</v>
          </cell>
          <cell r="AD21">
            <v>0.62171337557658113</v>
          </cell>
          <cell r="AE21">
            <v>1463347.74</v>
          </cell>
          <cell r="AF21">
            <v>1064717.5899999999</v>
          </cell>
          <cell r="AG21">
            <v>1064717.5899999999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0.27240972128743657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1792265</v>
          </cell>
          <cell r="AZ21">
            <v>1732057.3404182338</v>
          </cell>
          <cell r="BA21">
            <v>60207.659581766231</v>
          </cell>
          <cell r="BB21">
            <v>1189142.5899999999</v>
          </cell>
          <cell r="BC21">
            <v>0</v>
          </cell>
          <cell r="BD21">
            <v>1</v>
          </cell>
          <cell r="BE21">
            <v>1</v>
          </cell>
          <cell r="BF21">
            <v>0</v>
          </cell>
          <cell r="BG21">
            <v>0</v>
          </cell>
          <cell r="BH21">
            <v>0</v>
          </cell>
          <cell r="BI21">
            <v>118.95741772151899</v>
          </cell>
          <cell r="BJ21">
            <v>1</v>
          </cell>
          <cell r="BK21">
            <v>0</v>
          </cell>
          <cell r="BL21">
            <v>0</v>
          </cell>
          <cell r="BM21">
            <v>0</v>
          </cell>
          <cell r="BN21">
            <v>60207.659581766231</v>
          </cell>
          <cell r="BO21">
            <v>11114.975624999963</v>
          </cell>
          <cell r="BP21">
            <v>49092.683956766268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11114.975624999963</v>
          </cell>
        </row>
        <row r="22">
          <cell r="H22" t="str">
            <v>C192127</v>
          </cell>
          <cell r="I22" t="str">
            <v xml:space="preserve">A340 Seat IFE MOD             </v>
          </cell>
          <cell r="J22" t="str">
            <v xml:space="preserve">19119                         </v>
          </cell>
          <cell r="K22" t="str">
            <v>GLOBAL AIRWAYS</v>
          </cell>
          <cell r="L22" t="str">
            <v>TPA</v>
          </cell>
          <cell r="M22">
            <v>42005</v>
          </cell>
          <cell r="N22">
            <v>44868</v>
          </cell>
          <cell r="O22">
            <v>9500</v>
          </cell>
          <cell r="P22">
            <v>0</v>
          </cell>
          <cell r="Q22">
            <v>8895.11</v>
          </cell>
          <cell r="R22">
            <v>8895.11</v>
          </cell>
          <cell r="S22">
            <v>6.3672631578947314E-2</v>
          </cell>
          <cell r="T22">
            <v>0.56536842105263163</v>
          </cell>
          <cell r="U22">
            <v>92.708333333333329</v>
          </cell>
          <cell r="V22">
            <v>66.5</v>
          </cell>
          <cell r="W22">
            <v>91</v>
          </cell>
          <cell r="X22">
            <v>0</v>
          </cell>
          <cell r="Y22">
            <v>0</v>
          </cell>
          <cell r="Z22">
            <v>0</v>
          </cell>
          <cell r="AA22">
            <v>8900</v>
          </cell>
          <cell r="AB22">
            <v>8417.5</v>
          </cell>
          <cell r="AC22">
            <v>0</v>
          </cell>
          <cell r="AD22">
            <v>5.4213483146067443E-2</v>
          </cell>
          <cell r="AE22">
            <v>300</v>
          </cell>
          <cell r="AF22">
            <v>300</v>
          </cell>
          <cell r="AG22">
            <v>300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300</v>
          </cell>
          <cell r="AT22">
            <v>177.61</v>
          </cell>
          <cell r="AU22">
            <v>0</v>
          </cell>
          <cell r="AV22">
            <v>0</v>
          </cell>
          <cell r="AW22">
            <v>0</v>
          </cell>
          <cell r="AX22">
            <v>0.40796666666666659</v>
          </cell>
          <cell r="AY22">
            <v>9500</v>
          </cell>
          <cell r="AZ22">
            <v>9500</v>
          </cell>
          <cell r="BA22">
            <v>0</v>
          </cell>
          <cell r="BB22">
            <v>8895.11</v>
          </cell>
          <cell r="BC22">
            <v>0</v>
          </cell>
          <cell r="BD22">
            <v>1</v>
          </cell>
          <cell r="BE22">
            <v>1</v>
          </cell>
          <cell r="BF22">
            <v>0</v>
          </cell>
          <cell r="BG22">
            <v>0</v>
          </cell>
          <cell r="BH22">
            <v>0</v>
          </cell>
          <cell r="BI22">
            <v>96.116504854368927</v>
          </cell>
          <cell r="BJ22">
            <v>1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</row>
        <row r="23">
          <cell r="H23" t="str">
            <v>C192195</v>
          </cell>
          <cell r="I23" t="str">
            <v>AS350-INSTALLATION LÉGÈRE MX10</v>
          </cell>
          <cell r="J23" t="str">
            <v xml:space="preserve">21033                         </v>
          </cell>
          <cell r="K23" t="str">
            <v>DIRECTION GENERALE DE L'ARMEMENT</v>
          </cell>
          <cell r="L23" t="str">
            <v>JFA</v>
          </cell>
          <cell r="M23">
            <v>44517</v>
          </cell>
          <cell r="N23" t="str">
            <v/>
          </cell>
          <cell r="O23">
            <v>733119.47499999998</v>
          </cell>
          <cell r="P23">
            <v>-1530.5250000000233</v>
          </cell>
          <cell r="Q23">
            <v>470815.05895500019</v>
          </cell>
          <cell r="R23">
            <v>470815.04379600001</v>
          </cell>
          <cell r="S23">
            <v>0.30717590205198109</v>
          </cell>
          <cell r="T23">
            <v>0.27148310341912552</v>
          </cell>
          <cell r="U23">
            <v>1399.7236979166664</v>
          </cell>
          <cell r="V23">
            <v>1810.5</v>
          </cell>
          <cell r="W23">
            <v>586.65000000000009</v>
          </cell>
          <cell r="X23">
            <v>0</v>
          </cell>
          <cell r="Y23">
            <v>0</v>
          </cell>
          <cell r="Z23">
            <v>0</v>
          </cell>
          <cell r="AA23">
            <v>134373.47499999998</v>
          </cell>
          <cell r="AB23">
            <v>103563</v>
          </cell>
          <cell r="AC23">
            <v>0</v>
          </cell>
          <cell r="AD23">
            <v>0.22928985798722534</v>
          </cell>
          <cell r="AE23">
            <v>598746</v>
          </cell>
          <cell r="AF23">
            <v>364778.11895500019</v>
          </cell>
          <cell r="AG23">
            <v>364778.10379600001</v>
          </cell>
          <cell r="AH23">
            <v>1.5159000176936388E-2</v>
          </cell>
          <cell r="AI23">
            <v>952.77379599999995</v>
          </cell>
          <cell r="AJ23">
            <v>37107.779999999992</v>
          </cell>
          <cell r="AK23">
            <v>38607.779999999992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0.32878733393625981</v>
          </cell>
          <cell r="AS23">
            <v>0</v>
          </cell>
          <cell r="AT23">
            <v>2473.94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734650</v>
          </cell>
          <cell r="AZ23">
            <v>640080.10524037469</v>
          </cell>
          <cell r="BA23">
            <v>39479.172779028537</v>
          </cell>
          <cell r="BB23">
            <v>470815.04379600001</v>
          </cell>
          <cell r="BC23">
            <v>37107.795159000168</v>
          </cell>
          <cell r="BD23">
            <v>0.92694206223263031</v>
          </cell>
          <cell r="BE23">
            <v>1.0020876883675747</v>
          </cell>
          <cell r="BF23">
            <v>-55090.721980596682</v>
          </cell>
          <cell r="BG23">
            <v>0</v>
          </cell>
          <cell r="BH23">
            <v>0</v>
          </cell>
          <cell r="BI23">
            <v>94.772663877266382</v>
          </cell>
          <cell r="BJ23">
            <v>1</v>
          </cell>
          <cell r="BK23">
            <v>0</v>
          </cell>
          <cell r="BL23">
            <v>-1500.0000000000218</v>
          </cell>
          <cell r="BM23">
            <v>2.7293890006996335E-3</v>
          </cell>
          <cell r="BN23">
            <v>39479.172779028537</v>
          </cell>
          <cell r="BO23">
            <v>16655.619999999995</v>
          </cell>
          <cell r="BP23">
            <v>22823.552779028541</v>
          </cell>
          <cell r="BQ23">
            <v>499562</v>
          </cell>
          <cell r="BR23">
            <v>586.43762956536375</v>
          </cell>
          <cell r="BS23">
            <v>0</v>
          </cell>
          <cell r="BT23">
            <v>586.43762956536375</v>
          </cell>
          <cell r="BU23">
            <v>0</v>
          </cell>
          <cell r="BV23">
            <v>53560.196980596753</v>
          </cell>
          <cell r="BX23">
            <v>0</v>
          </cell>
          <cell r="BY23">
            <v>343.5</v>
          </cell>
          <cell r="BZ23">
            <v>49.700000000000273</v>
          </cell>
          <cell r="CA23">
            <v>87.119999999995343</v>
          </cell>
        </row>
        <row r="24">
          <cell r="H24" t="str">
            <v>C192240</v>
          </cell>
          <cell r="I24" t="str">
            <v xml:space="preserve">Boitier filtre de Kalman      </v>
          </cell>
          <cell r="J24" t="str">
            <v xml:space="preserve">19165-13251                   </v>
          </cell>
          <cell r="K24" t="str">
            <v xml:space="preserve">NOVESPACE </v>
          </cell>
          <cell r="L24" t="str">
            <v>TBI</v>
          </cell>
          <cell r="M24">
            <v>42005</v>
          </cell>
          <cell r="N24">
            <v>44255</v>
          </cell>
          <cell r="O24">
            <v>70883.7</v>
          </cell>
          <cell r="P24">
            <v>0</v>
          </cell>
          <cell r="Q24">
            <v>54105.779999999992</v>
          </cell>
          <cell r="R24">
            <v>54105.779999999992</v>
          </cell>
          <cell r="S24">
            <v>0.23669644784343946</v>
          </cell>
          <cell r="T24">
            <v>0.33559055184760389</v>
          </cell>
          <cell r="U24">
            <v>257</v>
          </cell>
          <cell r="V24">
            <v>337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24644</v>
          </cell>
          <cell r="AB24">
            <v>21905</v>
          </cell>
          <cell r="AC24">
            <v>0</v>
          </cell>
          <cell r="AD24">
            <v>0.11114267164421365</v>
          </cell>
          <cell r="AE24">
            <v>46239.7</v>
          </cell>
          <cell r="AF24">
            <v>31194.009999999995</v>
          </cell>
          <cell r="AG24">
            <v>31194.01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0.32538468026392908</v>
          </cell>
          <cell r="AS24">
            <v>0</v>
          </cell>
          <cell r="AT24">
            <v>1006.77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70883.7</v>
          </cell>
          <cell r="AZ24">
            <v>70883.7</v>
          </cell>
          <cell r="BA24">
            <v>0</v>
          </cell>
          <cell r="BB24">
            <v>54105.779999999992</v>
          </cell>
          <cell r="BC24">
            <v>-3.637978807091713E-12</v>
          </cell>
          <cell r="BD24">
            <v>1.0000000000000002</v>
          </cell>
          <cell r="BE24">
            <v>1</v>
          </cell>
          <cell r="BF24">
            <v>0</v>
          </cell>
          <cell r="BG24">
            <v>1.5739343162124441E-11</v>
          </cell>
          <cell r="BH24">
            <v>0</v>
          </cell>
          <cell r="BI24">
            <v>95.891050583657588</v>
          </cell>
          <cell r="BJ24">
            <v>1</v>
          </cell>
          <cell r="BK24">
            <v>0</v>
          </cell>
          <cell r="BL24">
            <v>-3.637978807091713E-12</v>
          </cell>
          <cell r="BM24">
            <v>0</v>
          </cell>
          <cell r="BN24">
            <v>0</v>
          </cell>
          <cell r="BO24">
            <v>-2271.0800000000017</v>
          </cell>
          <cell r="BP24">
            <v>2271.0800000000017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-2271.0799999999945</v>
          </cell>
        </row>
        <row r="25">
          <cell r="H25" t="str">
            <v>C192280</v>
          </cell>
          <cell r="I25" t="str">
            <v xml:space="preserve">B1900D - Filet Cargo          </v>
          </cell>
          <cell r="J25" t="str">
            <v xml:space="preserve">19167-19168                   </v>
          </cell>
          <cell r="K25" t="str">
            <v xml:space="preserve">TWINJET </v>
          </cell>
          <cell r="L25" t="str">
            <v>VGA</v>
          </cell>
          <cell r="M25">
            <v>42005</v>
          </cell>
          <cell r="N25" t="str">
            <v/>
          </cell>
          <cell r="O25">
            <v>35000</v>
          </cell>
          <cell r="P25">
            <v>0</v>
          </cell>
          <cell r="Q25">
            <v>52781.59</v>
          </cell>
          <cell r="R25">
            <v>52781.59</v>
          </cell>
          <cell r="S25">
            <v>-0.50804542857142843</v>
          </cell>
          <cell r="T25">
            <v>0.48057714285714281</v>
          </cell>
          <cell r="U25">
            <v>262</v>
          </cell>
          <cell r="V25">
            <v>526.5</v>
          </cell>
          <cell r="W25">
            <v>191</v>
          </cell>
          <cell r="X25">
            <v>0</v>
          </cell>
          <cell r="Y25">
            <v>0</v>
          </cell>
          <cell r="Z25">
            <v>0</v>
          </cell>
          <cell r="AA25">
            <v>25180</v>
          </cell>
          <cell r="AB25">
            <v>42817.5</v>
          </cell>
          <cell r="AC25">
            <v>0</v>
          </cell>
          <cell r="AD25">
            <v>-0.70045671167593326</v>
          </cell>
          <cell r="AE25">
            <v>9820</v>
          </cell>
          <cell r="AF25">
            <v>9920.4499999999989</v>
          </cell>
          <cell r="AG25">
            <v>9920.4499999999989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-1.022912423625244E-2</v>
          </cell>
          <cell r="AS25">
            <v>0</v>
          </cell>
          <cell r="AT25">
            <v>43.64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35000</v>
          </cell>
          <cell r="AZ25">
            <v>35000</v>
          </cell>
          <cell r="BA25">
            <v>0</v>
          </cell>
          <cell r="BB25">
            <v>52781.59</v>
          </cell>
          <cell r="BC25">
            <v>0</v>
          </cell>
          <cell r="BD25">
            <v>1</v>
          </cell>
          <cell r="BE25">
            <v>1</v>
          </cell>
          <cell r="BF25">
            <v>0</v>
          </cell>
          <cell r="BG25">
            <v>0</v>
          </cell>
          <cell r="BH25">
            <v>0</v>
          </cell>
          <cell r="BI25">
            <v>96.10687022900764</v>
          </cell>
          <cell r="BJ25">
            <v>1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16567.329999999994</v>
          </cell>
          <cell r="BP25">
            <v>-16567.329999999994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X25">
            <v>0</v>
          </cell>
          <cell r="BY25">
            <v>152.5</v>
          </cell>
          <cell r="BZ25">
            <v>102</v>
          </cell>
          <cell r="CA25">
            <v>2064.8299999999981</v>
          </cell>
        </row>
        <row r="26">
          <cell r="H26" t="str">
            <v>C202415</v>
          </cell>
          <cell r="I26" t="str">
            <v>2020-2021 Technical Assistance</v>
          </cell>
          <cell r="J26" t="str">
            <v xml:space="preserve">                              </v>
          </cell>
          <cell r="K26" t="str">
            <v>LEONARDO S.P.A</v>
          </cell>
          <cell r="L26" t="str">
            <v>TRO</v>
          </cell>
          <cell r="M26">
            <v>44144</v>
          </cell>
          <cell r="N26">
            <v>45014</v>
          </cell>
          <cell r="O26">
            <v>162000</v>
          </cell>
          <cell r="P26">
            <v>0</v>
          </cell>
          <cell r="Q26">
            <v>156148</v>
          </cell>
          <cell r="R26">
            <v>156148</v>
          </cell>
          <cell r="S26">
            <v>3.6123456790123409E-2</v>
          </cell>
          <cell r="T26">
            <v>0.2</v>
          </cell>
          <cell r="U26">
            <v>0</v>
          </cell>
          <cell r="V26">
            <v>4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148</v>
          </cell>
          <cell r="AC26">
            <v>0</v>
          </cell>
          <cell r="AD26">
            <v>0</v>
          </cell>
          <cell r="AE26">
            <v>162000</v>
          </cell>
          <cell r="AF26">
            <v>156000</v>
          </cell>
          <cell r="AG26">
            <v>156000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3.703703703703709E-2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162000</v>
          </cell>
          <cell r="AZ26">
            <v>162000</v>
          </cell>
          <cell r="BA26">
            <v>0</v>
          </cell>
          <cell r="BB26">
            <v>156148</v>
          </cell>
          <cell r="BC26">
            <v>0</v>
          </cell>
          <cell r="BD26">
            <v>1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H27" t="str">
            <v>C202426</v>
          </cell>
          <cell r="I27" t="str">
            <v>exploitation et suivi naviguab</v>
          </cell>
          <cell r="J27" t="str">
            <v xml:space="preserve">                              </v>
          </cell>
          <cell r="K27" t="str">
            <v xml:space="preserve">SAFRAN AIRCRAFT ENGINES </v>
          </cell>
          <cell r="L27" t="str">
            <v>BAZ</v>
          </cell>
          <cell r="M27">
            <v>43922</v>
          </cell>
          <cell r="N27">
            <v>45077</v>
          </cell>
          <cell r="O27">
            <v>3917531.8485129997</v>
          </cell>
          <cell r="P27">
            <v>0</v>
          </cell>
          <cell r="Q27">
            <v>3826353.7926929994</v>
          </cell>
          <cell r="R27">
            <v>3826353.7900000005</v>
          </cell>
          <cell r="S27">
            <v>2.3274362365326873E-2</v>
          </cell>
          <cell r="T27">
            <v>0.21516184227641844</v>
          </cell>
          <cell r="U27">
            <v>1586</v>
          </cell>
          <cell r="V27">
            <v>1581.5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152300</v>
          </cell>
          <cell r="AB27">
            <v>61678.5</v>
          </cell>
          <cell r="AC27">
            <v>0</v>
          </cell>
          <cell r="AD27">
            <v>0.59501969796454368</v>
          </cell>
          <cell r="AE27">
            <v>3751322.5685130004</v>
          </cell>
          <cell r="AF27">
            <v>3762712.1326929992</v>
          </cell>
          <cell r="AG27">
            <v>3762712.1300000004</v>
          </cell>
          <cell r="AH27">
            <v>2.6929988525807858E-3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-3.0361463115964327E-3</v>
          </cell>
          <cell r="AS27">
            <v>895</v>
          </cell>
          <cell r="AT27">
            <v>1963.16</v>
          </cell>
          <cell r="AU27">
            <v>0</v>
          </cell>
          <cell r="AV27">
            <v>0</v>
          </cell>
          <cell r="AW27">
            <v>0</v>
          </cell>
          <cell r="AX27">
            <v>-1.1934748603351957</v>
          </cell>
          <cell r="AY27">
            <v>3917531.7699979995</v>
          </cell>
          <cell r="AZ27">
            <v>3915446.4598451038</v>
          </cell>
          <cell r="BA27">
            <v>2085.3859107256867</v>
          </cell>
          <cell r="BB27">
            <v>3826353.7900000005</v>
          </cell>
          <cell r="BC27">
            <v>2.6929988525807858E-3</v>
          </cell>
          <cell r="BD27">
            <v>0.9999999992961971</v>
          </cell>
          <cell r="BE27">
            <v>0.99999997995804424</v>
          </cell>
          <cell r="BF27">
            <v>0</v>
          </cell>
          <cell r="BG27">
            <v>7.5757829707997826E-2</v>
          </cell>
          <cell r="BH27">
            <v>0</v>
          </cell>
          <cell r="BI27">
            <v>96.027742749054227</v>
          </cell>
          <cell r="BJ27">
            <v>1</v>
          </cell>
          <cell r="BK27">
            <v>13014.279999999329</v>
          </cell>
          <cell r="BL27">
            <v>0</v>
          </cell>
          <cell r="BM27">
            <v>0</v>
          </cell>
          <cell r="BN27">
            <v>2085.3859107256867</v>
          </cell>
          <cell r="BO27">
            <v>0</v>
          </cell>
          <cell r="BP27">
            <v>2085.3859107256867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2.7571702376008034E-3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</row>
        <row r="28">
          <cell r="H28" t="str">
            <v>C202445</v>
          </cell>
          <cell r="I28" t="str">
            <v xml:space="preserve">E145 UCS Installation         </v>
          </cell>
          <cell r="J28" t="str">
            <v xml:space="preserve">20062                         </v>
          </cell>
          <cell r="K28" t="str">
            <v xml:space="preserve">UUDS AERO </v>
          </cell>
          <cell r="L28" t="str">
            <v>TPA</v>
          </cell>
          <cell r="M28">
            <v>43922</v>
          </cell>
          <cell r="N28">
            <v>44812</v>
          </cell>
          <cell r="O28">
            <v>75100</v>
          </cell>
          <cell r="P28">
            <v>0</v>
          </cell>
          <cell r="Q28">
            <v>32365.5</v>
          </cell>
          <cell r="R28">
            <v>32365.5</v>
          </cell>
          <cell r="S28">
            <v>0.56903462050599196</v>
          </cell>
          <cell r="T28">
            <v>0.44719041278295601</v>
          </cell>
          <cell r="U28">
            <v>495.5</v>
          </cell>
          <cell r="V28">
            <v>429</v>
          </cell>
          <cell r="W28">
            <v>56.5</v>
          </cell>
          <cell r="X28">
            <v>0</v>
          </cell>
          <cell r="Y28">
            <v>0</v>
          </cell>
          <cell r="Z28">
            <v>0</v>
          </cell>
          <cell r="AA28">
            <v>47600</v>
          </cell>
          <cell r="AB28">
            <v>18415.5</v>
          </cell>
          <cell r="AC28">
            <v>0</v>
          </cell>
          <cell r="AD28">
            <v>0.61311974789915968</v>
          </cell>
          <cell r="AE28">
            <v>26000</v>
          </cell>
          <cell r="AF28">
            <v>13950</v>
          </cell>
          <cell r="AG28">
            <v>13950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0.46346153846153848</v>
          </cell>
          <cell r="AS28">
            <v>1500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1</v>
          </cell>
          <cell r="AY28">
            <v>75100</v>
          </cell>
          <cell r="AZ28">
            <v>75100</v>
          </cell>
          <cell r="BA28">
            <v>0</v>
          </cell>
          <cell r="BB28">
            <v>32365.5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0</v>
          </cell>
          <cell r="BH28">
            <v>0</v>
          </cell>
          <cell r="BI28">
            <v>96.064581231079714</v>
          </cell>
          <cell r="BJ28">
            <v>1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</row>
        <row r="29">
          <cell r="H29" t="str">
            <v>C202464</v>
          </cell>
          <cell r="I29" t="str">
            <v xml:space="preserve">Seat Isolation Device         </v>
          </cell>
          <cell r="J29" t="str">
            <v xml:space="preserve">20094                         </v>
          </cell>
          <cell r="K29" t="str">
            <v>VISION SYSTEMS AERONAUTICS</v>
          </cell>
          <cell r="L29" t="str">
            <v>TPA</v>
          </cell>
          <cell r="M29">
            <v>44044</v>
          </cell>
          <cell r="N29">
            <v>44655</v>
          </cell>
          <cell r="O29">
            <v>7000</v>
          </cell>
          <cell r="P29">
            <v>0</v>
          </cell>
          <cell r="Q29">
            <v>17486.949999999997</v>
          </cell>
          <cell r="R29">
            <v>17486.949999999997</v>
          </cell>
          <cell r="S29">
            <v>-1.4981357142857137</v>
          </cell>
          <cell r="T29">
            <v>0.50642857142857134</v>
          </cell>
          <cell r="U29">
            <v>57.3</v>
          </cell>
          <cell r="V29">
            <v>210.5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5500</v>
          </cell>
          <cell r="AB29">
            <v>7788.5</v>
          </cell>
          <cell r="AC29">
            <v>0</v>
          </cell>
          <cell r="AD29">
            <v>-0.41609090909090907</v>
          </cell>
          <cell r="AE29">
            <v>1200</v>
          </cell>
          <cell r="AF29">
            <v>9411.6</v>
          </cell>
          <cell r="AG29">
            <v>9411.6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-6.843</v>
          </cell>
          <cell r="AS29">
            <v>300</v>
          </cell>
          <cell r="AT29">
            <v>286.85000000000002</v>
          </cell>
          <cell r="AU29">
            <v>0</v>
          </cell>
          <cell r="AV29">
            <v>0</v>
          </cell>
          <cell r="AW29">
            <v>0</v>
          </cell>
          <cell r="AX29">
            <v>4.383333333333328E-2</v>
          </cell>
          <cell r="AY29">
            <v>7000</v>
          </cell>
          <cell r="AZ29">
            <v>7000</v>
          </cell>
          <cell r="BA29">
            <v>0</v>
          </cell>
          <cell r="BB29">
            <v>17486.949999999997</v>
          </cell>
          <cell r="BC29">
            <v>0</v>
          </cell>
          <cell r="BD29">
            <v>1</v>
          </cell>
          <cell r="BE29">
            <v>1</v>
          </cell>
          <cell r="BF29">
            <v>0</v>
          </cell>
          <cell r="BG29">
            <v>0</v>
          </cell>
          <cell r="BH29">
            <v>0</v>
          </cell>
          <cell r="BI29">
            <v>96.412556053811656</v>
          </cell>
          <cell r="BJ29">
            <v>1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</row>
        <row r="30">
          <cell r="H30" t="str">
            <v>C202491</v>
          </cell>
          <cell r="I30" t="str">
            <v>Accompagnement développement b</v>
          </cell>
          <cell r="J30" t="str">
            <v xml:space="preserve">                              </v>
          </cell>
          <cell r="K30" t="str">
            <v>ESNAH SPRL</v>
          </cell>
          <cell r="L30" t="str">
            <v>VSE</v>
          </cell>
          <cell r="M30">
            <v>43983</v>
          </cell>
          <cell r="N30" t="str">
            <v/>
          </cell>
          <cell r="O30">
            <v>25920</v>
          </cell>
          <cell r="P30">
            <v>0</v>
          </cell>
          <cell r="Q30">
            <v>1202.2</v>
          </cell>
          <cell r="R30">
            <v>1202.2</v>
          </cell>
          <cell r="S30">
            <v>0.53695216049382721</v>
          </cell>
          <cell r="T30">
            <v>0.59</v>
          </cell>
          <cell r="U30">
            <v>270</v>
          </cell>
          <cell r="V30">
            <v>30</v>
          </cell>
          <cell r="W30">
            <v>0</v>
          </cell>
          <cell r="X30">
            <v>240</v>
          </cell>
          <cell r="Y30">
            <v>240</v>
          </cell>
          <cell r="Z30">
            <v>0</v>
          </cell>
          <cell r="AA30">
            <v>25920</v>
          </cell>
          <cell r="AB30">
            <v>1110</v>
          </cell>
          <cell r="AC30">
            <v>10800</v>
          </cell>
          <cell r="AD30">
            <v>0.5405092592592593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92.2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8240</v>
          </cell>
          <cell r="AZ30">
            <v>2596.2760160637217</v>
          </cell>
          <cell r="BA30">
            <v>0</v>
          </cell>
          <cell r="BB30">
            <v>1202.2</v>
          </cell>
          <cell r="BC30">
            <v>10800</v>
          </cell>
          <cell r="BD30">
            <v>0.10016496975554481</v>
          </cell>
          <cell r="BE30">
            <v>0.31790123456790126</v>
          </cell>
          <cell r="BF30">
            <v>-5643.7239839362792</v>
          </cell>
          <cell r="BG30">
            <v>0</v>
          </cell>
          <cell r="BH30">
            <v>0</v>
          </cell>
          <cell r="BI30">
            <v>96</v>
          </cell>
          <cell r="BJ30">
            <v>0.10016496975554481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X30">
            <v>23323.723983936277</v>
          </cell>
          <cell r="BY30">
            <v>0</v>
          </cell>
          <cell r="BZ30">
            <v>0</v>
          </cell>
          <cell r="CA30">
            <v>0</v>
          </cell>
        </row>
        <row r="31">
          <cell r="H31" t="str">
            <v>C202512</v>
          </cell>
          <cell r="I31" t="str">
            <v>STC et PTF pour essais SKYLINK</v>
          </cell>
          <cell r="J31" t="str">
            <v xml:space="preserve">                              </v>
          </cell>
          <cell r="K31" t="str">
            <v>ESNAH SPRL</v>
          </cell>
          <cell r="L31" t="str">
            <v>VSE</v>
          </cell>
          <cell r="M31">
            <v>44013</v>
          </cell>
          <cell r="N31" t="str">
            <v/>
          </cell>
          <cell r="O31">
            <v>18500</v>
          </cell>
          <cell r="P31">
            <v>0</v>
          </cell>
          <cell r="Q31">
            <v>4568.93</v>
          </cell>
          <cell r="R31">
            <v>4568.93</v>
          </cell>
          <cell r="S31">
            <v>0.47573351351351345</v>
          </cell>
          <cell r="T31">
            <v>0.4635135135135135</v>
          </cell>
          <cell r="U31">
            <v>130</v>
          </cell>
          <cell r="V31">
            <v>7</v>
          </cell>
          <cell r="W31">
            <v>0</v>
          </cell>
          <cell r="X31">
            <v>114</v>
          </cell>
          <cell r="Y31">
            <v>114</v>
          </cell>
          <cell r="Z31">
            <v>0</v>
          </cell>
          <cell r="AA31">
            <v>12500</v>
          </cell>
          <cell r="AB31">
            <v>259</v>
          </cell>
          <cell r="AC31">
            <v>5130</v>
          </cell>
          <cell r="AD31">
            <v>0.56888000000000005</v>
          </cell>
          <cell r="AE31">
            <v>6000</v>
          </cell>
          <cell r="AF31">
            <v>4309.93</v>
          </cell>
          <cell r="AG31">
            <v>4309.93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0.28167833333333325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9250</v>
          </cell>
          <cell r="AZ31">
            <v>8714.8999941230632</v>
          </cell>
          <cell r="BA31">
            <v>0</v>
          </cell>
          <cell r="BB31">
            <v>4568.93</v>
          </cell>
          <cell r="BC31">
            <v>5130</v>
          </cell>
          <cell r="BD31">
            <v>0.47107567535800343</v>
          </cell>
          <cell r="BE31">
            <v>0.5</v>
          </cell>
          <cell r="BF31">
            <v>-535.10000587693651</v>
          </cell>
          <cell r="BG31">
            <v>0</v>
          </cell>
          <cell r="BH31">
            <v>0</v>
          </cell>
          <cell r="BI31">
            <v>96.15384615384616</v>
          </cell>
          <cell r="BJ31">
            <v>0.47107567535800343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X31">
            <v>9785.1000058769368</v>
          </cell>
          <cell r="BY31">
            <v>0</v>
          </cell>
          <cell r="BZ31">
            <v>0</v>
          </cell>
          <cell r="CA31">
            <v>0</v>
          </cell>
        </row>
        <row r="32">
          <cell r="H32" t="str">
            <v>C202513</v>
          </cell>
          <cell r="I32" t="str">
            <v xml:space="preserve">AS350 FG MCO - Mission System </v>
          </cell>
          <cell r="J32" t="str">
            <v xml:space="preserve">21033                         </v>
          </cell>
          <cell r="K32" t="str">
            <v xml:space="preserve">DAHER AEROSPACE MERPINS </v>
          </cell>
          <cell r="L32" t="str">
            <v>JFA</v>
          </cell>
          <cell r="M32">
            <v>44246</v>
          </cell>
          <cell r="N32">
            <v>44841</v>
          </cell>
          <cell r="O32">
            <v>68787.94</v>
          </cell>
          <cell r="P32">
            <v>0</v>
          </cell>
          <cell r="Q32">
            <v>62434.210000000006</v>
          </cell>
          <cell r="R32">
            <v>62434.210000000006</v>
          </cell>
          <cell r="S32">
            <v>9.2366917805650206E-2</v>
          </cell>
          <cell r="T32">
            <v>0.29570282232612288</v>
          </cell>
          <cell r="U32">
            <v>176</v>
          </cell>
          <cell r="V32">
            <v>384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16880</v>
          </cell>
          <cell r="AB32">
            <v>17280</v>
          </cell>
          <cell r="AC32">
            <v>0</v>
          </cell>
          <cell r="AD32">
            <v>-2.3696682464454888E-2</v>
          </cell>
          <cell r="AE32">
            <v>51907.94</v>
          </cell>
          <cell r="AF32">
            <v>45048.23</v>
          </cell>
          <cell r="AG32">
            <v>45048.23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0.13215145890975444</v>
          </cell>
          <cell r="AS32">
            <v>0</v>
          </cell>
          <cell r="AT32">
            <v>105.98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68787.94</v>
          </cell>
          <cell r="AZ32">
            <v>68787.94</v>
          </cell>
          <cell r="BA32">
            <v>0</v>
          </cell>
          <cell r="BB32">
            <v>62434.210000000006</v>
          </cell>
          <cell r="BC32">
            <v>0</v>
          </cell>
          <cell r="BD32">
            <v>1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95.909090909090907</v>
          </cell>
          <cell r="BJ32">
            <v>1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360</v>
          </cell>
          <cell r="BP32">
            <v>-360</v>
          </cell>
          <cell r="BQ32">
            <v>5600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X32">
            <v>0</v>
          </cell>
          <cell r="BY32">
            <v>8</v>
          </cell>
          <cell r="BZ32">
            <v>0</v>
          </cell>
          <cell r="CA32">
            <v>0</v>
          </cell>
        </row>
        <row r="33">
          <cell r="H33" t="str">
            <v>C202594</v>
          </cell>
          <cell r="I33" t="str">
            <v xml:space="preserve">DHC6 Protection Balistique    </v>
          </cell>
          <cell r="J33" t="str">
            <v xml:space="preserve">21106                         </v>
          </cell>
          <cell r="K33" t="str">
            <v>DIRECTION GENERALE DE L'ARMEMENT</v>
          </cell>
          <cell r="L33" t="str">
            <v>MSU</v>
          </cell>
          <cell r="M33">
            <v>44317</v>
          </cell>
          <cell r="N33" t="str">
            <v/>
          </cell>
          <cell r="O33">
            <v>330867.09999999998</v>
          </cell>
          <cell r="P33">
            <v>0</v>
          </cell>
          <cell r="Q33">
            <v>188329.34999999998</v>
          </cell>
          <cell r="R33">
            <v>188329.34999999998</v>
          </cell>
          <cell r="S33">
            <v>0.38200458734035514</v>
          </cell>
          <cell r="T33">
            <v>0.41563639902546978</v>
          </cell>
          <cell r="U33">
            <v>1905.5</v>
          </cell>
          <cell r="V33">
            <v>1603.5</v>
          </cell>
          <cell r="W33">
            <v>248.5</v>
          </cell>
          <cell r="X33">
            <v>19</v>
          </cell>
          <cell r="Y33">
            <v>19</v>
          </cell>
          <cell r="Z33">
            <v>0</v>
          </cell>
          <cell r="AA33">
            <v>182941</v>
          </cell>
          <cell r="AB33">
            <v>74464.5</v>
          </cell>
          <cell r="AC33">
            <v>912</v>
          </cell>
          <cell r="AD33">
            <v>0.58797371830262213</v>
          </cell>
          <cell r="AE33">
            <v>126893.1</v>
          </cell>
          <cell r="AF33">
            <v>99042.04</v>
          </cell>
          <cell r="AG33">
            <v>99042.04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682.67999999999302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0.21948443217164693</v>
          </cell>
          <cell r="AS33">
            <v>14500</v>
          </cell>
          <cell r="AT33">
            <v>14822.809999999998</v>
          </cell>
          <cell r="AU33">
            <v>8700</v>
          </cell>
          <cell r="AV33">
            <v>8700</v>
          </cell>
          <cell r="AW33">
            <v>0</v>
          </cell>
          <cell r="AX33">
            <v>-0.62226275862068947</v>
          </cell>
          <cell r="AY33">
            <v>224099.1</v>
          </cell>
          <cell r="AZ33">
            <v>294971.87561923137</v>
          </cell>
          <cell r="BA33">
            <v>9770.4349903144757</v>
          </cell>
          <cell r="BB33">
            <v>188329.34999999998</v>
          </cell>
          <cell r="BC33">
            <v>16145</v>
          </cell>
          <cell r="BD33">
            <v>0.92104144113919417</v>
          </cell>
          <cell r="BE33">
            <v>0.67730850241683149</v>
          </cell>
          <cell r="BF33">
            <v>0</v>
          </cell>
          <cell r="BG33">
            <v>80643.210609545844</v>
          </cell>
          <cell r="BH33">
            <v>6533</v>
          </cell>
          <cell r="BI33">
            <v>96.006822356336926</v>
          </cell>
          <cell r="BJ33">
            <v>1</v>
          </cell>
          <cell r="BK33">
            <v>-2.9103830456733704E-11</v>
          </cell>
          <cell r="BL33">
            <v>-0.32000000000698492</v>
          </cell>
          <cell r="BM33">
            <v>3.3401434674581454E-3</v>
          </cell>
          <cell r="BN33">
            <v>9770.4349903144757</v>
          </cell>
          <cell r="BO33">
            <v>4823.359999999986</v>
          </cell>
          <cell r="BP33">
            <v>4947.0749903144897</v>
          </cell>
          <cell r="BQ33">
            <v>11306.100000000006</v>
          </cell>
          <cell r="BR33">
            <v>1105.1435826618108</v>
          </cell>
          <cell r="BS33">
            <v>682.67999999999302</v>
          </cell>
          <cell r="BT33">
            <v>422.46358266181778</v>
          </cell>
          <cell r="BU33">
            <v>0</v>
          </cell>
          <cell r="BV33">
            <v>26124.789390454127</v>
          </cell>
          <cell r="BX33">
            <v>0</v>
          </cell>
          <cell r="BY33">
            <v>14</v>
          </cell>
          <cell r="BZ33">
            <v>0</v>
          </cell>
          <cell r="CA33">
            <v>4277.3600000000006</v>
          </cell>
        </row>
        <row r="34">
          <cell r="H34" t="str">
            <v>C202607</v>
          </cell>
          <cell r="I34" t="str">
            <v xml:space="preserve">B777 Cargo on Seat            </v>
          </cell>
          <cell r="J34" t="str">
            <v xml:space="preserve">20110                         </v>
          </cell>
          <cell r="K34" t="str">
            <v xml:space="preserve">UUDS AERO </v>
          </cell>
          <cell r="L34" t="str">
            <v>VGA</v>
          </cell>
          <cell r="M34">
            <v>44105</v>
          </cell>
          <cell r="N34">
            <v>44719</v>
          </cell>
          <cell r="O34">
            <v>40000</v>
          </cell>
          <cell r="P34">
            <v>0</v>
          </cell>
          <cell r="Q34">
            <v>45216.6</v>
          </cell>
          <cell r="R34">
            <v>45216.600000000006</v>
          </cell>
          <cell r="S34">
            <v>-0.27049500000000015</v>
          </cell>
          <cell r="T34">
            <v>0.41449999999999998</v>
          </cell>
          <cell r="U34">
            <v>229</v>
          </cell>
          <cell r="V34">
            <v>104.5</v>
          </cell>
          <cell r="W34">
            <v>314</v>
          </cell>
          <cell r="X34">
            <v>0</v>
          </cell>
          <cell r="Y34">
            <v>0</v>
          </cell>
          <cell r="Z34">
            <v>0</v>
          </cell>
          <cell r="AA34">
            <v>22000</v>
          </cell>
          <cell r="AB34">
            <v>17996.5</v>
          </cell>
          <cell r="AC34">
            <v>0</v>
          </cell>
          <cell r="AD34">
            <v>0.18197727272727271</v>
          </cell>
          <cell r="AE34">
            <v>18000</v>
          </cell>
          <cell r="AF34">
            <v>27220.1</v>
          </cell>
          <cell r="AG34">
            <v>27220.100000000006</v>
          </cell>
          <cell r="AH34">
            <v>0</v>
          </cell>
          <cell r="AI34">
            <v>0</v>
          </cell>
          <cell r="AJ34">
            <v>5603.2000000000044</v>
          </cell>
          <cell r="AK34">
            <v>5603.2000000000044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-0.8235166666666669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15000</v>
          </cell>
          <cell r="AZ34">
            <v>35589.750451595639</v>
          </cell>
          <cell r="BA34">
            <v>0</v>
          </cell>
          <cell r="BB34">
            <v>45216.600000000006</v>
          </cell>
          <cell r="BC34">
            <v>5603.1999999999971</v>
          </cell>
          <cell r="BD34">
            <v>0.88974376128989097</v>
          </cell>
          <cell r="BE34">
            <v>0.375</v>
          </cell>
          <cell r="BF34">
            <v>0</v>
          </cell>
          <cell r="BG34">
            <v>20589.750451595639</v>
          </cell>
          <cell r="BH34">
            <v>0</v>
          </cell>
          <cell r="BI34">
            <v>96.069868995633186</v>
          </cell>
          <cell r="BJ34">
            <v>1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4410.2495484043611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</row>
        <row r="35">
          <cell r="H35" t="str">
            <v>C202651</v>
          </cell>
          <cell r="I35" t="str">
            <v xml:space="preserve">Installation caméra + écran + </v>
          </cell>
          <cell r="J35" t="str">
            <v xml:space="preserve">21034                         </v>
          </cell>
          <cell r="K35" t="str">
            <v>ADDOXYGENE</v>
          </cell>
          <cell r="L35" t="str">
            <v>TBI</v>
          </cell>
          <cell r="M35">
            <v>44228</v>
          </cell>
          <cell r="N35" t="str">
            <v/>
          </cell>
          <cell r="O35">
            <v>25093.599999999999</v>
          </cell>
          <cell r="P35">
            <v>0</v>
          </cell>
          <cell r="Q35">
            <v>6048.6399999999994</v>
          </cell>
          <cell r="R35">
            <v>6048.6399999999994</v>
          </cell>
          <cell r="S35">
            <v>0.36518779145424973</v>
          </cell>
          <cell r="T35">
            <v>0.4380787929990117</v>
          </cell>
          <cell r="U35">
            <v>160</v>
          </cell>
          <cell r="V35">
            <v>77</v>
          </cell>
          <cell r="W35">
            <v>61.000000000000007</v>
          </cell>
          <cell r="X35">
            <v>22</v>
          </cell>
          <cell r="Y35">
            <v>22</v>
          </cell>
          <cell r="Z35">
            <v>0</v>
          </cell>
          <cell r="AA35">
            <v>15318.600000000002</v>
          </cell>
          <cell r="AB35">
            <v>5931</v>
          </cell>
          <cell r="AC35">
            <v>1056</v>
          </cell>
          <cell r="AD35">
            <v>0.54388782264697833</v>
          </cell>
          <cell r="AE35">
            <v>9775</v>
          </cell>
          <cell r="AF35">
            <v>61.28</v>
          </cell>
          <cell r="AG35">
            <v>61.28</v>
          </cell>
          <cell r="AH35">
            <v>0</v>
          </cell>
          <cell r="AI35">
            <v>0</v>
          </cell>
          <cell r="AJ35">
            <v>8825.0836363636372</v>
          </cell>
          <cell r="AK35">
            <v>8825.0836363636372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9.0909090909090717E-2</v>
          </cell>
          <cell r="AS35">
            <v>0</v>
          </cell>
          <cell r="AT35">
            <v>56.36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9483.08</v>
          </cell>
          <cell r="AZ35">
            <v>9528.2351513945105</v>
          </cell>
          <cell r="BA35">
            <v>0</v>
          </cell>
          <cell r="BB35">
            <v>6048.6399999999994</v>
          </cell>
          <cell r="BC35">
            <v>9881.0836363636372</v>
          </cell>
          <cell r="BD35">
            <v>0.37970778012698497</v>
          </cell>
          <cell r="BE35">
            <v>0.37790831128255814</v>
          </cell>
          <cell r="BF35">
            <v>0</v>
          </cell>
          <cell r="BG35">
            <v>45.155151394509161</v>
          </cell>
          <cell r="BH35">
            <v>0</v>
          </cell>
          <cell r="BI35">
            <v>95.741250000000008</v>
          </cell>
          <cell r="BJ35">
            <v>1</v>
          </cell>
          <cell r="BK35">
            <v>-3.637978807091713E-12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15565.364848605488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</row>
        <row r="36">
          <cell r="H36" t="str">
            <v>C202653</v>
          </cell>
          <cell r="I36" t="str">
            <v>B1900D OverTorque / OverTemp A</v>
          </cell>
          <cell r="J36" t="str">
            <v xml:space="preserve">21008                         </v>
          </cell>
          <cell r="K36" t="str">
            <v xml:space="preserve">TWINJET </v>
          </cell>
          <cell r="L36" t="str">
            <v>DVE</v>
          </cell>
          <cell r="M36">
            <v>44197</v>
          </cell>
          <cell r="N36" t="str">
            <v/>
          </cell>
          <cell r="O36">
            <v>123000</v>
          </cell>
          <cell r="P36">
            <v>0</v>
          </cell>
          <cell r="Q36">
            <v>67092.27</v>
          </cell>
          <cell r="R36">
            <v>67092.26999999999</v>
          </cell>
          <cell r="S36">
            <v>0.45024170731707314</v>
          </cell>
          <cell r="T36">
            <v>0.44160975609756098</v>
          </cell>
          <cell r="U36">
            <v>793.75</v>
          </cell>
          <cell r="V36">
            <v>793.5</v>
          </cell>
          <cell r="W36">
            <v>0</v>
          </cell>
          <cell r="X36">
            <v>11</v>
          </cell>
          <cell r="Y36">
            <v>11</v>
          </cell>
          <cell r="Z36">
            <v>0</v>
          </cell>
          <cell r="AA36">
            <v>76200</v>
          </cell>
          <cell r="AB36">
            <v>30946.5</v>
          </cell>
          <cell r="AC36">
            <v>528</v>
          </cell>
          <cell r="AD36">
            <v>0.58694881889763773</v>
          </cell>
          <cell r="AE36">
            <v>44800</v>
          </cell>
          <cell r="AF36">
            <v>36145.770000000004</v>
          </cell>
          <cell r="AG36">
            <v>36145.769999999997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0.19317477678571415</v>
          </cell>
          <cell r="AS36">
            <v>2000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1</v>
          </cell>
          <cell r="AY36">
            <v>123000</v>
          </cell>
          <cell r="AZ36">
            <v>121255.86728284418</v>
          </cell>
          <cell r="BA36">
            <v>783.71064253234363</v>
          </cell>
          <cell r="BB36">
            <v>67092.26999999999</v>
          </cell>
          <cell r="BC36">
            <v>528.00000000000728</v>
          </cell>
          <cell r="BD36">
            <v>0.9921916904502156</v>
          </cell>
          <cell r="BE36">
            <v>1</v>
          </cell>
          <cell r="BF36">
            <v>-960.42207462348097</v>
          </cell>
          <cell r="BG36">
            <v>0</v>
          </cell>
          <cell r="BH36">
            <v>0</v>
          </cell>
          <cell r="BI36">
            <v>96</v>
          </cell>
          <cell r="BJ36">
            <v>1</v>
          </cell>
          <cell r="BK36">
            <v>0</v>
          </cell>
          <cell r="BL36">
            <v>-7.2759576141834259E-12</v>
          </cell>
          <cell r="BM36">
            <v>0</v>
          </cell>
          <cell r="BN36">
            <v>783.71064253234363</v>
          </cell>
          <cell r="BO36">
            <v>351</v>
          </cell>
          <cell r="BP36">
            <v>432.71064253234363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960.42207462347869</v>
          </cell>
          <cell r="BX36">
            <v>0</v>
          </cell>
          <cell r="BY36">
            <v>9</v>
          </cell>
          <cell r="BZ36">
            <v>0</v>
          </cell>
          <cell r="CA36">
            <v>0</v>
          </cell>
        </row>
        <row r="37">
          <cell r="H37" t="str">
            <v>C202681</v>
          </cell>
          <cell r="I37" t="str">
            <v xml:space="preserve">Cabin Part Water Transfer     </v>
          </cell>
          <cell r="J37" t="str">
            <v xml:space="preserve">20148                         </v>
          </cell>
          <cell r="K37" t="str">
            <v xml:space="preserve">UUDS AERO </v>
          </cell>
          <cell r="L37" t="str">
            <v>VGA</v>
          </cell>
          <cell r="M37">
            <v>44166</v>
          </cell>
          <cell r="N37" t="str">
            <v/>
          </cell>
          <cell r="O37">
            <v>2850</v>
          </cell>
          <cell r="P37">
            <v>0</v>
          </cell>
          <cell r="Q37">
            <v>788.5</v>
          </cell>
          <cell r="R37">
            <v>788.5</v>
          </cell>
          <cell r="S37">
            <v>0.54175438596491232</v>
          </cell>
          <cell r="T37">
            <v>0.59</v>
          </cell>
          <cell r="U37">
            <v>30</v>
          </cell>
          <cell r="V37">
            <v>5.5</v>
          </cell>
          <cell r="W37">
            <v>13</v>
          </cell>
          <cell r="X37">
            <v>11.5</v>
          </cell>
          <cell r="Y37">
            <v>11.5</v>
          </cell>
          <cell r="Z37">
            <v>0</v>
          </cell>
          <cell r="AA37">
            <v>2850</v>
          </cell>
          <cell r="AB37">
            <v>788.5</v>
          </cell>
          <cell r="AC37">
            <v>517.5</v>
          </cell>
          <cell r="AD37">
            <v>0.54175438596491232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1720.6929555895865</v>
          </cell>
          <cell r="BA37">
            <v>0</v>
          </cell>
          <cell r="BB37">
            <v>788.5</v>
          </cell>
          <cell r="BC37">
            <v>517.5</v>
          </cell>
          <cell r="BD37">
            <v>0.60375191424196017</v>
          </cell>
          <cell r="BE37">
            <v>0</v>
          </cell>
          <cell r="BF37">
            <v>0</v>
          </cell>
          <cell r="BG37">
            <v>1720.6929555895865</v>
          </cell>
          <cell r="BH37">
            <v>0</v>
          </cell>
          <cell r="BI37">
            <v>95</v>
          </cell>
          <cell r="BJ37">
            <v>1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1129.3070444104135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</row>
        <row r="38">
          <cell r="H38" t="str">
            <v>C202689</v>
          </cell>
          <cell r="I38" t="str">
            <v xml:space="preserve">Logging AS350                 </v>
          </cell>
          <cell r="J38" t="str">
            <v xml:space="preserve">20140                         </v>
          </cell>
          <cell r="K38" t="str">
            <v>YANKEE LIMA FINANCES</v>
          </cell>
          <cell r="L38" t="str">
            <v>TBI</v>
          </cell>
          <cell r="M38">
            <v>44160</v>
          </cell>
          <cell r="N38">
            <v>45085</v>
          </cell>
          <cell r="O38">
            <v>1900</v>
          </cell>
          <cell r="P38">
            <v>0</v>
          </cell>
          <cell r="Q38">
            <v>1562.5000000000002</v>
          </cell>
          <cell r="R38">
            <v>1562.5000000000002</v>
          </cell>
          <cell r="S38">
            <v>0.17763157894736825</v>
          </cell>
          <cell r="T38">
            <v>0.59</v>
          </cell>
          <cell r="U38">
            <v>20</v>
          </cell>
          <cell r="V38">
            <v>28.000000000000004</v>
          </cell>
          <cell r="W38">
            <v>11.7</v>
          </cell>
          <cell r="X38">
            <v>0</v>
          </cell>
          <cell r="Y38">
            <v>0</v>
          </cell>
          <cell r="Z38">
            <v>0</v>
          </cell>
          <cell r="AA38">
            <v>1900</v>
          </cell>
          <cell r="AB38">
            <v>1562.5000000000002</v>
          </cell>
          <cell r="AC38">
            <v>0</v>
          </cell>
          <cell r="AD38">
            <v>0.17763157894736825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1900</v>
          </cell>
          <cell r="AZ38">
            <v>1846.8118195956454</v>
          </cell>
          <cell r="BA38">
            <v>53.188180404354625</v>
          </cell>
          <cell r="BB38">
            <v>1562.5000000000002</v>
          </cell>
          <cell r="BC38">
            <v>0</v>
          </cell>
          <cell r="BD38">
            <v>1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95</v>
          </cell>
          <cell r="BJ38">
            <v>1</v>
          </cell>
          <cell r="BK38">
            <v>0</v>
          </cell>
          <cell r="BL38">
            <v>0</v>
          </cell>
          <cell r="BM38">
            <v>0</v>
          </cell>
          <cell r="BN38">
            <v>53.188180404354625</v>
          </cell>
          <cell r="BO38">
            <v>0</v>
          </cell>
          <cell r="BP38">
            <v>53.188180404354625</v>
          </cell>
          <cell r="BQ38">
            <v>950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</row>
        <row r="39">
          <cell r="H39" t="str">
            <v>C202695</v>
          </cell>
          <cell r="I39" t="str">
            <v xml:space="preserve">OPEXISATION DU PC-6           </v>
          </cell>
          <cell r="J39" t="str">
            <v xml:space="preserve">                              </v>
          </cell>
          <cell r="K39" t="str">
            <v>DIRECTION GENERALE DE L'ARMEMENT</v>
          </cell>
          <cell r="L39" t="str">
            <v>MSU</v>
          </cell>
          <cell r="M39">
            <v>44409</v>
          </cell>
          <cell r="N39" t="str">
            <v/>
          </cell>
          <cell r="O39">
            <v>1678496.76</v>
          </cell>
          <cell r="P39">
            <v>0</v>
          </cell>
          <cell r="Q39">
            <v>705875.07274850004</v>
          </cell>
          <cell r="R39">
            <v>705875.07</v>
          </cell>
          <cell r="S39">
            <v>0.48615629439761332</v>
          </cell>
          <cell r="T39">
            <v>0.47193050524565805</v>
          </cell>
          <cell r="U39">
            <v>10376.083333333332</v>
          </cell>
          <cell r="V39">
            <v>9882.5</v>
          </cell>
          <cell r="W39">
            <v>422</v>
          </cell>
          <cell r="X39">
            <v>24</v>
          </cell>
          <cell r="Y39">
            <v>390.75</v>
          </cell>
          <cell r="Z39">
            <v>366.5</v>
          </cell>
          <cell r="AA39">
            <v>1170344.8</v>
          </cell>
          <cell r="AB39">
            <v>405673.5</v>
          </cell>
          <cell r="AC39">
            <v>1152</v>
          </cell>
          <cell r="AD39">
            <v>0.65238833888953063</v>
          </cell>
          <cell r="AE39">
            <v>496420.81</v>
          </cell>
          <cell r="AF39">
            <v>295320.82274850004</v>
          </cell>
          <cell r="AG39">
            <v>295320.81999999995</v>
          </cell>
          <cell r="AH39">
            <v>2.7485000900924206E-3</v>
          </cell>
          <cell r="AI39">
            <v>2892</v>
          </cell>
          <cell r="AJ39">
            <v>46736.637251499866</v>
          </cell>
          <cell r="AK39">
            <v>55065.677251499845</v>
          </cell>
          <cell r="AL39">
            <v>8329.039999999979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0.31095261699444088</v>
          </cell>
          <cell r="AS39">
            <v>11731.15</v>
          </cell>
          <cell r="AT39">
            <v>4880.7500000000018</v>
          </cell>
          <cell r="AU39">
            <v>5677.2849999999999</v>
          </cell>
          <cell r="AV39">
            <v>5787.8850000000002</v>
          </cell>
          <cell r="AW39">
            <v>110.60000000000036</v>
          </cell>
          <cell r="AX39">
            <v>9.9999999999999867E-2</v>
          </cell>
          <cell r="AY39">
            <v>801600</v>
          </cell>
          <cell r="AZ39">
            <v>522543.25471952918</v>
          </cell>
          <cell r="BA39">
            <v>851172.25897444913</v>
          </cell>
          <cell r="BB39">
            <v>705875.07</v>
          </cell>
          <cell r="BC39">
            <v>156609.92499999996</v>
          </cell>
          <cell r="BD39">
            <v>0.81842011639866274</v>
          </cell>
          <cell r="BE39">
            <v>0.47757018011759522</v>
          </cell>
          <cell r="BF39">
            <v>0</v>
          </cell>
          <cell r="BG39">
            <v>572115.51369397831</v>
          </cell>
          <cell r="BH39">
            <v>103044</v>
          </cell>
          <cell r="BI39">
            <v>96</v>
          </cell>
          <cell r="BJ39">
            <v>0.88680347527152814</v>
          </cell>
          <cell r="BK39">
            <v>-103044.00000000003</v>
          </cell>
          <cell r="BL39">
            <v>-3310.5000000001164</v>
          </cell>
          <cell r="BM39">
            <v>2.9386292654869695E-2</v>
          </cell>
          <cell r="BN39">
            <v>851172.25897444913</v>
          </cell>
          <cell r="BO39">
            <v>361874.96499999991</v>
          </cell>
          <cell r="BP39">
            <v>489297.29397444922</v>
          </cell>
          <cell r="BQ39">
            <v>200400</v>
          </cell>
          <cell r="BR39">
            <v>49324.797009610571</v>
          </cell>
          <cell r="BS39">
            <v>22733.139999999898</v>
          </cell>
          <cell r="BT39">
            <v>26591.657009610673</v>
          </cell>
          <cell r="BU39">
            <v>0</v>
          </cell>
          <cell r="BV39">
            <v>114781.2463060217</v>
          </cell>
          <cell r="BX39">
            <v>190000.00000000012</v>
          </cell>
          <cell r="BY39">
            <v>5493</v>
          </cell>
          <cell r="BZ39">
            <v>187</v>
          </cell>
          <cell r="CA39">
            <v>138671.96499999994</v>
          </cell>
        </row>
        <row r="40">
          <cell r="H40" t="str">
            <v>C202700</v>
          </cell>
          <cell r="I40" t="str">
            <v>A380 Cargo on Seat Installatio</v>
          </cell>
          <cell r="J40" t="str">
            <v xml:space="preserve">20142                         </v>
          </cell>
          <cell r="K40" t="str">
            <v xml:space="preserve">UUDS AERO </v>
          </cell>
          <cell r="L40" t="str">
            <v>VGA</v>
          </cell>
          <cell r="M40">
            <v>44136</v>
          </cell>
          <cell r="N40">
            <v>44902</v>
          </cell>
          <cell r="O40">
            <v>18000</v>
          </cell>
          <cell r="P40">
            <v>0</v>
          </cell>
          <cell r="Q40">
            <v>35275.06</v>
          </cell>
          <cell r="R40">
            <v>35275.060000000005</v>
          </cell>
          <cell r="S40">
            <v>-0.9597255555555555</v>
          </cell>
          <cell r="T40">
            <v>0.37333333333333329</v>
          </cell>
          <cell r="U40">
            <v>156</v>
          </cell>
          <cell r="V40">
            <v>150.5</v>
          </cell>
          <cell r="W40">
            <v>114.5</v>
          </cell>
          <cell r="X40">
            <v>0</v>
          </cell>
          <cell r="Y40">
            <v>0</v>
          </cell>
          <cell r="Z40">
            <v>0</v>
          </cell>
          <cell r="AA40">
            <v>8000</v>
          </cell>
          <cell r="AB40">
            <v>10721</v>
          </cell>
          <cell r="AC40">
            <v>0</v>
          </cell>
          <cell r="AD40">
            <v>-0.34012500000000001</v>
          </cell>
          <cell r="AE40">
            <v>10000</v>
          </cell>
          <cell r="AF40">
            <v>24554.059999999998</v>
          </cell>
          <cell r="AG40">
            <v>24554.060000000005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-1.455406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18000</v>
          </cell>
          <cell r="AZ40">
            <v>18000.000000000004</v>
          </cell>
          <cell r="BA40">
            <v>0</v>
          </cell>
          <cell r="BB40">
            <v>35275.060000000005</v>
          </cell>
          <cell r="BC40">
            <v>-7.2759576141834259E-12</v>
          </cell>
          <cell r="BD40">
            <v>1.0000000000000002</v>
          </cell>
          <cell r="BE40">
            <v>1</v>
          </cell>
          <cell r="BF40">
            <v>0</v>
          </cell>
          <cell r="BG40">
            <v>3.9968028886505635E-12</v>
          </cell>
          <cell r="BH40">
            <v>0</v>
          </cell>
          <cell r="BI40">
            <v>96.15384615384616</v>
          </cell>
          <cell r="BJ40">
            <v>1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-3.637978807091713E-12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</row>
        <row r="41">
          <cell r="H41" t="str">
            <v>C202747</v>
          </cell>
          <cell r="I41" t="str">
            <v>rev 3 -Support caméra treuil H</v>
          </cell>
          <cell r="J41" t="str">
            <v xml:space="preserve">21086                         </v>
          </cell>
          <cell r="K41" t="str">
            <v xml:space="preserve">BABCOCK INTERNATIONAL FRANCE AVIATION </v>
          </cell>
          <cell r="L41" t="str">
            <v>PMI</v>
          </cell>
          <cell r="M41">
            <v>44333</v>
          </cell>
          <cell r="N41">
            <v>45014</v>
          </cell>
          <cell r="O41">
            <v>21231.3</v>
          </cell>
          <cell r="P41">
            <v>0</v>
          </cell>
          <cell r="Q41">
            <v>14408.6</v>
          </cell>
          <cell r="R41">
            <v>14408.6</v>
          </cell>
          <cell r="S41">
            <v>0.32130863395081788</v>
          </cell>
          <cell r="T41">
            <v>0.45626005002048858</v>
          </cell>
          <cell r="U41">
            <v>143.31874999999999</v>
          </cell>
          <cell r="V41">
            <v>63</v>
          </cell>
          <cell r="W41">
            <v>81</v>
          </cell>
          <cell r="X41">
            <v>1.8750000000004263E-2</v>
          </cell>
          <cell r="Y41">
            <v>1.8750000000004263E-2</v>
          </cell>
          <cell r="Z41">
            <v>0</v>
          </cell>
          <cell r="AA41">
            <v>13950.599999999999</v>
          </cell>
          <cell r="AB41">
            <v>6345</v>
          </cell>
          <cell r="AC41">
            <v>0.90000000000020464</v>
          </cell>
          <cell r="AD41">
            <v>0.54511633908218993</v>
          </cell>
          <cell r="AE41">
            <v>7280.7</v>
          </cell>
          <cell r="AF41">
            <v>8063.6</v>
          </cell>
          <cell r="AG41">
            <v>8063.6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-0.10753086928454691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19880.560000000001</v>
          </cell>
          <cell r="AZ41">
            <v>16377.961281200032</v>
          </cell>
          <cell r="BA41">
            <v>4852.0126373953372</v>
          </cell>
          <cell r="BB41">
            <v>14408.6</v>
          </cell>
          <cell r="BC41">
            <v>0.90000000000020464</v>
          </cell>
          <cell r="BD41">
            <v>0.99993754120545475</v>
          </cell>
          <cell r="BE41">
            <v>0.9363797789113244</v>
          </cell>
          <cell r="BF41">
            <v>0</v>
          </cell>
          <cell r="BG41">
            <v>1349.4139185953695</v>
          </cell>
          <cell r="BH41">
            <v>0</v>
          </cell>
          <cell r="BI41">
            <v>96</v>
          </cell>
          <cell r="BJ41">
            <v>1</v>
          </cell>
          <cell r="BK41">
            <v>9.0949470177292824E-13</v>
          </cell>
          <cell r="BL41">
            <v>-5.6843418860808015E-13</v>
          </cell>
          <cell r="BM41">
            <v>0</v>
          </cell>
          <cell r="BN41">
            <v>4852.0126373953372</v>
          </cell>
          <cell r="BO41">
            <v>1768.1800000000003</v>
          </cell>
          <cell r="BP41">
            <v>3083.8326373953369</v>
          </cell>
          <cell r="BQ41">
            <v>6697.6399999999994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1.3260814046298037</v>
          </cell>
          <cell r="BX41">
            <v>0</v>
          </cell>
          <cell r="BY41">
            <v>35</v>
          </cell>
          <cell r="BZ41">
            <v>0</v>
          </cell>
          <cell r="CA41">
            <v>403.18000000000029</v>
          </cell>
        </row>
        <row r="42">
          <cell r="H42" t="str">
            <v>C212772</v>
          </cell>
          <cell r="I42" t="str">
            <v>ATR72 MSN711 &amp; 715 Owner plate</v>
          </cell>
          <cell r="J42" t="str">
            <v xml:space="preserve">21002                         </v>
          </cell>
          <cell r="K42" t="str">
            <v xml:space="preserve">REGIO LEASE </v>
          </cell>
          <cell r="L42" t="str">
            <v>VGA</v>
          </cell>
          <cell r="M42">
            <v>44197</v>
          </cell>
          <cell r="N42" t="str">
            <v/>
          </cell>
          <cell r="O42">
            <v>4000</v>
          </cell>
          <cell r="P42">
            <v>0</v>
          </cell>
          <cell r="Q42">
            <v>901.5</v>
          </cell>
          <cell r="R42">
            <v>901.5</v>
          </cell>
          <cell r="S42">
            <v>0.39512499999999995</v>
          </cell>
          <cell r="T42">
            <v>0.434</v>
          </cell>
          <cell r="U42">
            <v>25</v>
          </cell>
          <cell r="V42">
            <v>14.5</v>
          </cell>
          <cell r="W42">
            <v>7</v>
          </cell>
          <cell r="X42">
            <v>3.5</v>
          </cell>
          <cell r="Y42">
            <v>3.5</v>
          </cell>
          <cell r="Z42">
            <v>0</v>
          </cell>
          <cell r="AA42">
            <v>2400</v>
          </cell>
          <cell r="AB42">
            <v>901.5</v>
          </cell>
          <cell r="AC42">
            <v>168</v>
          </cell>
          <cell r="AD42">
            <v>0.55437500000000006</v>
          </cell>
          <cell r="AE42">
            <v>1600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1350</v>
          </cell>
          <cell r="AK42">
            <v>1350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0.15625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1490.390576565406</v>
          </cell>
          <cell r="BA42">
            <v>0</v>
          </cell>
          <cell r="BB42">
            <v>901.5</v>
          </cell>
          <cell r="BC42">
            <v>1518</v>
          </cell>
          <cell r="BD42">
            <v>0.37259764414135149</v>
          </cell>
          <cell r="BE42">
            <v>0</v>
          </cell>
          <cell r="BF42">
            <v>0</v>
          </cell>
          <cell r="BG42">
            <v>1490.390576565406</v>
          </cell>
          <cell r="BH42">
            <v>0</v>
          </cell>
          <cell r="BI42">
            <v>96</v>
          </cell>
          <cell r="BJ42">
            <v>1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2509.6094234345937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</row>
        <row r="43">
          <cell r="H43" t="str">
            <v>C212783</v>
          </cell>
          <cell r="I43" t="str">
            <v>Crochet MIL-LOCK-412F treuil H</v>
          </cell>
          <cell r="J43" t="str">
            <v xml:space="preserve">21035                         </v>
          </cell>
          <cell r="K43" t="str">
            <v xml:space="preserve">BABCOCK INTERNATIONAL FRANCE AVIATION </v>
          </cell>
          <cell r="L43" t="str">
            <v>LUD</v>
          </cell>
          <cell r="M43">
            <v>44228</v>
          </cell>
          <cell r="N43">
            <v>44902</v>
          </cell>
          <cell r="O43">
            <v>6912</v>
          </cell>
          <cell r="P43">
            <v>0</v>
          </cell>
          <cell r="Q43">
            <v>2223</v>
          </cell>
          <cell r="R43">
            <v>2223</v>
          </cell>
          <cell r="S43">
            <v>0.67838541666666674</v>
          </cell>
          <cell r="T43">
            <v>0.59</v>
          </cell>
          <cell r="U43">
            <v>57</v>
          </cell>
          <cell r="V43">
            <v>57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6912</v>
          </cell>
          <cell r="AB43">
            <v>2223</v>
          </cell>
          <cell r="AC43">
            <v>0</v>
          </cell>
          <cell r="AD43">
            <v>0.67838541666666674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5529.6</v>
          </cell>
          <cell r="AZ43">
            <v>6912</v>
          </cell>
          <cell r="BA43">
            <v>0</v>
          </cell>
          <cell r="BB43">
            <v>2223</v>
          </cell>
          <cell r="BC43">
            <v>0</v>
          </cell>
          <cell r="BD43">
            <v>1</v>
          </cell>
          <cell r="BE43">
            <v>0.8</v>
          </cell>
          <cell r="BF43">
            <v>0</v>
          </cell>
          <cell r="BG43">
            <v>1382.3999999999996</v>
          </cell>
          <cell r="BH43">
            <v>0</v>
          </cell>
          <cell r="BI43">
            <v>121.26315789473684</v>
          </cell>
          <cell r="BJ43">
            <v>1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</row>
        <row r="44">
          <cell r="H44" t="str">
            <v>C212800</v>
          </cell>
          <cell r="I44" t="str">
            <v xml:space="preserve">Certification Dragonfly Covid </v>
          </cell>
          <cell r="J44" t="str">
            <v xml:space="preserve">                              </v>
          </cell>
          <cell r="K44" t="str">
            <v>ESNAH SPRL</v>
          </cell>
          <cell r="L44" t="str">
            <v>VSE</v>
          </cell>
          <cell r="M44">
            <v>44239</v>
          </cell>
          <cell r="N44" t="str">
            <v/>
          </cell>
          <cell r="O44">
            <v>40000</v>
          </cell>
          <cell r="P44">
            <v>0</v>
          </cell>
          <cell r="Q44">
            <v>663</v>
          </cell>
          <cell r="R44">
            <v>663</v>
          </cell>
          <cell r="S44">
            <v>0.40095225000000001</v>
          </cell>
          <cell r="T44">
            <v>0.49249999999999999</v>
          </cell>
          <cell r="U44">
            <v>313</v>
          </cell>
          <cell r="V44">
            <v>17</v>
          </cell>
          <cell r="W44">
            <v>0</v>
          </cell>
          <cell r="X44">
            <v>296</v>
          </cell>
          <cell r="Y44">
            <v>296</v>
          </cell>
          <cell r="Z44">
            <v>0</v>
          </cell>
          <cell r="AA44">
            <v>30000</v>
          </cell>
          <cell r="AB44">
            <v>663</v>
          </cell>
          <cell r="AC44">
            <v>14208</v>
          </cell>
          <cell r="AD44">
            <v>0.50429999999999997</v>
          </cell>
          <cell r="AE44">
            <v>10000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9090.91</v>
          </cell>
          <cell r="AK44">
            <v>9090.91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9.0909000000000018E-2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1384</v>
          </cell>
          <cell r="AZ44">
            <v>1106.7565568079642</v>
          </cell>
          <cell r="BA44">
            <v>-4.1989237161033088E-5</v>
          </cell>
          <cell r="BB44">
            <v>663</v>
          </cell>
          <cell r="BC44">
            <v>23298.91</v>
          </cell>
          <cell r="BD44">
            <v>2.7668912870468174E-2</v>
          </cell>
          <cell r="BE44">
            <v>3.4599999999999999E-2</v>
          </cell>
          <cell r="BF44">
            <v>-277.243485181273</v>
          </cell>
          <cell r="BG44">
            <v>0</v>
          </cell>
          <cell r="BH44">
            <v>0</v>
          </cell>
          <cell r="BI44">
            <v>95.846645367412137</v>
          </cell>
          <cell r="BJ44">
            <v>2.7668912870468174E-2</v>
          </cell>
          <cell r="BK44">
            <v>0</v>
          </cell>
          <cell r="BL44">
            <v>0</v>
          </cell>
          <cell r="BM44">
            <v>0</v>
          </cell>
          <cell r="BN44">
            <v>-4.1989237161033088E-5</v>
          </cell>
          <cell r="BO44">
            <v>0</v>
          </cell>
          <cell r="BP44">
            <v>-4.1989237161033088E-5</v>
          </cell>
          <cell r="BQ44">
            <v>800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X44">
            <v>38893.243485181272</v>
          </cell>
          <cell r="BY44">
            <v>0</v>
          </cell>
          <cell r="BZ44">
            <v>0</v>
          </cell>
          <cell r="CA44">
            <v>0</v>
          </cell>
        </row>
        <row r="45">
          <cell r="H45" t="str">
            <v>C212808</v>
          </cell>
          <cell r="I45" t="str">
            <v xml:space="preserve">Parties fixes EOS H160        </v>
          </cell>
          <cell r="J45" t="str">
            <v xml:space="preserve">21082                         </v>
          </cell>
          <cell r="K45" t="str">
            <v xml:space="preserve">BABCOCK INTERNATIONAL FRANCE AVIATION </v>
          </cell>
          <cell r="L45" t="str">
            <v>LUD</v>
          </cell>
          <cell r="M45">
            <v>44333</v>
          </cell>
          <cell r="N45">
            <v>44951</v>
          </cell>
          <cell r="O45">
            <v>1330692.57</v>
          </cell>
          <cell r="P45">
            <v>0</v>
          </cell>
          <cell r="Q45">
            <v>388696.41999999993</v>
          </cell>
          <cell r="R45">
            <v>388549.02</v>
          </cell>
          <cell r="S45">
            <v>0.70789915810531667</v>
          </cell>
          <cell r="T45">
            <v>0.2802421975019605</v>
          </cell>
          <cell r="U45">
            <v>2851.8609375000001</v>
          </cell>
          <cell r="V45">
            <v>2016</v>
          </cell>
          <cell r="W45">
            <v>563.79999999999984</v>
          </cell>
          <cell r="X45">
            <v>0</v>
          </cell>
          <cell r="Y45">
            <v>0</v>
          </cell>
          <cell r="Z45">
            <v>0</v>
          </cell>
          <cell r="AA45">
            <v>273788.96414443944</v>
          </cell>
          <cell r="AB45">
            <v>105686.39999999999</v>
          </cell>
          <cell r="AC45">
            <v>0</v>
          </cell>
          <cell r="AD45">
            <v>0.61398590213357052</v>
          </cell>
          <cell r="AE45">
            <v>1027858.51</v>
          </cell>
          <cell r="AF45">
            <v>272226.01999999996</v>
          </cell>
          <cell r="AG45">
            <v>272226.02000000008</v>
          </cell>
          <cell r="AH45">
            <v>0</v>
          </cell>
          <cell r="AI45">
            <v>2500</v>
          </cell>
          <cell r="AJ45">
            <v>0</v>
          </cell>
          <cell r="AK45">
            <v>0</v>
          </cell>
          <cell r="AL45">
            <v>0</v>
          </cell>
          <cell r="AM45">
            <v>10784</v>
          </cell>
          <cell r="AN45">
            <v>10636.599999999999</v>
          </cell>
          <cell r="AO45">
            <v>0</v>
          </cell>
          <cell r="AP45">
            <v>0</v>
          </cell>
          <cell r="AQ45">
            <v>0</v>
          </cell>
          <cell r="AR45">
            <v>0.72466052744944442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1113431.02</v>
          </cell>
          <cell r="AZ45">
            <v>1103903.4483376576</v>
          </cell>
          <cell r="BA45">
            <v>226284.50141187082</v>
          </cell>
          <cell r="BB45">
            <v>388549.02</v>
          </cell>
          <cell r="BC45">
            <v>147.39999999988504</v>
          </cell>
          <cell r="BD45">
            <v>0.99962078374686369</v>
          </cell>
          <cell r="BE45">
            <v>0.8367304703595061</v>
          </cell>
          <cell r="BF45">
            <v>0</v>
          </cell>
          <cell r="BG45">
            <v>216756.9297495283</v>
          </cell>
          <cell r="BH45">
            <v>0</v>
          </cell>
          <cell r="BI45">
            <v>96.003616636528022</v>
          </cell>
          <cell r="BJ45">
            <v>1</v>
          </cell>
          <cell r="BK45">
            <v>29045.095855560619</v>
          </cell>
          <cell r="BL45">
            <v>2.1827872842550278E-11</v>
          </cell>
          <cell r="BM45">
            <v>0</v>
          </cell>
          <cell r="BN45">
            <v>226284.50141187082</v>
          </cell>
          <cell r="BO45">
            <v>21501.960900000005</v>
          </cell>
          <cell r="BP45">
            <v>204782.54051187081</v>
          </cell>
          <cell r="BQ45">
            <v>322032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504.62025047163479</v>
          </cell>
          <cell r="BX45">
            <v>0</v>
          </cell>
          <cell r="BY45">
            <v>4.5</v>
          </cell>
          <cell r="BZ45">
            <v>0</v>
          </cell>
          <cell r="CA45">
            <v>10689.860900000058</v>
          </cell>
        </row>
        <row r="46">
          <cell r="H46" t="str">
            <v>C212809</v>
          </cell>
          <cell r="I46" t="str">
            <v xml:space="preserve">rev 1 - EOS mobile parts H160 </v>
          </cell>
          <cell r="J46" t="str">
            <v xml:space="preserve">21081-21127                   </v>
          </cell>
          <cell r="K46" t="str">
            <v xml:space="preserve">BABCOCK INTERNATIONAL FRANCE AVIATION </v>
          </cell>
          <cell r="L46" t="str">
            <v>LUD</v>
          </cell>
          <cell r="M46">
            <v>44333</v>
          </cell>
          <cell r="N46" t="str">
            <v/>
          </cell>
          <cell r="O46">
            <v>321792.08</v>
          </cell>
          <cell r="P46">
            <v>1875</v>
          </cell>
          <cell r="Q46">
            <v>395371.71999999968</v>
          </cell>
          <cell r="R46">
            <v>388036.9875000001</v>
          </cell>
          <cell r="S46">
            <v>-0.25674851910587626</v>
          </cell>
          <cell r="T46">
            <v>0.4733229201911992</v>
          </cell>
          <cell r="U46">
            <v>2741.3635416666666</v>
          </cell>
          <cell r="V46">
            <v>2274.3000000000002</v>
          </cell>
          <cell r="W46">
            <v>355.5</v>
          </cell>
          <cell r="X46">
            <v>188.33333333333331</v>
          </cell>
          <cell r="Y46">
            <v>290.33333333333331</v>
          </cell>
          <cell r="Z46">
            <v>102</v>
          </cell>
          <cell r="AA46">
            <v>225520.9</v>
          </cell>
          <cell r="AB46">
            <v>105761.70000000001</v>
          </cell>
          <cell r="AC46">
            <v>9040</v>
          </cell>
          <cell r="AD46">
            <v>0.49094873246781112</v>
          </cell>
          <cell r="AE46">
            <v>130793.18000000001</v>
          </cell>
          <cell r="AF46">
            <v>284100.57999999967</v>
          </cell>
          <cell r="AG46">
            <v>276900.58000000007</v>
          </cell>
          <cell r="AH46">
            <v>7199.9999999995925</v>
          </cell>
          <cell r="AI46">
            <v>10033.209999999999</v>
          </cell>
          <cell r="AJ46">
            <v>0</v>
          </cell>
          <cell r="AK46">
            <v>0</v>
          </cell>
          <cell r="AL46">
            <v>7199.9999999999418</v>
          </cell>
          <cell r="AM46">
            <v>5509.4400000000005</v>
          </cell>
          <cell r="AN46">
            <v>5374.7074999999995</v>
          </cell>
          <cell r="AO46">
            <v>0</v>
          </cell>
          <cell r="AP46">
            <v>0</v>
          </cell>
          <cell r="AQ46">
            <v>1188.6500000000005</v>
          </cell>
          <cell r="AR46">
            <v>-1.2142593367635808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297714.26</v>
          </cell>
          <cell r="AZ46">
            <v>272762.21160031366</v>
          </cell>
          <cell r="BA46">
            <v>36000.425952720514</v>
          </cell>
          <cell r="BB46">
            <v>388036.9875000001</v>
          </cell>
          <cell r="BC46">
            <v>16374.732499999594</v>
          </cell>
          <cell r="BD46">
            <v>0.95950974788762411</v>
          </cell>
          <cell r="BE46">
            <v>0.92517584646582973</v>
          </cell>
          <cell r="BF46">
            <v>0</v>
          </cell>
          <cell r="BG46">
            <v>11048.37755303417</v>
          </cell>
          <cell r="BH46">
            <v>0</v>
          </cell>
          <cell r="BI46">
            <v>96</v>
          </cell>
          <cell r="BJ46">
            <v>1</v>
          </cell>
          <cell r="BK46">
            <v>-34521.999999999985</v>
          </cell>
          <cell r="BL46">
            <v>7470.6499999999542</v>
          </cell>
          <cell r="BM46">
            <v>-5.1920654067280081E-3</v>
          </cell>
          <cell r="BN46">
            <v>36000.425952720514</v>
          </cell>
          <cell r="BO46">
            <v>89417.539500000072</v>
          </cell>
          <cell r="BP46">
            <v>-53417.113547279558</v>
          </cell>
          <cell r="BQ46">
            <v>75543</v>
          </cell>
          <cell r="BR46">
            <v>138.0503731998615</v>
          </cell>
          <cell r="BS46">
            <v>5107.2175000000279</v>
          </cell>
          <cell r="BT46">
            <v>-4969.1671268001664</v>
          </cell>
          <cell r="BU46">
            <v>1800</v>
          </cell>
          <cell r="BV46">
            <v>13029.442446965841</v>
          </cell>
          <cell r="BX46">
            <v>0</v>
          </cell>
          <cell r="BY46">
            <v>1021.0000000000002</v>
          </cell>
          <cell r="BZ46">
            <v>123</v>
          </cell>
          <cell r="CA46">
            <v>38319.832000000053</v>
          </cell>
        </row>
        <row r="47">
          <cell r="H47" t="str">
            <v>C212810</v>
          </cell>
          <cell r="I47" t="str">
            <v xml:space="preserve">Light Operator Console H160   </v>
          </cell>
          <cell r="J47" t="str">
            <v xml:space="preserve">21083                         </v>
          </cell>
          <cell r="K47" t="str">
            <v xml:space="preserve">BABCOCK INTERNATIONAL FRANCE AVIATION </v>
          </cell>
          <cell r="L47" t="str">
            <v>LUD</v>
          </cell>
          <cell r="M47">
            <v>44333</v>
          </cell>
          <cell r="N47">
            <v>45085</v>
          </cell>
          <cell r="O47">
            <v>838084</v>
          </cell>
          <cell r="P47">
            <v>0</v>
          </cell>
          <cell r="Q47">
            <v>660828.7648929999</v>
          </cell>
          <cell r="R47">
            <v>660828.76</v>
          </cell>
          <cell r="S47">
            <v>0.21150055973744886</v>
          </cell>
          <cell r="T47">
            <v>0.25981758391760257</v>
          </cell>
          <cell r="U47">
            <v>1470.9664583333333</v>
          </cell>
          <cell r="V47">
            <v>1108.7</v>
          </cell>
          <cell r="W47">
            <v>599</v>
          </cell>
          <cell r="X47">
            <v>0</v>
          </cell>
          <cell r="Y47">
            <v>0</v>
          </cell>
          <cell r="Z47">
            <v>0</v>
          </cell>
          <cell r="AA47">
            <v>128544</v>
          </cell>
          <cell r="AB47">
            <v>71991.3</v>
          </cell>
          <cell r="AC47">
            <v>0</v>
          </cell>
          <cell r="AD47">
            <v>0.43994818894697529</v>
          </cell>
          <cell r="AE47">
            <v>672685.8</v>
          </cell>
          <cell r="AF47">
            <v>587776.46489299985</v>
          </cell>
          <cell r="AG47">
            <v>587776.46</v>
          </cell>
          <cell r="AH47">
            <v>4.8929998883977532E-3</v>
          </cell>
          <cell r="AI47">
            <v>150</v>
          </cell>
          <cell r="AJ47">
            <v>0</v>
          </cell>
          <cell r="AK47">
            <v>0</v>
          </cell>
          <cell r="AL47">
            <v>0</v>
          </cell>
          <cell r="AM47">
            <v>1061</v>
          </cell>
          <cell r="AN47">
            <v>1061</v>
          </cell>
          <cell r="AO47">
            <v>0</v>
          </cell>
          <cell r="AP47">
            <v>0</v>
          </cell>
          <cell r="AQ47">
            <v>0</v>
          </cell>
          <cell r="AR47">
            <v>0.12464710137630408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770653.6</v>
          </cell>
          <cell r="AZ47">
            <v>622427.35359239194</v>
          </cell>
          <cell r="BA47">
            <v>215656.64020215033</v>
          </cell>
          <cell r="BB47">
            <v>660828.76</v>
          </cell>
          <cell r="BC47">
            <v>4.8929998883977532E-3</v>
          </cell>
          <cell r="BD47">
            <v>0.99999999259566141</v>
          </cell>
          <cell r="BE47">
            <v>0.91954219386123581</v>
          </cell>
          <cell r="BF47">
            <v>0</v>
          </cell>
          <cell r="BG47">
            <v>67430.393794542339</v>
          </cell>
          <cell r="BH47">
            <v>0</v>
          </cell>
          <cell r="BI47">
            <v>96</v>
          </cell>
          <cell r="BJ47">
            <v>1</v>
          </cell>
          <cell r="BK47">
            <v>36854.199999999953</v>
          </cell>
          <cell r="BL47">
            <v>0</v>
          </cell>
          <cell r="BM47">
            <v>0</v>
          </cell>
          <cell r="BN47">
            <v>215656.64020215033</v>
          </cell>
          <cell r="BO47">
            <v>220499.34399999998</v>
          </cell>
          <cell r="BP47">
            <v>-4842.7037978496519</v>
          </cell>
          <cell r="BQ47">
            <v>196824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6.205457728356123E-3</v>
          </cell>
          <cell r="BX47">
            <v>0</v>
          </cell>
          <cell r="BY47">
            <v>132</v>
          </cell>
          <cell r="BZ47">
            <v>0</v>
          </cell>
          <cell r="CA47">
            <v>214290.34399999992</v>
          </cell>
        </row>
        <row r="48">
          <cell r="H48" t="str">
            <v>C212811</v>
          </cell>
          <cell r="I48" t="str">
            <v xml:space="preserve">Configuration 3 layout H160   </v>
          </cell>
          <cell r="J48" t="str">
            <v xml:space="preserve">21080                         </v>
          </cell>
          <cell r="K48" t="str">
            <v xml:space="preserve">BABCOCK INTERNATIONAL FRANCE AVIATION </v>
          </cell>
          <cell r="L48" t="str">
            <v>LUD</v>
          </cell>
          <cell r="M48">
            <v>44333</v>
          </cell>
          <cell r="N48">
            <v>44942</v>
          </cell>
          <cell r="O48">
            <v>340000</v>
          </cell>
          <cell r="P48">
            <v>0</v>
          </cell>
          <cell r="Q48">
            <v>289001.26</v>
          </cell>
          <cell r="R48">
            <v>289001.26</v>
          </cell>
          <cell r="S48">
            <v>0.14999629411764703</v>
          </cell>
          <cell r="T48">
            <v>0.35559623529411766</v>
          </cell>
          <cell r="U48">
            <v>1413</v>
          </cell>
          <cell r="V48">
            <v>1097.5</v>
          </cell>
          <cell r="W48">
            <v>488.4</v>
          </cell>
          <cell r="X48">
            <v>0</v>
          </cell>
          <cell r="Y48">
            <v>0</v>
          </cell>
          <cell r="Z48">
            <v>0</v>
          </cell>
          <cell r="AA48">
            <v>135648</v>
          </cell>
          <cell r="AB48">
            <v>66245.7</v>
          </cell>
          <cell r="AC48">
            <v>0</v>
          </cell>
          <cell r="AD48">
            <v>0.51163526185421093</v>
          </cell>
          <cell r="AE48">
            <v>162352</v>
          </cell>
          <cell r="AF48">
            <v>222755.56000000003</v>
          </cell>
          <cell r="AG48">
            <v>222755.56000000003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29.039999999979045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-0.37205306987286901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328500</v>
          </cell>
          <cell r="AZ48">
            <v>294734.49712762731</v>
          </cell>
          <cell r="BA48">
            <v>45265.502872372686</v>
          </cell>
          <cell r="BB48">
            <v>289001.26</v>
          </cell>
          <cell r="BC48">
            <v>0</v>
          </cell>
          <cell r="BD48">
            <v>1</v>
          </cell>
          <cell r="BE48">
            <v>0.9661764705882353</v>
          </cell>
          <cell r="BF48">
            <v>0</v>
          </cell>
          <cell r="BG48">
            <v>11499.999999999996</v>
          </cell>
          <cell r="BH48">
            <v>0</v>
          </cell>
          <cell r="BI48">
            <v>96</v>
          </cell>
          <cell r="BJ48">
            <v>1</v>
          </cell>
          <cell r="BK48">
            <v>42000</v>
          </cell>
          <cell r="BL48">
            <v>29.039999999949941</v>
          </cell>
          <cell r="BM48">
            <v>0</v>
          </cell>
          <cell r="BN48">
            <v>45265.502872372686</v>
          </cell>
          <cell r="BO48">
            <v>3106.8300000000163</v>
          </cell>
          <cell r="BP48">
            <v>42158.67287237267</v>
          </cell>
          <cell r="BQ48">
            <v>36000</v>
          </cell>
          <cell r="BR48">
            <v>5.8207660913467407E-11</v>
          </cell>
          <cell r="BS48">
            <v>29.039999999979045</v>
          </cell>
          <cell r="BT48">
            <v>-29.039999999920838</v>
          </cell>
          <cell r="BU48">
            <v>0</v>
          </cell>
          <cell r="BV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3106.8300000000454</v>
          </cell>
        </row>
        <row r="49">
          <cell r="H49" t="str">
            <v>C212811-M</v>
          </cell>
          <cell r="I49" t="str">
            <v xml:space="preserve">Configuration 3 layout H160 - </v>
          </cell>
          <cell r="J49" t="str">
            <v xml:space="preserve">21080                         </v>
          </cell>
          <cell r="K49" t="str">
            <v xml:space="preserve">BABCOCK INTERNATIONAL FRANCE AVIATION </v>
          </cell>
          <cell r="L49" t="str">
            <v>LUD</v>
          </cell>
          <cell r="M49">
            <v>44470</v>
          </cell>
          <cell r="N49" t="str">
            <v/>
          </cell>
          <cell r="O49">
            <v>129247.49</v>
          </cell>
          <cell r="P49">
            <v>16772</v>
          </cell>
          <cell r="Q49">
            <v>50538.259999999995</v>
          </cell>
          <cell r="R49">
            <v>50538.259999999995</v>
          </cell>
          <cell r="S49">
            <v>0.60898072372624035</v>
          </cell>
          <cell r="T49">
            <v>0.50105868980511725</v>
          </cell>
          <cell r="U49">
            <v>665.14666666666665</v>
          </cell>
          <cell r="V49">
            <v>555</v>
          </cell>
          <cell r="W49">
            <v>84</v>
          </cell>
          <cell r="X49">
            <v>0</v>
          </cell>
          <cell r="Y49">
            <v>0</v>
          </cell>
          <cell r="Z49">
            <v>-4</v>
          </cell>
          <cell r="AA49">
            <v>99772</v>
          </cell>
          <cell r="AB49">
            <v>25677</v>
          </cell>
          <cell r="AC49">
            <v>0</v>
          </cell>
          <cell r="AD49">
            <v>0.74264322655654891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29475.49</v>
          </cell>
          <cell r="AT49">
            <v>24861.259999999995</v>
          </cell>
          <cell r="AU49">
            <v>0</v>
          </cell>
          <cell r="AV49">
            <v>0</v>
          </cell>
          <cell r="AW49">
            <v>195.66999999999825</v>
          </cell>
          <cell r="AX49">
            <v>0.15654464098815679</v>
          </cell>
          <cell r="AY49">
            <v>100286.65000000001</v>
          </cell>
          <cell r="AZ49">
            <v>100719.07549999999</v>
          </cell>
          <cell r="BA49">
            <v>28528.414500000014</v>
          </cell>
          <cell r="BB49">
            <v>50538.259999999995</v>
          </cell>
          <cell r="BC49">
            <v>0</v>
          </cell>
          <cell r="BD49">
            <v>1</v>
          </cell>
          <cell r="BE49">
            <v>0.77592725398381046</v>
          </cell>
          <cell r="BF49">
            <v>0</v>
          </cell>
          <cell r="BG49">
            <v>28960.84</v>
          </cell>
          <cell r="BH49">
            <v>0</v>
          </cell>
          <cell r="BI49">
            <v>133.33333333333334</v>
          </cell>
          <cell r="BJ49">
            <v>1</v>
          </cell>
          <cell r="BK49">
            <v>3.637978807091713E-12</v>
          </cell>
          <cell r="BL49">
            <v>39.669999999998254</v>
          </cell>
          <cell r="BM49">
            <v>0</v>
          </cell>
          <cell r="BN49">
            <v>28528.414500000014</v>
          </cell>
          <cell r="BO49">
            <v>12567.589999999997</v>
          </cell>
          <cell r="BP49">
            <v>15960.824500000017</v>
          </cell>
          <cell r="BQ49">
            <v>11291.699999999997</v>
          </cell>
          <cell r="BR49">
            <v>16772</v>
          </cell>
          <cell r="BS49">
            <v>39.669999999998254</v>
          </cell>
          <cell r="BT49">
            <v>16732.330000000002</v>
          </cell>
          <cell r="BU49">
            <v>0</v>
          </cell>
          <cell r="BV49">
            <v>0</v>
          </cell>
          <cell r="BX49">
            <v>0</v>
          </cell>
          <cell r="BY49">
            <v>219</v>
          </cell>
          <cell r="BZ49">
            <v>0</v>
          </cell>
          <cell r="CA49">
            <v>4026.5899999999929</v>
          </cell>
        </row>
        <row r="50">
          <cell r="H50" t="str">
            <v>C212812</v>
          </cell>
          <cell r="I50" t="str">
            <v xml:space="preserve">NVIS COMPATILITY H160         </v>
          </cell>
          <cell r="J50" t="str">
            <v xml:space="preserve">21084                         </v>
          </cell>
          <cell r="K50" t="str">
            <v xml:space="preserve">BABCOCK INTERNATIONAL FRANCE AVIATION </v>
          </cell>
          <cell r="L50" t="str">
            <v>LUD</v>
          </cell>
          <cell r="M50">
            <v>44333</v>
          </cell>
          <cell r="N50">
            <v>45085</v>
          </cell>
          <cell r="O50">
            <v>34000</v>
          </cell>
          <cell r="P50">
            <v>0</v>
          </cell>
          <cell r="Q50">
            <v>17226.5</v>
          </cell>
          <cell r="R50">
            <v>17226.5</v>
          </cell>
          <cell r="S50">
            <v>0.49333823529411769</v>
          </cell>
          <cell r="T50">
            <v>0.53150000000000008</v>
          </cell>
          <cell r="U50">
            <v>290</v>
          </cell>
          <cell r="V50">
            <v>327.5</v>
          </cell>
          <cell r="W50">
            <v>84</v>
          </cell>
          <cell r="X50">
            <v>0</v>
          </cell>
          <cell r="Y50">
            <v>0</v>
          </cell>
          <cell r="Z50">
            <v>0</v>
          </cell>
          <cell r="AA50">
            <v>28900.000000000004</v>
          </cell>
          <cell r="AB50">
            <v>16804.5</v>
          </cell>
          <cell r="AC50">
            <v>0</v>
          </cell>
          <cell r="AD50">
            <v>0.41852941176470593</v>
          </cell>
          <cell r="AE50">
            <v>0</v>
          </cell>
          <cell r="AF50">
            <v>422</v>
          </cell>
          <cell r="AG50">
            <v>422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33660</v>
          </cell>
          <cell r="AZ50">
            <v>26175.286419814987</v>
          </cell>
          <cell r="BA50">
            <v>7824.7135801850127</v>
          </cell>
          <cell r="BB50">
            <v>17226.5</v>
          </cell>
          <cell r="BC50">
            <v>0</v>
          </cell>
          <cell r="BD50">
            <v>1</v>
          </cell>
          <cell r="BE50">
            <v>0.99</v>
          </cell>
          <cell r="BF50">
            <v>0</v>
          </cell>
          <cell r="BG50">
            <v>340.00000000000028</v>
          </cell>
          <cell r="BH50">
            <v>0</v>
          </cell>
          <cell r="BI50">
            <v>99.65517241379311</v>
          </cell>
          <cell r="BJ50">
            <v>1</v>
          </cell>
          <cell r="BK50">
            <v>5099.9999999999964</v>
          </cell>
          <cell r="BL50">
            <v>0</v>
          </cell>
          <cell r="BM50">
            <v>0</v>
          </cell>
          <cell r="BN50">
            <v>7824.7135801850127</v>
          </cell>
          <cell r="BO50">
            <v>1872</v>
          </cell>
          <cell r="BP50">
            <v>5952.7135801850127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X50">
            <v>0</v>
          </cell>
          <cell r="BY50">
            <v>48</v>
          </cell>
          <cell r="BZ50">
            <v>0</v>
          </cell>
          <cell r="CA50">
            <v>0</v>
          </cell>
        </row>
        <row r="51">
          <cell r="H51" t="str">
            <v>C212814</v>
          </cell>
          <cell r="I51" t="str">
            <v xml:space="preserve">Ballistic protection H160     </v>
          </cell>
          <cell r="J51" t="str">
            <v xml:space="preserve">21085                         </v>
          </cell>
          <cell r="K51" t="str">
            <v xml:space="preserve">BABCOCK INTERNATIONAL FRANCE AVIATION </v>
          </cell>
          <cell r="L51" t="str">
            <v>LUD</v>
          </cell>
          <cell r="M51">
            <v>44333</v>
          </cell>
          <cell r="N51">
            <v>44950</v>
          </cell>
          <cell r="O51">
            <v>513569.24</v>
          </cell>
          <cell r="P51">
            <v>0</v>
          </cell>
          <cell r="Q51">
            <v>227030.16999900001</v>
          </cell>
          <cell r="R51">
            <v>227030.16999999998</v>
          </cell>
          <cell r="S51">
            <v>0.55793657930330864</v>
          </cell>
          <cell r="T51">
            <v>0.30118736862044149</v>
          </cell>
          <cell r="U51">
            <v>1435.8125</v>
          </cell>
          <cell r="V51">
            <v>803.5</v>
          </cell>
          <cell r="W51">
            <v>206.79999999999995</v>
          </cell>
          <cell r="X51">
            <v>0</v>
          </cell>
          <cell r="Y51">
            <v>0</v>
          </cell>
          <cell r="Z51">
            <v>0</v>
          </cell>
          <cell r="AA51">
            <v>133248</v>
          </cell>
          <cell r="AB51">
            <v>41262.899999999994</v>
          </cell>
          <cell r="AC51">
            <v>0</v>
          </cell>
          <cell r="AD51">
            <v>0.69033006123919316</v>
          </cell>
          <cell r="AE51">
            <v>314946.37</v>
          </cell>
          <cell r="AF51">
            <v>185767.26999900001</v>
          </cell>
          <cell r="AG51">
            <v>185767.27</v>
          </cell>
          <cell r="AH51">
            <v>-9.9997851066291332E-7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0.4101622126998955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510725.32</v>
          </cell>
          <cell r="AZ51">
            <v>353654.37897319015</v>
          </cell>
          <cell r="BA51">
            <v>159914.84971847764</v>
          </cell>
          <cell r="BB51">
            <v>227030.16999999998</v>
          </cell>
          <cell r="BC51">
            <v>4.9990000206889817E-3</v>
          </cell>
          <cell r="BD51">
            <v>0.99999997798090046</v>
          </cell>
          <cell r="BE51">
            <v>0.99446244093590963</v>
          </cell>
          <cell r="BF51">
            <v>0</v>
          </cell>
          <cell r="BG51">
            <v>2843.9086916677843</v>
          </cell>
          <cell r="BH51">
            <v>4.9999999991996447E-3</v>
          </cell>
          <cell r="BI51">
            <v>96</v>
          </cell>
          <cell r="BJ51">
            <v>1</v>
          </cell>
          <cell r="BK51">
            <v>65374.864999999998</v>
          </cell>
          <cell r="BL51">
            <v>5.4569682106375694E-12</v>
          </cell>
          <cell r="BM51">
            <v>0</v>
          </cell>
          <cell r="BN51">
            <v>159914.84971847764</v>
          </cell>
          <cell r="BO51">
            <v>32610.819999999978</v>
          </cell>
          <cell r="BP51">
            <v>127304.02971847766</v>
          </cell>
          <cell r="BQ51">
            <v>164553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1.1308332206681371E-2</v>
          </cell>
          <cell r="BX51">
            <v>0</v>
          </cell>
          <cell r="BY51">
            <v>75</v>
          </cell>
          <cell r="BZ51">
            <v>58.799999999999955</v>
          </cell>
          <cell r="CA51">
            <v>26863.419999999984</v>
          </cell>
        </row>
        <row r="52">
          <cell r="H52" t="str">
            <v>C212845</v>
          </cell>
          <cell r="I52" t="str">
            <v>A321 Cargo On Floor Installati</v>
          </cell>
          <cell r="J52" t="str">
            <v xml:space="preserve">21023                         </v>
          </cell>
          <cell r="K52" t="str">
            <v xml:space="preserve">UUDS AERO </v>
          </cell>
          <cell r="L52" t="str">
            <v>VGA</v>
          </cell>
          <cell r="M52">
            <v>44228</v>
          </cell>
          <cell r="N52">
            <v>44902</v>
          </cell>
          <cell r="O52">
            <v>15000</v>
          </cell>
          <cell r="P52">
            <v>0</v>
          </cell>
          <cell r="Q52">
            <v>27560.32</v>
          </cell>
          <cell r="R52">
            <v>27560.32</v>
          </cell>
          <cell r="S52">
            <v>-0.83735466666666669</v>
          </cell>
          <cell r="T52">
            <v>0.3508</v>
          </cell>
          <cell r="U52">
            <v>60</v>
          </cell>
          <cell r="V52">
            <v>93.5</v>
          </cell>
          <cell r="W52">
            <v>154.5</v>
          </cell>
          <cell r="X52">
            <v>0</v>
          </cell>
          <cell r="Y52">
            <v>0</v>
          </cell>
          <cell r="Z52">
            <v>0</v>
          </cell>
          <cell r="AA52">
            <v>5800</v>
          </cell>
          <cell r="AB52">
            <v>11062.5</v>
          </cell>
          <cell r="AC52">
            <v>0</v>
          </cell>
          <cell r="AD52">
            <v>-0.90732758620689657</v>
          </cell>
          <cell r="AE52">
            <v>14200</v>
          </cell>
          <cell r="AF52">
            <v>16497.82</v>
          </cell>
          <cell r="AG52">
            <v>16497.82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-0.16181830985915502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15000</v>
          </cell>
          <cell r="AZ52">
            <v>15000</v>
          </cell>
          <cell r="BA52">
            <v>0</v>
          </cell>
          <cell r="BB52">
            <v>27560.32</v>
          </cell>
          <cell r="BC52">
            <v>0</v>
          </cell>
          <cell r="BD52">
            <v>1</v>
          </cell>
          <cell r="BE52">
            <v>1</v>
          </cell>
          <cell r="BF52">
            <v>0</v>
          </cell>
          <cell r="BG52">
            <v>0</v>
          </cell>
          <cell r="BH52">
            <v>0</v>
          </cell>
          <cell r="BI52">
            <v>96.666666666666671</v>
          </cell>
          <cell r="BJ52">
            <v>1</v>
          </cell>
          <cell r="BK52">
            <v>-5000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</row>
        <row r="53">
          <cell r="H53" t="str">
            <v>C212875</v>
          </cell>
          <cell r="I53" t="str">
            <v>F900 x4 Stretchers Installatio</v>
          </cell>
          <cell r="J53" t="str">
            <v xml:space="preserve">21044                         </v>
          </cell>
          <cell r="K53" t="str">
            <v xml:space="preserve">UUDS AERO </v>
          </cell>
          <cell r="L53" t="str">
            <v>VGA</v>
          </cell>
          <cell r="M53">
            <v>44256</v>
          </cell>
          <cell r="N53">
            <v>44952</v>
          </cell>
          <cell r="O53">
            <v>76000</v>
          </cell>
          <cell r="P53">
            <v>0</v>
          </cell>
          <cell r="Q53">
            <v>77155.469999999987</v>
          </cell>
          <cell r="R53">
            <v>77155.469999999987</v>
          </cell>
          <cell r="S53">
            <v>-1.5203552631578798E-2</v>
          </cell>
          <cell r="T53">
            <v>0.43605263157894736</v>
          </cell>
          <cell r="U53">
            <v>479</v>
          </cell>
          <cell r="V53">
            <v>970.5</v>
          </cell>
          <cell r="W53">
            <v>111</v>
          </cell>
          <cell r="X53">
            <v>0</v>
          </cell>
          <cell r="Y53">
            <v>0</v>
          </cell>
          <cell r="Z53">
            <v>0</v>
          </cell>
          <cell r="AA53">
            <v>46000</v>
          </cell>
          <cell r="AB53">
            <v>43177.5</v>
          </cell>
          <cell r="AC53">
            <v>0</v>
          </cell>
          <cell r="AD53">
            <v>6.1358695652173889E-2</v>
          </cell>
          <cell r="AE53">
            <v>29500</v>
          </cell>
          <cell r="AF53">
            <v>33268.18</v>
          </cell>
          <cell r="AG53">
            <v>33268.18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-0.1277349152542373</v>
          </cell>
          <cell r="AS53">
            <v>500</v>
          </cell>
          <cell r="AT53">
            <v>709.79</v>
          </cell>
          <cell r="AU53">
            <v>0</v>
          </cell>
          <cell r="AV53">
            <v>0</v>
          </cell>
          <cell r="AW53">
            <v>0</v>
          </cell>
          <cell r="AX53">
            <v>-0.41957999999999984</v>
          </cell>
          <cell r="AY53">
            <v>76000</v>
          </cell>
          <cell r="AZ53">
            <v>76000</v>
          </cell>
          <cell r="BA53">
            <v>0</v>
          </cell>
          <cell r="BB53">
            <v>77155.469999999987</v>
          </cell>
          <cell r="BC53">
            <v>0</v>
          </cell>
          <cell r="BD53">
            <v>1</v>
          </cell>
          <cell r="BE53">
            <v>1</v>
          </cell>
          <cell r="BF53">
            <v>0</v>
          </cell>
          <cell r="BG53">
            <v>0</v>
          </cell>
          <cell r="BH53">
            <v>0</v>
          </cell>
          <cell r="BI53">
            <v>96.033402922755741</v>
          </cell>
          <cell r="BJ53">
            <v>1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-2373.8000000000175</v>
          </cell>
          <cell r="BP53">
            <v>2373.8000000000175</v>
          </cell>
          <cell r="BQ53">
            <v>39000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-2373.8000000000029</v>
          </cell>
        </row>
        <row r="54">
          <cell r="H54" t="str">
            <v>C212909</v>
          </cell>
          <cell r="I54" t="str">
            <v>Installation civière et bac de</v>
          </cell>
          <cell r="J54" t="str">
            <v xml:space="preserve">21129-21130-21138             </v>
          </cell>
          <cell r="K54" t="str">
            <v>TRANSACO SAS</v>
          </cell>
          <cell r="L54" t="str">
            <v>PMI</v>
          </cell>
          <cell r="M54">
            <v>44378</v>
          </cell>
          <cell r="N54">
            <v>44974</v>
          </cell>
          <cell r="O54">
            <v>75162.66</v>
          </cell>
          <cell r="P54">
            <v>0</v>
          </cell>
          <cell r="Q54">
            <v>52488.3</v>
          </cell>
          <cell r="R54">
            <v>52488.3</v>
          </cell>
          <cell r="S54">
            <v>0.30167053693948565</v>
          </cell>
          <cell r="T54">
            <v>0.5431214382247781</v>
          </cell>
          <cell r="U54">
            <v>688.83333333333337</v>
          </cell>
          <cell r="V54">
            <v>670</v>
          </cell>
          <cell r="W54">
            <v>134.5</v>
          </cell>
          <cell r="X54">
            <v>0</v>
          </cell>
          <cell r="Y54">
            <v>0</v>
          </cell>
          <cell r="Z54">
            <v>0</v>
          </cell>
          <cell r="AA54">
            <v>66128</v>
          </cell>
          <cell r="AB54">
            <v>32586</v>
          </cell>
          <cell r="AC54">
            <v>0</v>
          </cell>
          <cell r="AD54">
            <v>0.50722840551657389</v>
          </cell>
          <cell r="AE54">
            <v>9034.66</v>
          </cell>
          <cell r="AF54">
            <v>19902.3</v>
          </cell>
          <cell r="AG54">
            <v>19902.300000000003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-1.2028831190105658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75162.66</v>
          </cell>
          <cell r="AZ54">
            <v>70123.400936956881</v>
          </cell>
          <cell r="BA54">
            <v>5039.2590630431223</v>
          </cell>
          <cell r="BB54">
            <v>52488.3</v>
          </cell>
          <cell r="BC54">
            <v>-3.637978807091713E-12</v>
          </cell>
          <cell r="BD54">
            <v>1</v>
          </cell>
          <cell r="BE54">
            <v>1</v>
          </cell>
          <cell r="BF54">
            <v>0</v>
          </cell>
          <cell r="BG54">
            <v>0</v>
          </cell>
          <cell r="BH54">
            <v>0</v>
          </cell>
          <cell r="BI54">
            <v>96</v>
          </cell>
          <cell r="BJ54">
            <v>1</v>
          </cell>
          <cell r="BK54">
            <v>3.637978807091713E-12</v>
          </cell>
          <cell r="BL54">
            <v>3.637978807091713E-12</v>
          </cell>
          <cell r="BM54">
            <v>0</v>
          </cell>
          <cell r="BN54">
            <v>5039.2590630431223</v>
          </cell>
          <cell r="BO54">
            <v>8286</v>
          </cell>
          <cell r="BP54">
            <v>-3246.7409369568777</v>
          </cell>
          <cell r="BQ54">
            <v>15548.800000000003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X54">
            <v>0</v>
          </cell>
          <cell r="BY54">
            <v>194</v>
          </cell>
          <cell r="BZ54">
            <v>15</v>
          </cell>
          <cell r="CA54">
            <v>0</v>
          </cell>
        </row>
        <row r="55">
          <cell r="H55" t="str">
            <v>C212935</v>
          </cell>
          <cell r="I55" t="str">
            <v>B777 Cargo On Seat Installatio</v>
          </cell>
          <cell r="J55" t="str">
            <v xml:space="preserve">21101                         </v>
          </cell>
          <cell r="K55" t="str">
            <v xml:space="preserve">AIR AUSTRAL </v>
          </cell>
          <cell r="L55" t="str">
            <v>TPA</v>
          </cell>
          <cell r="M55">
            <v>44317</v>
          </cell>
          <cell r="N55" t="str">
            <v/>
          </cell>
          <cell r="O55">
            <v>31500</v>
          </cell>
          <cell r="P55">
            <v>-4833.3333333333358</v>
          </cell>
          <cell r="Q55">
            <v>33543.25</v>
          </cell>
          <cell r="R55">
            <v>33543.25</v>
          </cell>
          <cell r="S55">
            <v>-7.7055555555555655E-2</v>
          </cell>
          <cell r="T55">
            <v>0.37952380952380949</v>
          </cell>
          <cell r="U55">
            <v>302</v>
          </cell>
          <cell r="V55">
            <v>133</v>
          </cell>
          <cell r="W55">
            <v>228</v>
          </cell>
          <cell r="X55">
            <v>8</v>
          </cell>
          <cell r="Y55">
            <v>8</v>
          </cell>
          <cell r="Z55">
            <v>0</v>
          </cell>
          <cell r="AA55">
            <v>14500</v>
          </cell>
          <cell r="AB55">
            <v>16131</v>
          </cell>
          <cell r="AC55">
            <v>384</v>
          </cell>
          <cell r="AD55">
            <v>-0.13896551724137929</v>
          </cell>
          <cell r="AE55">
            <v>17000</v>
          </cell>
          <cell r="AF55">
            <v>17412.25</v>
          </cell>
          <cell r="AG55">
            <v>17412.25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-2.4250000000000105E-2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16000</v>
          </cell>
          <cell r="AZ55">
            <v>45223.42958886845</v>
          </cell>
          <cell r="BA55">
            <v>-14079.9571588896</v>
          </cell>
          <cell r="BB55">
            <v>33543.25</v>
          </cell>
          <cell r="BC55">
            <v>384</v>
          </cell>
          <cell r="BD55">
            <v>0.98868166444377303</v>
          </cell>
          <cell r="BE55">
            <v>0.50793650793650791</v>
          </cell>
          <cell r="BF55">
            <v>0</v>
          </cell>
          <cell r="BG55">
            <v>15143.472429978852</v>
          </cell>
          <cell r="BH55">
            <v>0</v>
          </cell>
          <cell r="BI55">
            <v>96.026490066225165</v>
          </cell>
          <cell r="BJ55">
            <v>1</v>
          </cell>
          <cell r="BK55">
            <v>0</v>
          </cell>
          <cell r="BL55">
            <v>0</v>
          </cell>
          <cell r="BM55">
            <v>0</v>
          </cell>
          <cell r="BN55">
            <v>-14079.9571588896</v>
          </cell>
          <cell r="BO55">
            <v>0</v>
          </cell>
          <cell r="BP55">
            <v>-14079.9571588896</v>
          </cell>
          <cell r="BQ55">
            <v>0</v>
          </cell>
          <cell r="BR55">
            <v>-4778.6280448115722</v>
          </cell>
          <cell r="BS55">
            <v>0</v>
          </cell>
          <cell r="BT55">
            <v>-4778.6280448115722</v>
          </cell>
          <cell r="BU55">
            <v>0</v>
          </cell>
          <cell r="BV55">
            <v>356.52757002114959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</row>
        <row r="56">
          <cell r="H56" t="str">
            <v>C212937</v>
          </cell>
          <cell r="I56" t="str">
            <v xml:space="preserve">Vocal alerter N3 SN 6760      </v>
          </cell>
          <cell r="J56" t="str">
            <v xml:space="preserve">21107                         </v>
          </cell>
          <cell r="K56" t="str">
            <v xml:space="preserve">MBH </v>
          </cell>
          <cell r="L56" t="str">
            <v>TBI</v>
          </cell>
          <cell r="M56">
            <v>44317</v>
          </cell>
          <cell r="N56" t="str">
            <v/>
          </cell>
          <cell r="O56">
            <v>3900</v>
          </cell>
          <cell r="P56">
            <v>0</v>
          </cell>
          <cell r="Q56">
            <v>2262</v>
          </cell>
          <cell r="R56">
            <v>2262</v>
          </cell>
          <cell r="S56">
            <v>0.23538461538461541</v>
          </cell>
          <cell r="T56">
            <v>0.59</v>
          </cell>
          <cell r="U56">
            <v>40</v>
          </cell>
          <cell r="V56">
            <v>58</v>
          </cell>
          <cell r="W56">
            <v>0</v>
          </cell>
          <cell r="X56">
            <v>15</v>
          </cell>
          <cell r="Y56">
            <v>15</v>
          </cell>
          <cell r="Z56">
            <v>0</v>
          </cell>
          <cell r="AA56">
            <v>3900</v>
          </cell>
          <cell r="AB56">
            <v>2262</v>
          </cell>
          <cell r="AC56">
            <v>720</v>
          </cell>
          <cell r="AD56">
            <v>0.23538461538461541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1950</v>
          </cell>
          <cell r="AZ56">
            <v>3900</v>
          </cell>
          <cell r="BA56">
            <v>0</v>
          </cell>
          <cell r="BB56">
            <v>2262</v>
          </cell>
          <cell r="BC56">
            <v>720</v>
          </cell>
          <cell r="BD56">
            <v>1</v>
          </cell>
          <cell r="BE56">
            <v>0.5</v>
          </cell>
          <cell r="BF56">
            <v>0</v>
          </cell>
          <cell r="BG56">
            <v>1950</v>
          </cell>
          <cell r="BH56">
            <v>0</v>
          </cell>
          <cell r="BI56">
            <v>97.5</v>
          </cell>
          <cell r="BJ56">
            <v>1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195</v>
          </cell>
          <cell r="BP56">
            <v>-195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X56">
            <v>0</v>
          </cell>
          <cell r="BY56">
            <v>5</v>
          </cell>
          <cell r="BZ56">
            <v>0</v>
          </cell>
          <cell r="CA56">
            <v>0</v>
          </cell>
        </row>
        <row r="57">
          <cell r="H57" t="str">
            <v>C213009</v>
          </cell>
          <cell r="I57" t="str">
            <v xml:space="preserve">Legacy 600 Cabin Refurbish    </v>
          </cell>
          <cell r="J57" t="str">
            <v xml:space="preserve">21112                         </v>
          </cell>
          <cell r="K57" t="str">
            <v xml:space="preserve">AERO DESIGN </v>
          </cell>
          <cell r="L57" t="str">
            <v>VGA</v>
          </cell>
          <cell r="M57">
            <v>44348</v>
          </cell>
          <cell r="N57">
            <v>44812</v>
          </cell>
          <cell r="O57">
            <v>12400</v>
          </cell>
          <cell r="P57">
            <v>0</v>
          </cell>
          <cell r="Q57">
            <v>6508.5</v>
          </cell>
          <cell r="R57">
            <v>6508.5</v>
          </cell>
          <cell r="S57">
            <v>0.47512096774193546</v>
          </cell>
          <cell r="T57">
            <v>0.59</v>
          </cell>
          <cell r="U57">
            <v>129</v>
          </cell>
          <cell r="V57">
            <v>23.5</v>
          </cell>
          <cell r="W57">
            <v>116.5</v>
          </cell>
          <cell r="X57">
            <v>0</v>
          </cell>
          <cell r="Y57">
            <v>0</v>
          </cell>
          <cell r="Z57">
            <v>0</v>
          </cell>
          <cell r="AA57">
            <v>12400</v>
          </cell>
          <cell r="AB57">
            <v>6508.5</v>
          </cell>
          <cell r="AC57">
            <v>0</v>
          </cell>
          <cell r="AD57">
            <v>0.47512096774193546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6200</v>
          </cell>
          <cell r="AZ57">
            <v>12400</v>
          </cell>
          <cell r="BA57">
            <v>0</v>
          </cell>
          <cell r="BB57">
            <v>6508.5</v>
          </cell>
          <cell r="BC57">
            <v>0</v>
          </cell>
          <cell r="BD57">
            <v>1</v>
          </cell>
          <cell r="BE57">
            <v>0.5</v>
          </cell>
          <cell r="BF57">
            <v>0</v>
          </cell>
          <cell r="BG57">
            <v>6200</v>
          </cell>
          <cell r="BH57">
            <v>0</v>
          </cell>
          <cell r="BI57">
            <v>96.124031007751938</v>
          </cell>
          <cell r="BJ57">
            <v>1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</row>
        <row r="58">
          <cell r="H58" t="str">
            <v>C213028</v>
          </cell>
          <cell r="I58" t="str">
            <v>B777 AFR Cargo On Floor Instal</v>
          </cell>
          <cell r="J58" t="str">
            <v xml:space="preserve">21121                         </v>
          </cell>
          <cell r="K58" t="str">
            <v xml:space="preserve">UUDS AERO </v>
          </cell>
          <cell r="L58" t="str">
            <v>TPA</v>
          </cell>
          <cell r="M58">
            <v>44399</v>
          </cell>
          <cell r="N58">
            <v>44655</v>
          </cell>
          <cell r="O58">
            <v>14500</v>
          </cell>
          <cell r="P58">
            <v>0</v>
          </cell>
          <cell r="Q58">
            <v>4785</v>
          </cell>
          <cell r="R58">
            <v>4785</v>
          </cell>
          <cell r="S58">
            <v>0.66999999999999993</v>
          </cell>
          <cell r="T58">
            <v>0.58999999953019122</v>
          </cell>
          <cell r="U58">
            <v>150.93181799999999</v>
          </cell>
          <cell r="V58">
            <v>87</v>
          </cell>
          <cell r="W58">
            <v>29</v>
          </cell>
          <cell r="X58">
            <v>0</v>
          </cell>
          <cell r="Y58">
            <v>0</v>
          </cell>
          <cell r="Z58">
            <v>0</v>
          </cell>
          <cell r="AA58">
            <v>14499.99998253275</v>
          </cell>
          <cell r="AB58">
            <v>4785</v>
          </cell>
          <cell r="AC58">
            <v>0</v>
          </cell>
          <cell r="AD58">
            <v>0.66999999960246948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14500</v>
          </cell>
          <cell r="AZ58">
            <v>14500</v>
          </cell>
          <cell r="BA58">
            <v>0</v>
          </cell>
          <cell r="BB58">
            <v>4785</v>
          </cell>
          <cell r="BC58">
            <v>0</v>
          </cell>
          <cell r="BD58">
            <v>1</v>
          </cell>
          <cell r="BE58">
            <v>1</v>
          </cell>
          <cell r="BF58">
            <v>0</v>
          </cell>
          <cell r="BG58">
            <v>0</v>
          </cell>
          <cell r="BH58">
            <v>0</v>
          </cell>
          <cell r="BI58">
            <v>96.069868995633186</v>
          </cell>
          <cell r="BJ58">
            <v>1</v>
          </cell>
          <cell r="BK58">
            <v>1.7467249563196674E-5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</row>
        <row r="59">
          <cell r="H59" t="str">
            <v>C213086</v>
          </cell>
          <cell r="I59" t="str">
            <v>H160GN - PROTEC BALISTIQUE</v>
          </cell>
          <cell r="J59" t="str">
            <v xml:space="preserve">                              </v>
          </cell>
          <cell r="K59" t="str">
            <v xml:space="preserve">BABCOCK INTERNATIONAL FRANCE AVIATION </v>
          </cell>
          <cell r="L59" t="str">
            <v>LUD</v>
          </cell>
          <cell r="M59">
            <v>44662</v>
          </cell>
          <cell r="N59" t="str">
            <v/>
          </cell>
          <cell r="O59">
            <v>771002.99999999965</v>
          </cell>
          <cell r="P59">
            <v>2500</v>
          </cell>
          <cell r="Q59">
            <v>153404.5</v>
          </cell>
          <cell r="R59">
            <v>43614.5</v>
          </cell>
          <cell r="S59">
            <v>0.33913624525455799</v>
          </cell>
          <cell r="T59">
            <v>0.30855463597417909</v>
          </cell>
          <cell r="U59">
            <v>1922.9687499999964</v>
          </cell>
          <cell r="V59">
            <v>634.5</v>
          </cell>
          <cell r="W59">
            <v>16</v>
          </cell>
          <cell r="X59">
            <v>1272.4687499999964</v>
          </cell>
          <cell r="Y59">
            <v>1280.4687499999964</v>
          </cell>
          <cell r="Z59">
            <v>8</v>
          </cell>
          <cell r="AA59">
            <v>214605</v>
          </cell>
          <cell r="AB59">
            <v>26814.5</v>
          </cell>
          <cell r="AC59">
            <v>63623.437499999818</v>
          </cell>
          <cell r="AD59">
            <v>0.57858420120686926</v>
          </cell>
          <cell r="AE59">
            <v>526398</v>
          </cell>
          <cell r="AF59">
            <v>126590</v>
          </cell>
          <cell r="AG59">
            <v>16800</v>
          </cell>
          <cell r="AH59">
            <v>109790</v>
          </cell>
          <cell r="AI59">
            <v>0</v>
          </cell>
          <cell r="AJ59">
            <v>82500</v>
          </cell>
          <cell r="AK59">
            <v>82500</v>
          </cell>
          <cell r="AL59">
            <v>0</v>
          </cell>
          <cell r="AM59">
            <v>0</v>
          </cell>
          <cell r="AN59">
            <v>0</v>
          </cell>
          <cell r="AO59">
            <v>180000</v>
          </cell>
          <cell r="AP59">
            <v>180000</v>
          </cell>
          <cell r="AQ59">
            <v>0</v>
          </cell>
          <cell r="AR59">
            <v>0.26084445609595786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327580.49999999988</v>
          </cell>
          <cell r="AZ59">
            <v>64767.762817839655</v>
          </cell>
          <cell r="BA59">
            <v>31228.44243145542</v>
          </cell>
          <cell r="BB59">
            <v>43614.5</v>
          </cell>
          <cell r="BC59">
            <v>465913.43749999983</v>
          </cell>
          <cell r="BD59">
            <v>0.12450821235364209</v>
          </cell>
          <cell r="BE59">
            <v>0.42487577869346815</v>
          </cell>
          <cell r="BF59">
            <v>-231584.29475070484</v>
          </cell>
          <cell r="BG59">
            <v>0</v>
          </cell>
          <cell r="BH59">
            <v>30000</v>
          </cell>
          <cell r="BI59">
            <v>96</v>
          </cell>
          <cell r="BJ59">
            <v>0.39429159160210808</v>
          </cell>
          <cell r="BK59">
            <v>-3.4924596548080444E-10</v>
          </cell>
          <cell r="BL59">
            <v>-10072</v>
          </cell>
          <cell r="BM59">
            <v>5.4169954186307767E-3</v>
          </cell>
          <cell r="BN59">
            <v>31228.44243145542</v>
          </cell>
          <cell r="BO59">
            <v>1701.5</v>
          </cell>
          <cell r="BP59">
            <v>29526.94243145542</v>
          </cell>
          <cell r="BQ59">
            <v>0</v>
          </cell>
          <cell r="BR59">
            <v>4474.2477610881178</v>
          </cell>
          <cell r="BS59">
            <v>328</v>
          </cell>
          <cell r="BT59">
            <v>4146.2477610881178</v>
          </cell>
          <cell r="BU59">
            <v>0</v>
          </cell>
          <cell r="BV59">
            <v>208003.79475070492</v>
          </cell>
          <cell r="BX59">
            <v>467002.99999999977</v>
          </cell>
          <cell r="BY59">
            <v>41.5</v>
          </cell>
          <cell r="BZ59">
            <v>0</v>
          </cell>
          <cell r="CA59">
            <v>0</v>
          </cell>
        </row>
        <row r="60">
          <cell r="H60" t="str">
            <v>C213087</v>
          </cell>
          <cell r="I60" t="str">
            <v xml:space="preserve">EQUILUX IFEC CABIN INSTL      </v>
          </cell>
          <cell r="J60" t="str">
            <v xml:space="preserve">21195                         </v>
          </cell>
          <cell r="K60" t="str">
            <v xml:space="preserve">AEROTEC </v>
          </cell>
          <cell r="L60" t="str">
            <v>PRO</v>
          </cell>
          <cell r="M60">
            <v>44580</v>
          </cell>
          <cell r="N60">
            <v>45022</v>
          </cell>
          <cell r="O60">
            <v>140740.31</v>
          </cell>
          <cell r="P60">
            <v>0</v>
          </cell>
          <cell r="Q60">
            <v>78934.17</v>
          </cell>
          <cell r="R60">
            <v>78934.17</v>
          </cell>
          <cell r="S60">
            <v>0.43915023350453042</v>
          </cell>
          <cell r="T60">
            <v>0.56425598323607495</v>
          </cell>
          <cell r="U60">
            <v>1369.2708333333333</v>
          </cell>
          <cell r="V60">
            <v>1821</v>
          </cell>
          <cell r="W60">
            <v>9</v>
          </cell>
          <cell r="X60">
            <v>0</v>
          </cell>
          <cell r="Y60">
            <v>0</v>
          </cell>
          <cell r="Z60">
            <v>-11</v>
          </cell>
          <cell r="AA60">
            <v>131450</v>
          </cell>
          <cell r="AB60">
            <v>71451</v>
          </cell>
          <cell r="AC60">
            <v>0</v>
          </cell>
          <cell r="AD60">
            <v>0.45643971091669833</v>
          </cell>
          <cell r="AE60">
            <v>4323</v>
          </cell>
          <cell r="AF60">
            <v>4154.2300000000005</v>
          </cell>
          <cell r="AG60">
            <v>4154.2299999999996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3.9040018505667295E-2</v>
          </cell>
          <cell r="AS60">
            <v>4967.3100000000013</v>
          </cell>
          <cell r="AT60">
            <v>3328.94</v>
          </cell>
          <cell r="AU60">
            <v>0</v>
          </cell>
          <cell r="AV60">
            <v>0</v>
          </cell>
          <cell r="AW60">
            <v>-438.65999999999985</v>
          </cell>
          <cell r="AX60">
            <v>0.32983043136023338</v>
          </cell>
          <cell r="AY60">
            <v>140740.31</v>
          </cell>
          <cell r="AZ60">
            <v>135238.97533714867</v>
          </cell>
          <cell r="BA60">
            <v>5501.3346628513245</v>
          </cell>
          <cell r="BB60">
            <v>78934.17</v>
          </cell>
          <cell r="BC60">
            <v>9.0949470177292824E-13</v>
          </cell>
          <cell r="BD60">
            <v>1</v>
          </cell>
          <cell r="BE60">
            <v>1</v>
          </cell>
          <cell r="BF60">
            <v>0</v>
          </cell>
          <cell r="BG60">
            <v>0</v>
          </cell>
          <cell r="BH60">
            <v>0</v>
          </cell>
          <cell r="BI60">
            <v>96</v>
          </cell>
          <cell r="BJ60">
            <v>1</v>
          </cell>
          <cell r="BK60">
            <v>-3.637978807091713E-12</v>
          </cell>
          <cell r="BL60">
            <v>-867.6600000000044</v>
          </cell>
          <cell r="BM60">
            <v>0</v>
          </cell>
          <cell r="BN60">
            <v>5501.3346628513245</v>
          </cell>
          <cell r="BO60">
            <v>5751.4400000000023</v>
          </cell>
          <cell r="BP60">
            <v>-250.10533714867779</v>
          </cell>
          <cell r="BQ60">
            <v>11566</v>
          </cell>
          <cell r="BR60">
            <v>0</v>
          </cell>
          <cell r="BS60">
            <v>-867.66000000000349</v>
          </cell>
          <cell r="BT60">
            <v>867.66000000000349</v>
          </cell>
          <cell r="BU60">
            <v>0</v>
          </cell>
          <cell r="BV60">
            <v>0</v>
          </cell>
          <cell r="BX60">
            <v>0</v>
          </cell>
          <cell r="BY60">
            <v>140.5</v>
          </cell>
          <cell r="BZ60">
            <v>0</v>
          </cell>
          <cell r="CA60">
            <v>271.9399999999996</v>
          </cell>
        </row>
        <row r="61">
          <cell r="H61" t="str">
            <v>C213109</v>
          </cell>
          <cell r="I61" t="str">
            <v xml:space="preserve">Bambi Bucket Torrentula Phase </v>
          </cell>
          <cell r="J61" t="str">
            <v xml:space="preserve">21169-21170                   </v>
          </cell>
          <cell r="K61" t="str">
            <v>AIRTELIS</v>
          </cell>
          <cell r="L61" t="str">
            <v>TBI</v>
          </cell>
          <cell r="M61">
            <v>44495</v>
          </cell>
          <cell r="N61">
            <v>44858</v>
          </cell>
          <cell r="O61">
            <v>112964</v>
          </cell>
          <cell r="P61">
            <v>0</v>
          </cell>
          <cell r="Q61">
            <v>82156.575950999933</v>
          </cell>
          <cell r="R61">
            <v>82156.569999999963</v>
          </cell>
          <cell r="S61">
            <v>0.27271895514500255</v>
          </cell>
          <cell r="T61">
            <v>0.56531514464785237</v>
          </cell>
          <cell r="U61">
            <v>747</v>
          </cell>
          <cell r="V61">
            <v>229.99999999999994</v>
          </cell>
          <cell r="W61">
            <v>450.2499999999996</v>
          </cell>
          <cell r="X61">
            <v>0</v>
          </cell>
          <cell r="Y61">
            <v>0</v>
          </cell>
          <cell r="Z61">
            <v>0</v>
          </cell>
          <cell r="AA61">
            <v>105814</v>
          </cell>
          <cell r="AB61">
            <v>30581.999999999978</v>
          </cell>
          <cell r="AC61">
            <v>0</v>
          </cell>
          <cell r="AD61">
            <v>0.71098342374355017</v>
          </cell>
          <cell r="AE61">
            <v>6850</v>
          </cell>
          <cell r="AF61">
            <v>51386.265950999958</v>
          </cell>
          <cell r="AG61">
            <v>51386.259999999987</v>
          </cell>
          <cell r="AH61">
            <v>5.9509999700821936E-3</v>
          </cell>
          <cell r="AI61">
            <v>985.65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-6.5016446643795556</v>
          </cell>
          <cell r="AS61">
            <v>300</v>
          </cell>
          <cell r="AT61">
            <v>188.31</v>
          </cell>
          <cell r="AU61">
            <v>0</v>
          </cell>
          <cell r="AV61">
            <v>0</v>
          </cell>
          <cell r="AW61">
            <v>0</v>
          </cell>
          <cell r="AX61">
            <v>0.37229999999999996</v>
          </cell>
          <cell r="AY61">
            <v>112964</v>
          </cell>
          <cell r="AZ61">
            <v>112963.99182552008</v>
          </cell>
          <cell r="BA61">
            <v>-8.0514437286183238E-6</v>
          </cell>
          <cell r="BB61">
            <v>82156.569999999963</v>
          </cell>
          <cell r="BC61">
            <v>5.9509999700821936E-3</v>
          </cell>
          <cell r="BD61">
            <v>0.99999992756514133</v>
          </cell>
          <cell r="BE61">
            <v>1</v>
          </cell>
          <cell r="BF61">
            <v>-8.1825313744254835E-3</v>
          </cell>
          <cell r="BG61">
            <v>0</v>
          </cell>
          <cell r="BH61">
            <v>0</v>
          </cell>
          <cell r="BI61">
            <v>96.109275730622613</v>
          </cell>
          <cell r="BJ61">
            <v>1</v>
          </cell>
          <cell r="BK61">
            <v>0</v>
          </cell>
          <cell r="BL61">
            <v>-1.4551915228366852E-11</v>
          </cell>
          <cell r="BM61">
            <v>0</v>
          </cell>
          <cell r="BN61">
            <v>-8.0514437286183238E-6</v>
          </cell>
          <cell r="BO61">
            <v>-80.919999999998254</v>
          </cell>
          <cell r="BP61">
            <v>80.919991948554525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8.182531368220225E-3</v>
          </cell>
          <cell r="BX61">
            <v>0</v>
          </cell>
          <cell r="BY61">
            <v>0</v>
          </cell>
          <cell r="BZ61">
            <v>0</v>
          </cell>
          <cell r="CA61">
            <v>-80.919999999998254</v>
          </cell>
        </row>
        <row r="62">
          <cell r="H62" t="str">
            <v>C213165</v>
          </cell>
          <cell r="I62" t="str">
            <v>A320 UCS MEDEVAC CONFIGURATION</v>
          </cell>
          <cell r="J62" t="str">
            <v xml:space="preserve">                              </v>
          </cell>
          <cell r="K62" t="str">
            <v xml:space="preserve">UUDS AERO </v>
          </cell>
          <cell r="L62" t="str">
            <v>TPA</v>
          </cell>
          <cell r="M62">
            <v>44540</v>
          </cell>
          <cell r="N62">
            <v>45014</v>
          </cell>
          <cell r="O62">
            <v>29700</v>
          </cell>
          <cell r="P62">
            <v>0</v>
          </cell>
          <cell r="Q62">
            <v>24493.46</v>
          </cell>
          <cell r="R62">
            <v>24493.46</v>
          </cell>
          <cell r="S62">
            <v>0.17530437710437718</v>
          </cell>
          <cell r="T62">
            <v>0.37653527272727272</v>
          </cell>
          <cell r="U62">
            <v>140.04</v>
          </cell>
          <cell r="V62">
            <v>52</v>
          </cell>
          <cell r="W62">
            <v>135</v>
          </cell>
          <cell r="X62">
            <v>0</v>
          </cell>
          <cell r="Y62">
            <v>0</v>
          </cell>
          <cell r="Z62">
            <v>0</v>
          </cell>
          <cell r="AA62">
            <v>13443.84</v>
          </cell>
          <cell r="AB62">
            <v>8882</v>
          </cell>
          <cell r="AC62">
            <v>0</v>
          </cell>
          <cell r="AD62">
            <v>0.33932566885651716</v>
          </cell>
          <cell r="AE62">
            <v>-5743.84</v>
          </cell>
          <cell r="AF62">
            <v>15611.46</v>
          </cell>
          <cell r="AG62">
            <v>15611.46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3.7179482715395968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29700</v>
          </cell>
          <cell r="AZ62">
            <v>29700</v>
          </cell>
          <cell r="BA62">
            <v>0</v>
          </cell>
          <cell r="BB62">
            <v>24493.46</v>
          </cell>
          <cell r="BC62">
            <v>0</v>
          </cell>
          <cell r="BD62">
            <v>1</v>
          </cell>
          <cell r="BE62">
            <v>1</v>
          </cell>
          <cell r="BF62">
            <v>0</v>
          </cell>
          <cell r="BG62">
            <v>0</v>
          </cell>
          <cell r="BH62">
            <v>0</v>
          </cell>
          <cell r="BI62">
            <v>96</v>
          </cell>
          <cell r="BJ62">
            <v>1</v>
          </cell>
          <cell r="BK62">
            <v>22000</v>
          </cell>
          <cell r="BL62">
            <v>0</v>
          </cell>
          <cell r="BM62">
            <v>0</v>
          </cell>
          <cell r="BN62">
            <v>0</v>
          </cell>
          <cell r="BO62">
            <v>3955.3099999999977</v>
          </cell>
          <cell r="BP62">
            <v>-3955.3099999999977</v>
          </cell>
          <cell r="BQ62">
            <v>14850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3955.3099999999995</v>
          </cell>
        </row>
        <row r="63">
          <cell r="H63" t="str">
            <v>C213167</v>
          </cell>
          <cell r="I63" t="str">
            <v>B737 Windshield Installation -</v>
          </cell>
          <cell r="J63" t="str">
            <v xml:space="preserve">N/A                           </v>
          </cell>
          <cell r="K63" t="str">
            <v>SAINT GOBAIN SULLY</v>
          </cell>
          <cell r="L63" t="str">
            <v>PDA</v>
          </cell>
          <cell r="M63">
            <v>44530</v>
          </cell>
          <cell r="N63" t="str">
            <v/>
          </cell>
          <cell r="O63">
            <v>38100</v>
          </cell>
          <cell r="P63">
            <v>0</v>
          </cell>
          <cell r="Q63">
            <v>7260</v>
          </cell>
          <cell r="R63">
            <v>7260</v>
          </cell>
          <cell r="S63">
            <v>0.78551181102362211</v>
          </cell>
          <cell r="T63">
            <v>0.57976377919999988</v>
          </cell>
          <cell r="U63">
            <v>386.45833299999998</v>
          </cell>
          <cell r="V63">
            <v>180</v>
          </cell>
          <cell r="W63">
            <v>5</v>
          </cell>
          <cell r="X63">
            <v>19</v>
          </cell>
          <cell r="Y63">
            <v>19</v>
          </cell>
          <cell r="Z63">
            <v>0</v>
          </cell>
          <cell r="AA63">
            <v>37099.999967999996</v>
          </cell>
          <cell r="AB63">
            <v>7260</v>
          </cell>
          <cell r="AC63">
            <v>912</v>
          </cell>
          <cell r="AD63">
            <v>0.77973045803103436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1000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1</v>
          </cell>
          <cell r="AY63">
            <v>30480</v>
          </cell>
          <cell r="AZ63">
            <v>27704.365620736698</v>
          </cell>
          <cell r="BA63">
            <v>6143.6520004086742</v>
          </cell>
          <cell r="BB63">
            <v>7260</v>
          </cell>
          <cell r="BC63">
            <v>912</v>
          </cell>
          <cell r="BD63">
            <v>0.88839941262848754</v>
          </cell>
          <cell r="BE63">
            <v>0.8</v>
          </cell>
          <cell r="BF63">
            <v>0</v>
          </cell>
          <cell r="BG63">
            <v>3368.0176211453736</v>
          </cell>
          <cell r="BH63">
            <v>0</v>
          </cell>
          <cell r="BI63">
            <v>96</v>
          </cell>
          <cell r="BJ63">
            <v>1</v>
          </cell>
          <cell r="BK63">
            <v>3.2000003557186574E-5</v>
          </cell>
          <cell r="BL63">
            <v>0</v>
          </cell>
          <cell r="BM63">
            <v>0</v>
          </cell>
          <cell r="BN63">
            <v>6143.6520004086742</v>
          </cell>
          <cell r="BO63">
            <v>864</v>
          </cell>
          <cell r="BP63">
            <v>5279.6520004086742</v>
          </cell>
          <cell r="BQ63">
            <v>19050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4251.9823788546273</v>
          </cell>
          <cell r="BX63">
            <v>0</v>
          </cell>
          <cell r="BY63">
            <v>16</v>
          </cell>
          <cell r="BZ63">
            <v>5</v>
          </cell>
          <cell r="CA63">
            <v>0</v>
          </cell>
        </row>
        <row r="64">
          <cell r="H64" t="str">
            <v>C213178</v>
          </cell>
          <cell r="I64" t="str">
            <v xml:space="preserve">38-2 FLIGHT TEST CAMPAIGN     </v>
          </cell>
          <cell r="J64" t="str">
            <v xml:space="preserve">                              </v>
          </cell>
          <cell r="K64" t="str">
            <v xml:space="preserve">SAFRAN AIRCRAFT ENGINES </v>
          </cell>
          <cell r="L64" t="str">
            <v>BAZ</v>
          </cell>
          <cell r="M64">
            <v>44518</v>
          </cell>
          <cell r="O64">
            <v>1484569.9800000009</v>
          </cell>
          <cell r="P64">
            <v>0</v>
          </cell>
          <cell r="Q64">
            <v>1400678.4506839996</v>
          </cell>
          <cell r="R64">
            <v>1400678.44</v>
          </cell>
          <cell r="S64">
            <v>5.6508975963532104E-2</v>
          </cell>
          <cell r="T64">
            <v>0.23386653420002468</v>
          </cell>
          <cell r="U64">
            <v>1340.08</v>
          </cell>
          <cell r="V64">
            <v>1340</v>
          </cell>
          <cell r="W64">
            <v>0</v>
          </cell>
          <cell r="X64">
            <v>0</v>
          </cell>
          <cell r="Y64">
            <v>35</v>
          </cell>
          <cell r="Z64">
            <v>35</v>
          </cell>
          <cell r="AA64">
            <v>128916</v>
          </cell>
          <cell r="AB64">
            <v>52260</v>
          </cell>
          <cell r="AC64">
            <v>0</v>
          </cell>
          <cell r="AD64">
            <v>0.59461975239690967</v>
          </cell>
          <cell r="AE64">
            <v>1355653.9800000009</v>
          </cell>
          <cell r="AF64">
            <v>1348098.8706839995</v>
          </cell>
          <cell r="AG64">
            <v>1348098.8599999999</v>
          </cell>
          <cell r="AH64">
            <v>1.0683999629691243E-2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5.5730366505480911E-3</v>
          </cell>
          <cell r="AS64">
            <v>0</v>
          </cell>
          <cell r="AT64">
            <v>319.58000000000004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1484569.9600000021</v>
          </cell>
          <cell r="AZ64">
            <v>1320977.19825901</v>
          </cell>
          <cell r="BA64">
            <v>163592.77041708911</v>
          </cell>
          <cell r="BB64">
            <v>1400678.44</v>
          </cell>
          <cell r="BC64">
            <v>1.0683999629691243E-2</v>
          </cell>
          <cell r="BD64">
            <v>0.99999999237226811</v>
          </cell>
          <cell r="BE64">
            <v>0.99999998652808619</v>
          </cell>
          <cell r="BF64">
            <v>0</v>
          </cell>
          <cell r="BG64">
            <v>8.6760970304218064E-3</v>
          </cell>
          <cell r="BH64">
            <v>0</v>
          </cell>
          <cell r="BI64">
            <v>96.788990825688074</v>
          </cell>
          <cell r="BJ64">
            <v>1</v>
          </cell>
          <cell r="BK64">
            <v>0</v>
          </cell>
          <cell r="BL64">
            <v>-315</v>
          </cell>
          <cell r="BM64">
            <v>1.1991490729503784E-3</v>
          </cell>
          <cell r="BN64">
            <v>163592.77041708911</v>
          </cell>
          <cell r="BO64">
            <v>132877.43999999994</v>
          </cell>
          <cell r="BP64">
            <v>30715.330417089164</v>
          </cell>
          <cell r="BQ64">
            <v>67406.25</v>
          </cell>
          <cell r="BR64">
            <v>1780.2207152468618</v>
          </cell>
          <cell r="BS64">
            <v>1365</v>
          </cell>
          <cell r="BT64">
            <v>415.2207152468618</v>
          </cell>
          <cell r="BU64">
            <v>0</v>
          </cell>
          <cell r="BV64">
            <v>1.1323901824653149E-2</v>
          </cell>
          <cell r="BX64">
            <v>0</v>
          </cell>
          <cell r="BY64">
            <v>1184</v>
          </cell>
          <cell r="BZ64">
            <v>0</v>
          </cell>
          <cell r="CA64">
            <v>86701.439999999944</v>
          </cell>
        </row>
        <row r="65">
          <cell r="H65" t="str">
            <v>C213189</v>
          </cell>
          <cell r="I65" t="str">
            <v>B737-300 MSN 29130 cabin recon</v>
          </cell>
          <cell r="J65" t="str">
            <v xml:space="preserve">21167                         </v>
          </cell>
          <cell r="K65" t="str">
            <v>AERO CABIN SOLUTIONS</v>
          </cell>
          <cell r="L65" t="str">
            <v>FDE</v>
          </cell>
          <cell r="M65">
            <v>44501</v>
          </cell>
          <cell r="N65" t="str">
            <v/>
          </cell>
          <cell r="O65">
            <v>12500</v>
          </cell>
          <cell r="P65">
            <v>-2000</v>
          </cell>
          <cell r="Q65">
            <v>2829</v>
          </cell>
          <cell r="R65">
            <v>8829</v>
          </cell>
          <cell r="S65">
            <v>0.23607999999999996</v>
          </cell>
          <cell r="T65">
            <v>0.43712000000000001</v>
          </cell>
          <cell r="U65">
            <v>79</v>
          </cell>
          <cell r="V65">
            <v>27</v>
          </cell>
          <cell r="W65">
            <v>37</v>
          </cell>
          <cell r="X65">
            <v>15</v>
          </cell>
          <cell r="Y65">
            <v>15</v>
          </cell>
          <cell r="Z65">
            <v>0</v>
          </cell>
          <cell r="AA65">
            <v>7600</v>
          </cell>
          <cell r="AB65">
            <v>2829</v>
          </cell>
          <cell r="AC65">
            <v>720</v>
          </cell>
          <cell r="AD65">
            <v>0.53302631578947368</v>
          </cell>
          <cell r="AE65">
            <v>6900</v>
          </cell>
          <cell r="AF65">
            <v>0</v>
          </cell>
          <cell r="AG65">
            <v>6000</v>
          </cell>
          <cell r="AH65">
            <v>-6000</v>
          </cell>
          <cell r="AI65">
            <v>6000</v>
          </cell>
          <cell r="AJ65">
            <v>6000</v>
          </cell>
          <cell r="AK65">
            <v>0</v>
          </cell>
          <cell r="AL65">
            <v>-6000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0.13043478260869568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12495.601633678918</v>
          </cell>
          <cell r="BA65">
            <v>-938.10870248193351</v>
          </cell>
          <cell r="BB65">
            <v>8829</v>
          </cell>
          <cell r="BC65">
            <v>720</v>
          </cell>
          <cell r="BD65">
            <v>0.92459943449575877</v>
          </cell>
          <cell r="BE65">
            <v>0</v>
          </cell>
          <cell r="BF65">
            <v>0</v>
          </cell>
          <cell r="BG65">
            <v>11557.492931196985</v>
          </cell>
          <cell r="BH65">
            <v>0</v>
          </cell>
          <cell r="BI65">
            <v>96.202531645569621</v>
          </cell>
          <cell r="BJ65">
            <v>1</v>
          </cell>
          <cell r="BK65">
            <v>-2000</v>
          </cell>
          <cell r="BL65">
            <v>0</v>
          </cell>
          <cell r="BM65">
            <v>6.2833804586867825E-2</v>
          </cell>
          <cell r="BN65">
            <v>-938.10870248193351</v>
          </cell>
          <cell r="BO65">
            <v>600</v>
          </cell>
          <cell r="BP65">
            <v>-1538.1087024819335</v>
          </cell>
          <cell r="BQ65">
            <v>0</v>
          </cell>
          <cell r="BR65">
            <v>-938.10870248193351</v>
          </cell>
          <cell r="BS65">
            <v>600</v>
          </cell>
          <cell r="BT65">
            <v>-1538.1087024819335</v>
          </cell>
          <cell r="BU65">
            <v>0</v>
          </cell>
          <cell r="BV65">
            <v>942.5070688030155</v>
          </cell>
          <cell r="BX65">
            <v>0</v>
          </cell>
          <cell r="BY65">
            <v>0</v>
          </cell>
          <cell r="BZ65">
            <v>0</v>
          </cell>
          <cell r="CA65">
            <v>600</v>
          </cell>
        </row>
        <row r="66">
          <cell r="H66" t="str">
            <v>C213190</v>
          </cell>
          <cell r="I66" t="str">
            <v xml:space="preserve">FAA STC approval - B777 Cargo </v>
          </cell>
          <cell r="J66" t="str">
            <v xml:space="preserve">N/A                           </v>
          </cell>
          <cell r="K66" t="str">
            <v xml:space="preserve">UUDS AERO </v>
          </cell>
          <cell r="L66" t="str">
            <v>TPA</v>
          </cell>
          <cell r="M66">
            <v>44510</v>
          </cell>
          <cell r="N66">
            <v>44848</v>
          </cell>
          <cell r="O66">
            <v>0</v>
          </cell>
          <cell r="P66">
            <v>-1336</v>
          </cell>
          <cell r="Q66">
            <v>624</v>
          </cell>
          <cell r="R66">
            <v>624</v>
          </cell>
          <cell r="S66">
            <v>0</v>
          </cell>
          <cell r="T66">
            <v>0</v>
          </cell>
          <cell r="U66">
            <v>0</v>
          </cell>
          <cell r="V66">
            <v>16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624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1336</v>
          </cell>
          <cell r="BA66">
            <v>-1336</v>
          </cell>
          <cell r="BB66">
            <v>624</v>
          </cell>
          <cell r="BC66">
            <v>0</v>
          </cell>
          <cell r="BD66">
            <v>1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96.610169491525426</v>
          </cell>
          <cell r="BJ66">
            <v>1</v>
          </cell>
          <cell r="BK66">
            <v>0</v>
          </cell>
          <cell r="BL66">
            <v>0</v>
          </cell>
          <cell r="BM66">
            <v>0</v>
          </cell>
          <cell r="BN66">
            <v>-1336</v>
          </cell>
          <cell r="BO66">
            <v>0</v>
          </cell>
          <cell r="BP66">
            <v>-1336</v>
          </cell>
          <cell r="BQ66">
            <v>-4350</v>
          </cell>
          <cell r="BR66">
            <v>-1336</v>
          </cell>
          <cell r="BS66">
            <v>0</v>
          </cell>
          <cell r="BT66">
            <v>-1336</v>
          </cell>
          <cell r="BU66">
            <v>0</v>
          </cell>
          <cell r="BV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</row>
        <row r="67">
          <cell r="H67" t="str">
            <v>C213227</v>
          </cell>
          <cell r="I67" t="str">
            <v>Minor Changes to STC 19058 - M</v>
          </cell>
          <cell r="J67" t="str">
            <v xml:space="preserve">21182-21183-21184             </v>
          </cell>
          <cell r="K67" t="str">
            <v xml:space="preserve">UUDS AERO </v>
          </cell>
          <cell r="L67" t="str">
            <v>TPA</v>
          </cell>
          <cell r="M67">
            <v>44537</v>
          </cell>
          <cell r="N67">
            <v>44932</v>
          </cell>
          <cell r="O67">
            <v>15000</v>
          </cell>
          <cell r="P67">
            <v>0</v>
          </cell>
          <cell r="Q67">
            <v>10173</v>
          </cell>
          <cell r="R67">
            <v>10173</v>
          </cell>
          <cell r="S67">
            <v>0.32179999999999997</v>
          </cell>
          <cell r="T67">
            <v>0.59</v>
          </cell>
          <cell r="U67">
            <v>156</v>
          </cell>
          <cell r="V67">
            <v>75</v>
          </cell>
          <cell r="W67">
            <v>151</v>
          </cell>
          <cell r="X67">
            <v>0</v>
          </cell>
          <cell r="Y67">
            <v>0</v>
          </cell>
          <cell r="Z67">
            <v>0</v>
          </cell>
          <cell r="AA67">
            <v>15000</v>
          </cell>
          <cell r="AB67">
            <v>10173</v>
          </cell>
          <cell r="AC67">
            <v>0</v>
          </cell>
          <cell r="AD67">
            <v>0.32179999999999997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15000</v>
          </cell>
          <cell r="AZ67">
            <v>15000</v>
          </cell>
          <cell r="BA67">
            <v>0</v>
          </cell>
          <cell r="BB67">
            <v>10173</v>
          </cell>
          <cell r="BC67">
            <v>0</v>
          </cell>
          <cell r="BD67">
            <v>1</v>
          </cell>
          <cell r="BE67">
            <v>1</v>
          </cell>
          <cell r="BF67">
            <v>0</v>
          </cell>
          <cell r="BG67">
            <v>0</v>
          </cell>
          <cell r="BH67">
            <v>0</v>
          </cell>
          <cell r="BI67">
            <v>96</v>
          </cell>
          <cell r="BJ67">
            <v>1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</row>
        <row r="68">
          <cell r="H68" t="str">
            <v>C223290</v>
          </cell>
          <cell r="I68" t="str">
            <v xml:space="preserve">DOSSIER SKYTRAX               </v>
          </cell>
          <cell r="J68" t="str">
            <v xml:space="preserve">22016                         </v>
          </cell>
          <cell r="K68" t="str">
            <v>HBG FRANCE</v>
          </cell>
          <cell r="L68" t="str">
            <v>LJA</v>
          </cell>
          <cell r="M68">
            <v>44594</v>
          </cell>
          <cell r="N68">
            <v>45014</v>
          </cell>
          <cell r="O68">
            <v>4850</v>
          </cell>
          <cell r="P68">
            <v>0</v>
          </cell>
          <cell r="Q68">
            <v>3003.0000000000005</v>
          </cell>
          <cell r="R68">
            <v>3003.0000000000005</v>
          </cell>
          <cell r="S68">
            <v>0.38082474226804119</v>
          </cell>
          <cell r="T68">
            <v>0.59</v>
          </cell>
          <cell r="U68">
            <v>51</v>
          </cell>
          <cell r="V68">
            <v>13</v>
          </cell>
          <cell r="W68">
            <v>49.400000000000006</v>
          </cell>
          <cell r="X68">
            <v>0</v>
          </cell>
          <cell r="Y68">
            <v>0</v>
          </cell>
          <cell r="Z68">
            <v>0</v>
          </cell>
          <cell r="AA68">
            <v>4850</v>
          </cell>
          <cell r="AB68">
            <v>3003.0000000000005</v>
          </cell>
          <cell r="AC68">
            <v>0</v>
          </cell>
          <cell r="AD68">
            <v>0.38082474226804119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4850</v>
          </cell>
          <cell r="AZ68">
            <v>4672.6042428675937</v>
          </cell>
          <cell r="BA68">
            <v>177.39575713240629</v>
          </cell>
          <cell r="BB68">
            <v>3003.0000000000005</v>
          </cell>
          <cell r="BC68">
            <v>0</v>
          </cell>
          <cell r="BD68">
            <v>1</v>
          </cell>
          <cell r="BE68">
            <v>1</v>
          </cell>
          <cell r="BF68">
            <v>0</v>
          </cell>
          <cell r="BG68">
            <v>0</v>
          </cell>
          <cell r="BH68">
            <v>0</v>
          </cell>
          <cell r="BI68">
            <v>96</v>
          </cell>
          <cell r="BJ68">
            <v>1</v>
          </cell>
          <cell r="BK68">
            <v>0</v>
          </cell>
          <cell r="BL68">
            <v>0</v>
          </cell>
          <cell r="BM68">
            <v>0</v>
          </cell>
          <cell r="BN68">
            <v>177.39575713240629</v>
          </cell>
          <cell r="BO68">
            <v>369</v>
          </cell>
          <cell r="BP68">
            <v>-191.60424286759371</v>
          </cell>
          <cell r="BQ68">
            <v>4850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X68">
            <v>0</v>
          </cell>
          <cell r="BY68">
            <v>9</v>
          </cell>
          <cell r="BZ68">
            <v>0</v>
          </cell>
          <cell r="CA68">
            <v>0</v>
          </cell>
        </row>
        <row r="69">
          <cell r="H69" t="str">
            <v>C223298</v>
          </cell>
          <cell r="I69" t="str">
            <v xml:space="preserve">RECARO 3510A393 WEIGHT SAVING </v>
          </cell>
          <cell r="J69" t="str">
            <v xml:space="preserve">22032                         </v>
          </cell>
          <cell r="K69" t="str">
            <v>TRANSAVIA FRANCE</v>
          </cell>
          <cell r="L69" t="str">
            <v>VGA</v>
          </cell>
          <cell r="M69">
            <v>44615</v>
          </cell>
          <cell r="N69">
            <v>44868</v>
          </cell>
          <cell r="O69">
            <v>6250</v>
          </cell>
          <cell r="P69">
            <v>0</v>
          </cell>
          <cell r="Q69">
            <v>2501</v>
          </cell>
          <cell r="R69">
            <v>2501</v>
          </cell>
          <cell r="S69">
            <v>0.59983999999999993</v>
          </cell>
          <cell r="T69">
            <v>0.59</v>
          </cell>
          <cell r="U69">
            <v>61</v>
          </cell>
          <cell r="V69">
            <v>61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6250</v>
          </cell>
          <cell r="AB69">
            <v>2501</v>
          </cell>
          <cell r="AC69">
            <v>0</v>
          </cell>
          <cell r="AD69">
            <v>0.59983999999999993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6250</v>
          </cell>
          <cell r="AZ69">
            <v>6250</v>
          </cell>
          <cell r="BA69">
            <v>0</v>
          </cell>
          <cell r="BB69">
            <v>2501</v>
          </cell>
          <cell r="BC69">
            <v>0</v>
          </cell>
          <cell r="BD69">
            <v>1</v>
          </cell>
          <cell r="BE69">
            <v>1</v>
          </cell>
          <cell r="BF69">
            <v>0</v>
          </cell>
          <cell r="BG69">
            <v>0</v>
          </cell>
          <cell r="BH69">
            <v>0</v>
          </cell>
          <cell r="BI69">
            <v>96</v>
          </cell>
          <cell r="BJ69">
            <v>1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</row>
        <row r="70">
          <cell r="H70" t="str">
            <v>C223301</v>
          </cell>
          <cell r="I70" t="str">
            <v>DOSSIER DE DEFINITION &amp; CERTIF</v>
          </cell>
          <cell r="J70" t="str">
            <v xml:space="preserve">22019                         </v>
          </cell>
          <cell r="K70" t="str">
            <v>LMO FLY DYNAMICS DEVELOPMENT</v>
          </cell>
          <cell r="L70" t="str">
            <v>PRO</v>
          </cell>
          <cell r="M70">
            <v>44585</v>
          </cell>
          <cell r="N70" t="str">
            <v/>
          </cell>
          <cell r="O70">
            <v>1366914.3099999998</v>
          </cell>
          <cell r="P70">
            <v>1920.9799999999814</v>
          </cell>
          <cell r="Q70">
            <v>1003603.6641989999</v>
          </cell>
          <cell r="R70">
            <v>1003603.66</v>
          </cell>
          <cell r="S70">
            <v>0.26480127038907064</v>
          </cell>
          <cell r="T70">
            <v>0.33114208307615123</v>
          </cell>
          <cell r="U70">
            <v>4787.9270833333321</v>
          </cell>
          <cell r="V70">
            <v>4154.8500000000004</v>
          </cell>
          <cell r="W70">
            <v>324.5</v>
          </cell>
          <cell r="X70">
            <v>27</v>
          </cell>
          <cell r="Y70">
            <v>28</v>
          </cell>
          <cell r="Z70">
            <v>1</v>
          </cell>
          <cell r="AA70">
            <v>459640.99999999988</v>
          </cell>
          <cell r="AB70">
            <v>186573.85</v>
          </cell>
          <cell r="AC70">
            <v>1350</v>
          </cell>
          <cell r="AD70">
            <v>0.59115081117654855</v>
          </cell>
          <cell r="AE70">
            <v>907273.30999999994</v>
          </cell>
          <cell r="AF70">
            <v>815607.27419899986</v>
          </cell>
          <cell r="AG70">
            <v>815607.27</v>
          </cell>
          <cell r="AH70">
            <v>4.1989998426288366E-3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0.10103464390570471</v>
          </cell>
          <cell r="AS70">
            <v>0</v>
          </cell>
          <cell r="AT70">
            <v>1422.54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1366914.3099999998</v>
          </cell>
          <cell r="AZ70">
            <v>1322532.0378279055</v>
          </cell>
          <cell r="BA70">
            <v>42546.028249700321</v>
          </cell>
          <cell r="BB70">
            <v>1003603.66</v>
          </cell>
          <cell r="BC70">
            <v>1350.0041989998426</v>
          </cell>
          <cell r="BD70">
            <v>0.99865665030429451</v>
          </cell>
          <cell r="BE70">
            <v>1</v>
          </cell>
          <cell r="BF70">
            <v>-1836.2439223939753</v>
          </cell>
          <cell r="BG70">
            <v>0</v>
          </cell>
          <cell r="BH70">
            <v>0</v>
          </cell>
          <cell r="BI70">
            <v>96</v>
          </cell>
          <cell r="BJ70">
            <v>1</v>
          </cell>
          <cell r="BK70">
            <v>0</v>
          </cell>
          <cell r="BL70">
            <v>-9</v>
          </cell>
          <cell r="BM70">
            <v>4.9741061666774833E-5</v>
          </cell>
          <cell r="BN70">
            <v>42546.028249700321</v>
          </cell>
          <cell r="BO70">
            <v>14584.709999999963</v>
          </cell>
          <cell r="BP70">
            <v>27961.318249700358</v>
          </cell>
          <cell r="BQ70">
            <v>1774.309999999823</v>
          </cell>
          <cell r="BR70">
            <v>1986.2956695037428</v>
          </cell>
          <cell r="BS70">
            <v>41</v>
          </cell>
          <cell r="BT70">
            <v>1945.2956695037428</v>
          </cell>
          <cell r="BU70">
            <v>16920.979999999981</v>
          </cell>
          <cell r="BV70">
            <v>1836.2439223940019</v>
          </cell>
          <cell r="BX70">
            <v>0</v>
          </cell>
          <cell r="BY70">
            <v>396.00000000000045</v>
          </cell>
          <cell r="BZ70">
            <v>0</v>
          </cell>
          <cell r="CA70">
            <v>-1651.2900000000373</v>
          </cell>
        </row>
        <row r="71">
          <cell r="H71" t="str">
            <v>C223303</v>
          </cell>
          <cell r="I71" t="str">
            <v xml:space="preserve">SYSTEMES IMSI CATCHER SUNERIS </v>
          </cell>
          <cell r="J71" t="str">
            <v xml:space="preserve">                              </v>
          </cell>
          <cell r="K71" t="str">
            <v>LMO FLY DYNAMICS DEVELOPMENT</v>
          </cell>
          <cell r="L71" t="str">
            <v>PRO</v>
          </cell>
          <cell r="M71">
            <v>44589</v>
          </cell>
          <cell r="N71">
            <v>45051</v>
          </cell>
          <cell r="O71">
            <v>401176</v>
          </cell>
          <cell r="P71">
            <v>0</v>
          </cell>
          <cell r="Q71">
            <v>341000</v>
          </cell>
          <cell r="R71">
            <v>341000</v>
          </cell>
          <cell r="S71">
            <v>0.14999900293138169</v>
          </cell>
          <cell r="T71">
            <v>0.2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401176</v>
          </cell>
          <cell r="AF71">
            <v>341000</v>
          </cell>
          <cell r="AG71">
            <v>341000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0.14999900293138169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401175.6</v>
          </cell>
          <cell r="AZ71">
            <v>320940.80000000005</v>
          </cell>
          <cell r="BA71">
            <v>80235.199999999953</v>
          </cell>
          <cell r="BB71">
            <v>341000</v>
          </cell>
          <cell r="BC71">
            <v>0</v>
          </cell>
          <cell r="BD71">
            <v>1</v>
          </cell>
          <cell r="BE71">
            <v>0.99999900293138166</v>
          </cell>
          <cell r="BF71">
            <v>0</v>
          </cell>
          <cell r="BG71">
            <v>0.40000000002948966</v>
          </cell>
          <cell r="BH71">
            <v>0</v>
          </cell>
          <cell r="BI71">
            <v>96</v>
          </cell>
          <cell r="BJ71">
            <v>1</v>
          </cell>
          <cell r="BK71">
            <v>0</v>
          </cell>
          <cell r="BL71">
            <v>0</v>
          </cell>
          <cell r="BM71">
            <v>0</v>
          </cell>
          <cell r="BN71">
            <v>80235.199999999953</v>
          </cell>
          <cell r="BO71">
            <v>68200</v>
          </cell>
          <cell r="BP71">
            <v>12035.199999999953</v>
          </cell>
          <cell r="BQ71">
            <v>160470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68200</v>
          </cell>
        </row>
        <row r="72">
          <cell r="H72" t="str">
            <v>C223304</v>
          </cell>
          <cell r="I72" t="str">
            <v xml:space="preserve">PICOSAR RADAR SYSTEM          </v>
          </cell>
          <cell r="J72" t="str">
            <v xml:space="preserve">                              </v>
          </cell>
          <cell r="K72" t="str">
            <v>LMO FLY DYNAMICS DEVELOPMENT</v>
          </cell>
          <cell r="L72" t="str">
            <v>PRO</v>
          </cell>
          <cell r="M72">
            <v>44596</v>
          </cell>
          <cell r="N72" t="str">
            <v/>
          </cell>
          <cell r="O72">
            <v>738641</v>
          </cell>
          <cell r="P72">
            <v>0</v>
          </cell>
          <cell r="Q72">
            <v>632717.03813599993</v>
          </cell>
          <cell r="R72">
            <v>631844.83000000007</v>
          </cell>
          <cell r="S72">
            <v>0.1434038482347989</v>
          </cell>
          <cell r="T72">
            <v>0.2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738641</v>
          </cell>
          <cell r="AF72">
            <v>632717.03813599993</v>
          </cell>
          <cell r="AG72">
            <v>631844.83000000007</v>
          </cell>
          <cell r="AH72">
            <v>872.20813599985559</v>
          </cell>
          <cell r="AI72">
            <v>3488.84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0.1434038482347989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738641</v>
          </cell>
          <cell r="AZ72">
            <v>737622.87931587594</v>
          </cell>
          <cell r="BA72">
            <v>-0.10492219286970794</v>
          </cell>
          <cell r="BB72">
            <v>631844.83000000007</v>
          </cell>
          <cell r="BC72">
            <v>872.20813599985559</v>
          </cell>
          <cell r="BD72">
            <v>0.99862148783195503</v>
          </cell>
          <cell r="BE72">
            <v>1</v>
          </cell>
          <cell r="BF72">
            <v>-1018.2256063169011</v>
          </cell>
          <cell r="BG72">
            <v>0</v>
          </cell>
          <cell r="BH72">
            <v>0</v>
          </cell>
          <cell r="BI72">
            <v>96</v>
          </cell>
          <cell r="BJ72">
            <v>1</v>
          </cell>
          <cell r="BK72">
            <v>0</v>
          </cell>
          <cell r="BL72">
            <v>0</v>
          </cell>
          <cell r="BM72">
            <v>0</v>
          </cell>
          <cell r="BN72">
            <v>-0.10492219286970794</v>
          </cell>
          <cell r="BO72">
            <v>0</v>
          </cell>
          <cell r="BP72">
            <v>-0.10492219286970794</v>
          </cell>
          <cell r="BQ72">
            <v>147728.20000000007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1018.2256063169334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</row>
        <row r="73">
          <cell r="H73" t="str">
            <v>C223305</v>
          </cell>
          <cell r="I73" t="str">
            <v xml:space="preserve">K100 ISR ASMAN                </v>
          </cell>
          <cell r="J73" t="str">
            <v xml:space="preserve">                              </v>
          </cell>
          <cell r="K73" t="str">
            <v>LMO FLY DYNAMICS DEVELOPMENT</v>
          </cell>
          <cell r="L73" t="str">
            <v>PRO</v>
          </cell>
          <cell r="M73">
            <v>44594</v>
          </cell>
          <cell r="N73" t="str">
            <v/>
          </cell>
          <cell r="O73">
            <v>940000</v>
          </cell>
          <cell r="P73">
            <v>0</v>
          </cell>
          <cell r="Q73">
            <v>838700</v>
          </cell>
          <cell r="R73">
            <v>838700</v>
          </cell>
          <cell r="S73">
            <v>0.1077659574468085</v>
          </cell>
          <cell r="T73">
            <v>0.2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940000</v>
          </cell>
          <cell r="AF73">
            <v>838700</v>
          </cell>
          <cell r="AG73">
            <v>838700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6168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0.1077659574468085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940000</v>
          </cell>
          <cell r="AZ73">
            <v>937290.19425079157</v>
          </cell>
          <cell r="BA73">
            <v>2709.8057492084336</v>
          </cell>
          <cell r="BB73">
            <v>838700</v>
          </cell>
          <cell r="BC73">
            <v>0</v>
          </cell>
          <cell r="BD73">
            <v>1</v>
          </cell>
          <cell r="BE73">
            <v>1</v>
          </cell>
          <cell r="BF73">
            <v>0</v>
          </cell>
          <cell r="BG73">
            <v>0</v>
          </cell>
          <cell r="BH73">
            <v>0</v>
          </cell>
          <cell r="BI73">
            <v>96</v>
          </cell>
          <cell r="BJ73">
            <v>1</v>
          </cell>
          <cell r="BK73">
            <v>0</v>
          </cell>
          <cell r="BL73">
            <v>6168</v>
          </cell>
          <cell r="BM73">
            <v>2.8827720736259721E-3</v>
          </cell>
          <cell r="BN73">
            <v>2709.8057492084336</v>
          </cell>
          <cell r="BO73">
            <v>13098</v>
          </cell>
          <cell r="BP73">
            <v>-10388.194250791566</v>
          </cell>
          <cell r="BQ73">
            <v>0</v>
          </cell>
          <cell r="BR73">
            <v>2709.8057492084336</v>
          </cell>
          <cell r="BS73">
            <v>10128</v>
          </cell>
          <cell r="BT73">
            <v>-7418.1942507915664</v>
          </cell>
          <cell r="BU73">
            <v>0</v>
          </cell>
          <cell r="BV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13098</v>
          </cell>
        </row>
        <row r="74">
          <cell r="H74" t="str">
            <v>C223406</v>
          </cell>
          <cell r="I74" t="str">
            <v xml:space="preserve">SB CABIN SEATS SWAP A320-3125 </v>
          </cell>
          <cell r="J74" t="str">
            <v xml:space="preserve">22053                         </v>
          </cell>
          <cell r="K74" t="str">
            <v>AERO CABIN SOLUTIONS</v>
          </cell>
          <cell r="L74" t="str">
            <v>VGA</v>
          </cell>
          <cell r="M74">
            <v>44746</v>
          </cell>
          <cell r="N74">
            <v>44841</v>
          </cell>
          <cell r="O74">
            <v>13700</v>
          </cell>
          <cell r="P74">
            <v>0</v>
          </cell>
          <cell r="Q74">
            <v>9392.869999999999</v>
          </cell>
          <cell r="R74">
            <v>9392.869999999999</v>
          </cell>
          <cell r="S74">
            <v>0.31438905109489057</v>
          </cell>
          <cell r="T74">
            <v>0.46759124087591242</v>
          </cell>
          <cell r="U74">
            <v>56</v>
          </cell>
          <cell r="V74">
            <v>56.5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9400</v>
          </cell>
          <cell r="AB74">
            <v>2316.5</v>
          </cell>
          <cell r="AC74">
            <v>0</v>
          </cell>
          <cell r="AD74">
            <v>0.75356382978723402</v>
          </cell>
          <cell r="AE74">
            <v>4300</v>
          </cell>
          <cell r="AF74">
            <v>7076.37</v>
          </cell>
          <cell r="AG74">
            <v>7076.37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-0.6456674418604651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13700</v>
          </cell>
          <cell r="AZ74">
            <v>13700</v>
          </cell>
          <cell r="BA74">
            <v>0</v>
          </cell>
          <cell r="BB74">
            <v>9392.869999999999</v>
          </cell>
          <cell r="BC74">
            <v>0</v>
          </cell>
          <cell r="BD74">
            <v>1</v>
          </cell>
          <cell r="BE74">
            <v>1</v>
          </cell>
          <cell r="BF74">
            <v>0</v>
          </cell>
          <cell r="BG74">
            <v>0</v>
          </cell>
          <cell r="BH74">
            <v>0</v>
          </cell>
          <cell r="BI74">
            <v>96</v>
          </cell>
          <cell r="BJ74">
            <v>1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</row>
        <row r="75">
          <cell r="H75" t="str">
            <v>C223307</v>
          </cell>
          <cell r="I75" t="str">
            <v xml:space="preserve">ENGINEERING SERVICES          </v>
          </cell>
          <cell r="J75" t="str">
            <v xml:space="preserve">                              </v>
          </cell>
          <cell r="K75" t="str">
            <v>LEONARDO S.P.A</v>
          </cell>
          <cell r="L75" t="str">
            <v>PDA</v>
          </cell>
          <cell r="M75">
            <v>44635</v>
          </cell>
          <cell r="N75" t="str">
            <v/>
          </cell>
          <cell r="O75">
            <v>174459.18</v>
          </cell>
          <cell r="P75">
            <v>0</v>
          </cell>
          <cell r="Q75">
            <v>200764.252045</v>
          </cell>
          <cell r="R75">
            <v>116369.62665749999</v>
          </cell>
          <cell r="S75">
            <v>-0.15078066998251405</v>
          </cell>
          <cell r="T75">
            <v>0.2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174459.18</v>
          </cell>
          <cell r="AF75">
            <v>200764.252045</v>
          </cell>
          <cell r="AG75">
            <v>116369.62665749999</v>
          </cell>
          <cell r="AH75">
            <v>84394.625387500011</v>
          </cell>
          <cell r="AI75">
            <v>75597.646657499994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-0.15078066998251405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6048.0500000000029</v>
          </cell>
          <cell r="AZ75">
            <v>97953.403371535664</v>
          </cell>
          <cell r="BA75">
            <v>3168.9300955951476</v>
          </cell>
          <cell r="BB75">
            <v>116369.62665749999</v>
          </cell>
          <cell r="BC75">
            <v>84394.625387500011</v>
          </cell>
          <cell r="BD75">
            <v>0.5796332039800417</v>
          </cell>
          <cell r="BE75">
            <v>3.4667421914971762E-2</v>
          </cell>
          <cell r="BF75">
            <v>0</v>
          </cell>
          <cell r="BG75">
            <v>95074.283467130808</v>
          </cell>
          <cell r="BH75">
            <v>0</v>
          </cell>
          <cell r="BI75">
            <v>96</v>
          </cell>
          <cell r="BJ75">
            <v>1</v>
          </cell>
          <cell r="BK75">
            <v>0</v>
          </cell>
          <cell r="BL75">
            <v>0</v>
          </cell>
          <cell r="BM75">
            <v>0</v>
          </cell>
          <cell r="BN75">
            <v>3168.9300955951476</v>
          </cell>
          <cell r="BO75">
            <v>0</v>
          </cell>
          <cell r="BP75">
            <v>3168.9300955951476</v>
          </cell>
          <cell r="BQ75">
            <v>-81181.539999999994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73336.846532869182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</row>
        <row r="76">
          <cell r="H76" t="str">
            <v>C223310</v>
          </cell>
          <cell r="I76" t="str">
            <v xml:space="preserve">LEGACY 500 REFURBISHMENT      </v>
          </cell>
          <cell r="J76" t="str">
            <v xml:space="preserve">22025                         </v>
          </cell>
          <cell r="K76" t="str">
            <v xml:space="preserve">SDA </v>
          </cell>
          <cell r="L76" t="str">
            <v>FDE</v>
          </cell>
          <cell r="M76">
            <v>44607</v>
          </cell>
          <cell r="N76" t="str">
            <v/>
          </cell>
          <cell r="O76">
            <v>4000</v>
          </cell>
          <cell r="P76">
            <v>0</v>
          </cell>
          <cell r="Q76">
            <v>902</v>
          </cell>
          <cell r="R76">
            <v>902</v>
          </cell>
          <cell r="S76">
            <v>0.54949999999999999</v>
          </cell>
          <cell r="T76">
            <v>0.59</v>
          </cell>
          <cell r="U76">
            <v>40</v>
          </cell>
          <cell r="V76">
            <v>22</v>
          </cell>
          <cell r="W76">
            <v>0</v>
          </cell>
          <cell r="X76">
            <v>18</v>
          </cell>
          <cell r="Y76">
            <v>18</v>
          </cell>
          <cell r="Z76">
            <v>0</v>
          </cell>
          <cell r="AA76">
            <v>4000</v>
          </cell>
          <cell r="AB76">
            <v>902</v>
          </cell>
          <cell r="AC76">
            <v>900</v>
          </cell>
          <cell r="AD76">
            <v>0.54949999999999999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2002.219755826859</v>
          </cell>
          <cell r="BA76">
            <v>0</v>
          </cell>
          <cell r="BB76">
            <v>902</v>
          </cell>
          <cell r="BC76">
            <v>900</v>
          </cell>
          <cell r="BD76">
            <v>0.50055493895671477</v>
          </cell>
          <cell r="BE76">
            <v>0</v>
          </cell>
          <cell r="BF76">
            <v>0</v>
          </cell>
          <cell r="BG76">
            <v>2002.219755826859</v>
          </cell>
          <cell r="BH76">
            <v>0</v>
          </cell>
          <cell r="BI76">
            <v>96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1997.780244173141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</row>
        <row r="77">
          <cell r="H77" t="str">
            <v>C223330</v>
          </cell>
          <cell r="I77" t="str">
            <v xml:space="preserve">H160 - ETUDE AERODYNAMIQUE    </v>
          </cell>
          <cell r="J77" t="str">
            <v xml:space="preserve">                              </v>
          </cell>
          <cell r="K77" t="str">
            <v xml:space="preserve">BABCOCK INTERNATIONAL FRANCE AVIATION </v>
          </cell>
          <cell r="L77" t="str">
            <v>LUD</v>
          </cell>
          <cell r="M77">
            <v>44606</v>
          </cell>
          <cell r="N77">
            <v>45085</v>
          </cell>
          <cell r="O77">
            <v>48480</v>
          </cell>
          <cell r="P77">
            <v>0</v>
          </cell>
          <cell r="Q77">
            <v>7604.5</v>
          </cell>
          <cell r="R77">
            <v>7604.5</v>
          </cell>
          <cell r="S77">
            <v>0.84314150165016499</v>
          </cell>
          <cell r="T77">
            <v>0.47514588490099008</v>
          </cell>
          <cell r="U77">
            <v>356</v>
          </cell>
          <cell r="V77">
            <v>124.5</v>
          </cell>
          <cell r="W77">
            <v>50</v>
          </cell>
          <cell r="X77">
            <v>0</v>
          </cell>
          <cell r="Y77">
            <v>0</v>
          </cell>
          <cell r="Z77">
            <v>0</v>
          </cell>
          <cell r="AA77">
            <v>34202.75</v>
          </cell>
          <cell r="AB77">
            <v>7604.5</v>
          </cell>
          <cell r="AC77">
            <v>0</v>
          </cell>
          <cell r="AD77">
            <v>0.7776640767189773</v>
          </cell>
          <cell r="AE77">
            <v>14277.249999999998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1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48480</v>
          </cell>
          <cell r="AZ77">
            <v>40246.061143110324</v>
          </cell>
          <cell r="BA77">
            <v>8233.9388568896757</v>
          </cell>
          <cell r="BB77">
            <v>7604.5</v>
          </cell>
          <cell r="BC77">
            <v>0</v>
          </cell>
          <cell r="BD77">
            <v>1</v>
          </cell>
          <cell r="BE77">
            <v>1</v>
          </cell>
          <cell r="BF77">
            <v>0</v>
          </cell>
          <cell r="BG77">
            <v>0</v>
          </cell>
          <cell r="BH77">
            <v>0</v>
          </cell>
          <cell r="BI77">
            <v>96</v>
          </cell>
          <cell r="BJ77">
            <v>1</v>
          </cell>
          <cell r="BK77">
            <v>1.8189894035458565E-12</v>
          </cell>
          <cell r="BL77">
            <v>0</v>
          </cell>
          <cell r="BM77">
            <v>0</v>
          </cell>
          <cell r="BN77">
            <v>8233.9388568896757</v>
          </cell>
          <cell r="BO77">
            <v>1983.5</v>
          </cell>
          <cell r="BP77">
            <v>6250.4388568896757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X77">
            <v>0</v>
          </cell>
          <cell r="BY77">
            <v>43.5</v>
          </cell>
          <cell r="BZ77">
            <v>4</v>
          </cell>
          <cell r="CA77">
            <v>0</v>
          </cell>
        </row>
        <row r="78">
          <cell r="H78" t="str">
            <v>C223331</v>
          </cell>
          <cell r="I78" t="str">
            <v xml:space="preserve">DEVELOPMENT OF SB FOR         </v>
          </cell>
          <cell r="J78" t="str">
            <v xml:space="preserve">22029                         </v>
          </cell>
          <cell r="K78" t="str">
            <v xml:space="preserve">DASSAULT AVIATION BUSINESS SERVICES </v>
          </cell>
          <cell r="L78" t="str">
            <v>VGA</v>
          </cell>
          <cell r="M78">
            <v>44613</v>
          </cell>
          <cell r="N78">
            <v>44704</v>
          </cell>
          <cell r="O78">
            <v>2800</v>
          </cell>
          <cell r="P78">
            <v>0</v>
          </cell>
          <cell r="Q78">
            <v>656</v>
          </cell>
          <cell r="R78">
            <v>656</v>
          </cell>
          <cell r="S78">
            <v>0.76571428571428568</v>
          </cell>
          <cell r="T78">
            <v>0.59</v>
          </cell>
          <cell r="U78">
            <v>19</v>
          </cell>
          <cell r="V78">
            <v>16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2800</v>
          </cell>
          <cell r="AB78">
            <v>656</v>
          </cell>
          <cell r="AC78">
            <v>0</v>
          </cell>
          <cell r="AD78">
            <v>0.76571428571428568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2800</v>
          </cell>
          <cell r="AZ78">
            <v>2800</v>
          </cell>
          <cell r="BA78">
            <v>0</v>
          </cell>
          <cell r="BB78">
            <v>656</v>
          </cell>
          <cell r="BC78">
            <v>0</v>
          </cell>
          <cell r="BD78">
            <v>1</v>
          </cell>
          <cell r="BE78">
            <v>1</v>
          </cell>
          <cell r="BF78">
            <v>0</v>
          </cell>
          <cell r="BG78">
            <v>0</v>
          </cell>
          <cell r="BH78">
            <v>0</v>
          </cell>
          <cell r="BI78">
            <v>96</v>
          </cell>
          <cell r="BJ78">
            <v>1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-800</v>
          </cell>
          <cell r="BP78">
            <v>800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-800</v>
          </cell>
        </row>
        <row r="79">
          <cell r="H79" t="str">
            <v>C223418</v>
          </cell>
          <cell r="I79" t="str">
            <v xml:space="preserve">DO-293A QTP                   </v>
          </cell>
          <cell r="J79" t="str">
            <v xml:space="preserve">                              </v>
          </cell>
          <cell r="K79" t="str">
            <v>OTONOMY AVIATION</v>
          </cell>
          <cell r="L79" t="str">
            <v>VSE</v>
          </cell>
          <cell r="M79">
            <v>44706</v>
          </cell>
          <cell r="N79" t="str">
            <v/>
          </cell>
          <cell r="O79">
            <v>10100</v>
          </cell>
          <cell r="P79">
            <v>0</v>
          </cell>
          <cell r="Q79">
            <v>1681</v>
          </cell>
          <cell r="R79">
            <v>1681</v>
          </cell>
          <cell r="S79">
            <v>0.51673267326732675</v>
          </cell>
          <cell r="T79">
            <v>0.59</v>
          </cell>
          <cell r="U79">
            <v>105</v>
          </cell>
          <cell r="V79">
            <v>41</v>
          </cell>
          <cell r="W79">
            <v>0</v>
          </cell>
          <cell r="X79">
            <v>64</v>
          </cell>
          <cell r="Y79">
            <v>64</v>
          </cell>
          <cell r="Z79">
            <v>0</v>
          </cell>
          <cell r="AA79">
            <v>10100</v>
          </cell>
          <cell r="AB79">
            <v>1681</v>
          </cell>
          <cell r="AC79">
            <v>3200</v>
          </cell>
          <cell r="AD79">
            <v>0.51673267326732675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5050</v>
          </cell>
          <cell r="AZ79">
            <v>3470.9985178118136</v>
          </cell>
          <cell r="BA79">
            <v>7.4075465192659067</v>
          </cell>
          <cell r="BB79">
            <v>1681</v>
          </cell>
          <cell r="BC79">
            <v>3200</v>
          </cell>
          <cell r="BD79">
            <v>0.34439664003278014</v>
          </cell>
          <cell r="BE79">
            <v>0.5</v>
          </cell>
          <cell r="BF79">
            <v>-1571.5939356689205</v>
          </cell>
          <cell r="BG79">
            <v>0</v>
          </cell>
          <cell r="BH79">
            <v>0</v>
          </cell>
          <cell r="BI79">
            <v>96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7.4075465192659067</v>
          </cell>
          <cell r="BO79">
            <v>0</v>
          </cell>
          <cell r="BP79">
            <v>7.4075465192659067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6621.5939356689214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</row>
        <row r="80">
          <cell r="H80" t="str">
            <v>C223444</v>
          </cell>
          <cell r="I80" t="str">
            <v xml:space="preserve">SUIVI PGM UPNEXT              </v>
          </cell>
          <cell r="J80" t="str">
            <v xml:space="preserve">                              </v>
          </cell>
          <cell r="K80" t="str">
            <v xml:space="preserve">AEROTEC BLAGNAC </v>
          </cell>
          <cell r="L80" t="str">
            <v>BAZ</v>
          </cell>
          <cell r="M80">
            <v>44729</v>
          </cell>
          <cell r="N80">
            <v>45022</v>
          </cell>
          <cell r="O80">
            <v>40864.799999999996</v>
          </cell>
          <cell r="P80">
            <v>0</v>
          </cell>
          <cell r="Q80">
            <v>17466</v>
          </cell>
          <cell r="R80">
            <v>17466</v>
          </cell>
          <cell r="S80">
            <v>0.57259059141363711</v>
          </cell>
          <cell r="T80">
            <v>0.59</v>
          </cell>
          <cell r="U80">
            <v>425.67499999999995</v>
          </cell>
          <cell r="V80">
            <v>426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40864.799999999996</v>
          </cell>
          <cell r="AB80">
            <v>17466</v>
          </cell>
          <cell r="AC80">
            <v>0</v>
          </cell>
          <cell r="AD80">
            <v>0.57259059141363711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40864.799999999996</v>
          </cell>
          <cell r="AZ80">
            <v>40864.799999999996</v>
          </cell>
          <cell r="BA80">
            <v>0</v>
          </cell>
          <cell r="BB80">
            <v>17466</v>
          </cell>
          <cell r="BC80">
            <v>0</v>
          </cell>
          <cell r="BD80">
            <v>1</v>
          </cell>
          <cell r="BE80">
            <v>1</v>
          </cell>
          <cell r="BF80">
            <v>0</v>
          </cell>
          <cell r="BG80">
            <v>0</v>
          </cell>
          <cell r="BH80">
            <v>0</v>
          </cell>
          <cell r="BI80">
            <v>96</v>
          </cell>
          <cell r="BJ80">
            <v>1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</row>
        <row r="81">
          <cell r="H81" t="str">
            <v>C223451</v>
          </cell>
          <cell r="I81" t="str">
            <v xml:space="preserve">SB CHANGE OF CARPET           </v>
          </cell>
          <cell r="J81" t="str">
            <v xml:space="preserve">                              </v>
          </cell>
          <cell r="K81" t="str">
            <v>JAPA AERO DESIGN</v>
          </cell>
          <cell r="L81" t="str">
            <v>VGA</v>
          </cell>
          <cell r="M81">
            <v>44735</v>
          </cell>
          <cell r="N81">
            <v>44812</v>
          </cell>
          <cell r="O81">
            <v>2800</v>
          </cell>
          <cell r="P81">
            <v>0</v>
          </cell>
          <cell r="Q81">
            <v>984</v>
          </cell>
          <cell r="R81">
            <v>984</v>
          </cell>
          <cell r="S81">
            <v>0.64857142857142858</v>
          </cell>
          <cell r="T81">
            <v>0.59</v>
          </cell>
          <cell r="U81">
            <v>29</v>
          </cell>
          <cell r="V81">
            <v>24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2800</v>
          </cell>
          <cell r="AB81">
            <v>984</v>
          </cell>
          <cell r="AC81">
            <v>0</v>
          </cell>
          <cell r="AD81">
            <v>0.64857142857142858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2800</v>
          </cell>
          <cell r="BA81">
            <v>0</v>
          </cell>
          <cell r="BB81">
            <v>984</v>
          </cell>
          <cell r="BC81">
            <v>0</v>
          </cell>
          <cell r="BD81">
            <v>1</v>
          </cell>
          <cell r="BE81">
            <v>0</v>
          </cell>
          <cell r="BF81">
            <v>0</v>
          </cell>
          <cell r="BG81">
            <v>2800</v>
          </cell>
          <cell r="BH81">
            <v>0</v>
          </cell>
          <cell r="BI81">
            <v>96</v>
          </cell>
          <cell r="BJ81">
            <v>1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</row>
        <row r="82">
          <cell r="H82" t="str">
            <v>C223436</v>
          </cell>
          <cell r="I82" t="str">
            <v xml:space="preserve">SCOPE A - ULPHOSTERY SEATS    </v>
          </cell>
          <cell r="J82" t="str">
            <v xml:space="preserve">                              </v>
          </cell>
          <cell r="K82" t="str">
            <v xml:space="preserve">DASSAULT AVIATION BUSINESS SERVICES </v>
          </cell>
          <cell r="L82" t="str">
            <v>VGA</v>
          </cell>
          <cell r="M82">
            <v>44735</v>
          </cell>
          <cell r="N82">
            <v>45014</v>
          </cell>
          <cell r="O82">
            <v>41400</v>
          </cell>
          <cell r="P82">
            <v>0</v>
          </cell>
          <cell r="Q82">
            <v>17261</v>
          </cell>
          <cell r="R82">
            <v>17261</v>
          </cell>
          <cell r="S82">
            <v>0.58306763285024155</v>
          </cell>
          <cell r="T82">
            <v>0.59</v>
          </cell>
          <cell r="U82">
            <v>420</v>
          </cell>
          <cell r="V82">
            <v>421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41400</v>
          </cell>
          <cell r="AB82">
            <v>17261</v>
          </cell>
          <cell r="AC82">
            <v>0</v>
          </cell>
          <cell r="AD82">
            <v>0.58306763285024155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41400</v>
          </cell>
          <cell r="AZ82">
            <v>37673.312892064474</v>
          </cell>
          <cell r="BA82">
            <v>3726.687107935526</v>
          </cell>
          <cell r="BB82">
            <v>17261</v>
          </cell>
          <cell r="BC82">
            <v>0</v>
          </cell>
          <cell r="BD82">
            <v>1</v>
          </cell>
          <cell r="BE82">
            <v>1</v>
          </cell>
          <cell r="BF82">
            <v>0</v>
          </cell>
          <cell r="BG82">
            <v>0</v>
          </cell>
          <cell r="BH82">
            <v>0</v>
          </cell>
          <cell r="BI82">
            <v>96</v>
          </cell>
          <cell r="BJ82">
            <v>1</v>
          </cell>
          <cell r="BK82">
            <v>0</v>
          </cell>
          <cell r="BL82">
            <v>0</v>
          </cell>
          <cell r="BM82">
            <v>0</v>
          </cell>
          <cell r="BN82">
            <v>3726.687107935526</v>
          </cell>
          <cell r="BO82">
            <v>1086.5</v>
          </cell>
          <cell r="BP82">
            <v>2640.187107935526</v>
          </cell>
          <cell r="BQ82">
            <v>21600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X82">
            <v>0</v>
          </cell>
          <cell r="BY82">
            <v>26.5</v>
          </cell>
          <cell r="BZ82">
            <v>0</v>
          </cell>
          <cell r="CA82">
            <v>0</v>
          </cell>
        </row>
        <row r="83">
          <cell r="H83" t="str">
            <v>C223308</v>
          </cell>
          <cell r="I83" t="str">
            <v xml:space="preserve">MODS 21006 / 21007            </v>
          </cell>
          <cell r="J83" t="str">
            <v xml:space="preserve">                              </v>
          </cell>
          <cell r="K83" t="str">
            <v xml:space="preserve">ASTRONICS CSC </v>
          </cell>
          <cell r="L83" t="str">
            <v>VSE</v>
          </cell>
          <cell r="M83">
            <v>44735</v>
          </cell>
          <cell r="N83">
            <v>45199</v>
          </cell>
          <cell r="O83">
            <v>6900</v>
          </cell>
          <cell r="P83">
            <v>0</v>
          </cell>
          <cell r="Q83">
            <v>2296</v>
          </cell>
          <cell r="R83">
            <v>2296</v>
          </cell>
          <cell r="S83">
            <v>0.66724637681159416</v>
          </cell>
          <cell r="T83">
            <v>0.59</v>
          </cell>
          <cell r="U83">
            <v>71</v>
          </cell>
          <cell r="V83">
            <v>56</v>
          </cell>
          <cell r="W83">
            <v>0</v>
          </cell>
          <cell r="X83">
            <v>0</v>
          </cell>
          <cell r="Y83">
            <v>15</v>
          </cell>
          <cell r="Z83">
            <v>0</v>
          </cell>
          <cell r="AA83">
            <v>6900</v>
          </cell>
          <cell r="AB83">
            <v>2296</v>
          </cell>
          <cell r="AC83">
            <v>0</v>
          </cell>
          <cell r="AD83">
            <v>0.66724637681159416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6900</v>
          </cell>
          <cell r="AZ83">
            <v>3946.6074825618266</v>
          </cell>
          <cell r="BA83">
            <v>2953.3925174381734</v>
          </cell>
          <cell r="BB83">
            <v>2296</v>
          </cell>
          <cell r="BC83">
            <v>0</v>
          </cell>
          <cell r="BD83">
            <v>1</v>
          </cell>
          <cell r="BE83">
            <v>1</v>
          </cell>
          <cell r="BF83">
            <v>0</v>
          </cell>
          <cell r="BG83">
            <v>0</v>
          </cell>
          <cell r="BH83">
            <v>0</v>
          </cell>
          <cell r="BI83">
            <v>96</v>
          </cell>
          <cell r="BJ83">
            <v>1</v>
          </cell>
          <cell r="BK83">
            <v>0</v>
          </cell>
          <cell r="BL83">
            <v>-750</v>
          </cell>
          <cell r="BM83">
            <v>0.2462245567957978</v>
          </cell>
          <cell r="BN83">
            <v>2953.3925174381734</v>
          </cell>
          <cell r="BO83">
            <v>492</v>
          </cell>
          <cell r="BP83">
            <v>2461.3925174381734</v>
          </cell>
          <cell r="BQ83">
            <v>0</v>
          </cell>
          <cell r="BR83">
            <v>1698.9494418910044</v>
          </cell>
          <cell r="BS83">
            <v>0</v>
          </cell>
          <cell r="BT83">
            <v>1698.9494418910044</v>
          </cell>
          <cell r="BU83">
            <v>0</v>
          </cell>
          <cell r="BV83">
            <v>0</v>
          </cell>
          <cell r="BX83">
            <v>0</v>
          </cell>
          <cell r="BY83">
            <v>12</v>
          </cell>
          <cell r="BZ83">
            <v>0</v>
          </cell>
          <cell r="CA83">
            <v>0</v>
          </cell>
        </row>
        <row r="84">
          <cell r="H84" t="str">
            <v>C223346</v>
          </cell>
          <cell r="I84" t="str">
            <v xml:space="preserve">MODIF A/C DE MISSION          </v>
          </cell>
          <cell r="J84" t="str">
            <v xml:space="preserve">                              </v>
          </cell>
          <cell r="K84" t="str">
            <v xml:space="preserve">DAHER AEROSPACE </v>
          </cell>
          <cell r="L84" t="str">
            <v>BAZ</v>
          </cell>
          <cell r="M84">
            <v>44746</v>
          </cell>
          <cell r="N84" t="str">
            <v/>
          </cell>
          <cell r="O84">
            <v>3536159</v>
          </cell>
          <cell r="P84">
            <v>0</v>
          </cell>
          <cell r="Q84">
            <v>1279789.2075086997</v>
          </cell>
          <cell r="R84">
            <v>998311.50877699989</v>
          </cell>
          <cell r="S84">
            <v>0.48770878703360532</v>
          </cell>
          <cell r="T84">
            <v>0.29681987433257384</v>
          </cell>
          <cell r="U84">
            <v>9144.5104166666661</v>
          </cell>
          <cell r="V84">
            <v>2756.75</v>
          </cell>
          <cell r="W84">
            <v>1623</v>
          </cell>
          <cell r="X84">
            <v>1639.760416666667</v>
          </cell>
          <cell r="Y84">
            <v>2303.260416666667</v>
          </cell>
          <cell r="Z84">
            <v>663.5</v>
          </cell>
          <cell r="AA84">
            <v>877873</v>
          </cell>
          <cell r="AB84">
            <v>194176.75</v>
          </cell>
          <cell r="AC84">
            <v>81988.020833333343</v>
          </cell>
          <cell r="AD84">
            <v>0.68541603303287224</v>
          </cell>
          <cell r="AE84">
            <v>2658286</v>
          </cell>
          <cell r="AF84">
            <v>455413.04750869982</v>
          </cell>
          <cell r="AG84">
            <v>455413.10877699993</v>
          </cell>
          <cell r="AH84">
            <v>-6.1268300109077245E-2</v>
          </cell>
          <cell r="AI84">
            <v>1683.1787770000005</v>
          </cell>
          <cell r="AJ84">
            <v>109345.36500999995</v>
          </cell>
          <cell r="AK84">
            <v>80855.075009999215</v>
          </cell>
          <cell r="AL84">
            <v>-58490.290000000736</v>
          </cell>
          <cell r="AM84">
            <v>628120</v>
          </cell>
          <cell r="AN84">
            <v>346642.24</v>
          </cell>
          <cell r="AO84">
            <v>0</v>
          </cell>
          <cell r="AP84">
            <v>0</v>
          </cell>
          <cell r="AQ84">
            <v>0</v>
          </cell>
          <cell r="AR84">
            <v>0.55126031867199399</v>
          </cell>
          <cell r="AS84">
            <v>0</v>
          </cell>
          <cell r="AT84">
            <v>2079.41</v>
          </cell>
          <cell r="AU84">
            <v>40420.590000000004</v>
          </cell>
          <cell r="AV84">
            <v>40420.590000000004</v>
          </cell>
          <cell r="AW84">
            <v>0</v>
          </cell>
          <cell r="AX84">
            <v>0</v>
          </cell>
          <cell r="AY84">
            <v>1944888</v>
          </cell>
          <cell r="AZ84">
            <v>420466.18716332939</v>
          </cell>
          <cell r="BA84">
            <v>1528252.5952579635</v>
          </cell>
          <cell r="BB84">
            <v>998311.50877699989</v>
          </cell>
          <cell r="BC84">
            <v>813231.67457503313</v>
          </cell>
          <cell r="BD84">
            <v>0.55108347289284587</v>
          </cell>
          <cell r="BE84">
            <v>0.55000015553599257</v>
          </cell>
          <cell r="BF84">
            <v>0</v>
          </cell>
          <cell r="BG84">
            <v>3830.7824212929986</v>
          </cell>
          <cell r="BH84">
            <v>300000</v>
          </cell>
          <cell r="BI84">
            <v>96</v>
          </cell>
          <cell r="BJ84">
            <v>0.56000000000000005</v>
          </cell>
          <cell r="BK84">
            <v>-300000</v>
          </cell>
          <cell r="BL84">
            <v>-35188.499999999884</v>
          </cell>
          <cell r="BM84">
            <v>4.7783363539698587E-2</v>
          </cell>
          <cell r="BN84">
            <v>1528252.5952579635</v>
          </cell>
          <cell r="BO84">
            <v>722447.88917239197</v>
          </cell>
          <cell r="BP84">
            <v>805804.70608557155</v>
          </cell>
          <cell r="BQ84">
            <v>530424</v>
          </cell>
          <cell r="BR84">
            <v>168969.57103117695</v>
          </cell>
          <cell r="BS84">
            <v>68851.250599999912</v>
          </cell>
          <cell r="BT84">
            <v>100118.32043117704</v>
          </cell>
          <cell r="BU84">
            <v>0</v>
          </cell>
          <cell r="BV84">
            <v>31530.2575787073</v>
          </cell>
          <cell r="BX84">
            <v>1555909.96</v>
          </cell>
          <cell r="BY84">
            <v>1919.25</v>
          </cell>
          <cell r="BZ84">
            <v>1384</v>
          </cell>
          <cell r="CA84">
            <v>227916.39917239203</v>
          </cell>
        </row>
        <row r="85">
          <cell r="H85" t="str">
            <v>C223453</v>
          </cell>
          <cell r="I85" t="str">
            <v xml:space="preserve">ETUDE PART LIST MSN 40253     </v>
          </cell>
          <cell r="J85" t="str">
            <v xml:space="preserve">                              </v>
          </cell>
          <cell r="K85" t="str">
            <v>AERO CABIN SOLUTIONS</v>
          </cell>
          <cell r="L85" t="str">
            <v>FDE</v>
          </cell>
          <cell r="M85">
            <v>44889</v>
          </cell>
          <cell r="N85" t="str">
            <v/>
          </cell>
          <cell r="O85">
            <v>66000</v>
          </cell>
          <cell r="P85">
            <v>0</v>
          </cell>
          <cell r="Q85">
            <v>37224.120000000003</v>
          </cell>
          <cell r="R85">
            <v>37224.120000000003</v>
          </cell>
          <cell r="S85">
            <v>0.37614969696969691</v>
          </cell>
          <cell r="T85">
            <v>0.59</v>
          </cell>
          <cell r="U85">
            <v>687.5</v>
          </cell>
          <cell r="V85">
            <v>551.5</v>
          </cell>
          <cell r="W85">
            <v>24</v>
          </cell>
          <cell r="X85">
            <v>79</v>
          </cell>
          <cell r="Y85">
            <v>0</v>
          </cell>
          <cell r="Z85">
            <v>14.5</v>
          </cell>
          <cell r="AA85">
            <v>66000</v>
          </cell>
          <cell r="AB85">
            <v>23811.5</v>
          </cell>
          <cell r="AC85">
            <v>3950</v>
          </cell>
          <cell r="AD85">
            <v>0.57937121212121212</v>
          </cell>
          <cell r="AE85">
            <v>0</v>
          </cell>
          <cell r="AF85">
            <v>13412.62</v>
          </cell>
          <cell r="AG85">
            <v>13412.62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33000</v>
          </cell>
          <cell r="AZ85">
            <v>34481.597737228803</v>
          </cell>
          <cell r="BA85">
            <v>31518.402262771197</v>
          </cell>
          <cell r="BB85">
            <v>37224.120000000003</v>
          </cell>
          <cell r="BC85">
            <v>3950</v>
          </cell>
          <cell r="BD85">
            <v>1</v>
          </cell>
          <cell r="BE85">
            <v>0.5</v>
          </cell>
          <cell r="BF85">
            <v>0</v>
          </cell>
          <cell r="BG85">
            <v>33000</v>
          </cell>
          <cell r="BH85">
            <v>0</v>
          </cell>
          <cell r="BI85">
            <v>96</v>
          </cell>
          <cell r="BJ85">
            <v>1</v>
          </cell>
          <cell r="BK85">
            <v>0</v>
          </cell>
          <cell r="BL85">
            <v>4544.5</v>
          </cell>
          <cell r="BM85">
            <v>0</v>
          </cell>
          <cell r="BN85">
            <v>31518.402262771197</v>
          </cell>
          <cell r="BO85">
            <v>17231</v>
          </cell>
          <cell r="BP85">
            <v>14287.402262771197</v>
          </cell>
          <cell r="BQ85">
            <v>0</v>
          </cell>
          <cell r="BR85">
            <v>0</v>
          </cell>
          <cell r="BS85">
            <v>594.5</v>
          </cell>
          <cell r="BT85">
            <v>-594.5</v>
          </cell>
          <cell r="BU85">
            <v>0</v>
          </cell>
          <cell r="BV85">
            <v>0</v>
          </cell>
          <cell r="BX85">
            <v>0</v>
          </cell>
          <cell r="BY85">
            <v>391</v>
          </cell>
          <cell r="BZ85">
            <v>24</v>
          </cell>
          <cell r="CA85">
            <v>0</v>
          </cell>
        </row>
        <row r="86">
          <cell r="H86" t="str">
            <v>C223459</v>
          </cell>
          <cell r="I86" t="str">
            <v xml:space="preserve">ERJ 170-200LR SAL LIVERY      </v>
          </cell>
          <cell r="J86" t="str">
            <v xml:space="preserve">                              </v>
          </cell>
          <cell r="K86" t="str">
            <v xml:space="preserve">REGIO LEASE </v>
          </cell>
          <cell r="L86" t="str">
            <v>VGA</v>
          </cell>
          <cell r="M86">
            <v>44775</v>
          </cell>
          <cell r="N86" t="str">
            <v/>
          </cell>
          <cell r="O86">
            <v>4500</v>
          </cell>
          <cell r="P86">
            <v>0</v>
          </cell>
          <cell r="Q86">
            <v>1168.5</v>
          </cell>
          <cell r="R86">
            <v>1168.5</v>
          </cell>
          <cell r="S86">
            <v>0.54588888888888887</v>
          </cell>
          <cell r="T86">
            <v>0.59</v>
          </cell>
          <cell r="U86">
            <v>46</v>
          </cell>
          <cell r="V86">
            <v>28.5</v>
          </cell>
          <cell r="W86">
            <v>0</v>
          </cell>
          <cell r="X86">
            <v>17.5</v>
          </cell>
          <cell r="Y86">
            <v>17.5</v>
          </cell>
          <cell r="Z86">
            <v>0</v>
          </cell>
          <cell r="AA86">
            <v>4500</v>
          </cell>
          <cell r="AB86">
            <v>1168.5</v>
          </cell>
          <cell r="AC86">
            <v>875</v>
          </cell>
          <cell r="AD86">
            <v>0.54588888888888887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2371.695367450885</v>
          </cell>
          <cell r="BA86">
            <v>201.46342873213416</v>
          </cell>
          <cell r="BB86">
            <v>1168.5</v>
          </cell>
          <cell r="BC86">
            <v>875</v>
          </cell>
          <cell r="BD86">
            <v>0.57181306581844871</v>
          </cell>
          <cell r="BE86">
            <v>0</v>
          </cell>
          <cell r="BF86">
            <v>0</v>
          </cell>
          <cell r="BG86">
            <v>2573.1587961830191</v>
          </cell>
          <cell r="BH86">
            <v>0</v>
          </cell>
          <cell r="BI86">
            <v>96</v>
          </cell>
          <cell r="BJ86">
            <v>1</v>
          </cell>
          <cell r="BK86">
            <v>0</v>
          </cell>
          <cell r="BL86">
            <v>0</v>
          </cell>
          <cell r="BM86">
            <v>0</v>
          </cell>
          <cell r="BN86">
            <v>201.46342873213416</v>
          </cell>
          <cell r="BO86">
            <v>82</v>
          </cell>
          <cell r="BP86">
            <v>119.46342873213416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1926.8412038169809</v>
          </cell>
          <cell r="BX86">
            <v>0</v>
          </cell>
          <cell r="BY86">
            <v>2</v>
          </cell>
          <cell r="BZ86">
            <v>0</v>
          </cell>
          <cell r="CA86">
            <v>0</v>
          </cell>
        </row>
        <row r="87">
          <cell r="H87" t="str">
            <v>C213086-M</v>
          </cell>
          <cell r="I87" t="str">
            <v xml:space="preserve">MAIN D'OEUVRE                 </v>
          </cell>
          <cell r="J87" t="str">
            <v xml:space="preserve">                              </v>
          </cell>
          <cell r="K87" t="str">
            <v xml:space="preserve">BABCOCK INTERNATIONAL FRANCE AVIATION </v>
          </cell>
          <cell r="L87" t="str">
            <v>LUD</v>
          </cell>
          <cell r="M87">
            <v>44768</v>
          </cell>
          <cell r="N87" t="str">
            <v/>
          </cell>
          <cell r="O87">
            <v>1421.95</v>
          </cell>
          <cell r="P87">
            <v>0</v>
          </cell>
          <cell r="Q87">
            <v>1176.05</v>
          </cell>
          <cell r="R87">
            <v>1176.05</v>
          </cell>
          <cell r="S87">
            <v>0.17293153767713354</v>
          </cell>
          <cell r="T87">
            <v>0.52912549667709829</v>
          </cell>
          <cell r="U87">
            <v>8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1200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221.95</v>
          </cell>
          <cell r="AT87">
            <v>1176.05</v>
          </cell>
          <cell r="AU87">
            <v>0</v>
          </cell>
          <cell r="AV87">
            <v>0</v>
          </cell>
          <cell r="AW87">
            <v>0</v>
          </cell>
          <cell r="AX87">
            <v>-4.2987159270105879</v>
          </cell>
          <cell r="AY87">
            <v>1421.95</v>
          </cell>
          <cell r="AZ87">
            <v>1421.95</v>
          </cell>
          <cell r="BA87">
            <v>0</v>
          </cell>
          <cell r="BB87">
            <v>1176.05</v>
          </cell>
          <cell r="BC87">
            <v>0</v>
          </cell>
          <cell r="BD87">
            <v>1</v>
          </cell>
          <cell r="BE87">
            <v>1</v>
          </cell>
          <cell r="BF87">
            <v>0</v>
          </cell>
          <cell r="BG87">
            <v>0</v>
          </cell>
          <cell r="BH87">
            <v>0</v>
          </cell>
          <cell r="BI87">
            <v>96</v>
          </cell>
          <cell r="BJ87">
            <v>1</v>
          </cell>
          <cell r="BK87">
            <v>5.6843418860808015E-14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</row>
        <row r="88">
          <cell r="H88" t="str">
            <v>C223477</v>
          </cell>
          <cell r="I88" t="str">
            <v xml:space="preserve">A320 MSN 1637                 </v>
          </cell>
          <cell r="J88" t="str">
            <v xml:space="preserve">                              </v>
          </cell>
          <cell r="K88" t="str">
            <v xml:space="preserve">EOLE AERO </v>
          </cell>
          <cell r="L88" t="str">
            <v>VGA</v>
          </cell>
          <cell r="M88">
            <v>44783</v>
          </cell>
          <cell r="N88">
            <v>44868</v>
          </cell>
          <cell r="O88">
            <v>5370</v>
          </cell>
          <cell r="P88">
            <v>0</v>
          </cell>
          <cell r="Q88">
            <v>3190</v>
          </cell>
          <cell r="R88">
            <v>3190</v>
          </cell>
          <cell r="S88">
            <v>0.4059590316573557</v>
          </cell>
          <cell r="T88">
            <v>0.53407821229050279</v>
          </cell>
          <cell r="U88">
            <v>47.916666666666664</v>
          </cell>
          <cell r="V88">
            <v>50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4600</v>
          </cell>
          <cell r="AB88">
            <v>2050</v>
          </cell>
          <cell r="AC88">
            <v>0</v>
          </cell>
          <cell r="AD88">
            <v>0.55434782608695654</v>
          </cell>
          <cell r="AE88">
            <v>770</v>
          </cell>
          <cell r="AF88">
            <v>1140</v>
          </cell>
          <cell r="AG88">
            <v>1140</v>
          </cell>
          <cell r="AH88">
            <v>0</v>
          </cell>
          <cell r="AI88">
            <v>240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-0.48051948051948057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5370</v>
          </cell>
          <cell r="AZ88">
            <v>5370</v>
          </cell>
          <cell r="BA88">
            <v>0</v>
          </cell>
          <cell r="BB88">
            <v>3190</v>
          </cell>
          <cell r="BC88">
            <v>0</v>
          </cell>
          <cell r="BD88">
            <v>1</v>
          </cell>
          <cell r="BE88">
            <v>1</v>
          </cell>
          <cell r="BF88">
            <v>0</v>
          </cell>
          <cell r="BG88">
            <v>0</v>
          </cell>
          <cell r="BH88">
            <v>0</v>
          </cell>
          <cell r="BI88">
            <v>96</v>
          </cell>
          <cell r="BJ88">
            <v>1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</row>
        <row r="89">
          <cell r="H89" t="str">
            <v>C223469</v>
          </cell>
          <cell r="I89" t="str">
            <v>1 MOIS DE SOUTIEN OPERATIONNEL</v>
          </cell>
          <cell r="J89" t="str">
            <v xml:space="preserve">                              </v>
          </cell>
          <cell r="K89" t="str">
            <v>LMO FLY DYNAMICS DEVELOPMENT</v>
          </cell>
          <cell r="L89" t="str">
            <v>PRO</v>
          </cell>
          <cell r="M89">
            <v>44774</v>
          </cell>
          <cell r="N89">
            <v>45051</v>
          </cell>
          <cell r="O89">
            <v>62365</v>
          </cell>
          <cell r="P89">
            <v>0</v>
          </cell>
          <cell r="Q89">
            <v>62365</v>
          </cell>
          <cell r="R89">
            <v>62365</v>
          </cell>
          <cell r="S89">
            <v>0</v>
          </cell>
          <cell r="T89">
            <v>0.2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62365</v>
          </cell>
          <cell r="AF89">
            <v>62365</v>
          </cell>
          <cell r="AG89">
            <v>62365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62365</v>
          </cell>
          <cell r="AZ89">
            <v>38565</v>
          </cell>
          <cell r="BA89">
            <v>23800</v>
          </cell>
          <cell r="BB89">
            <v>62365</v>
          </cell>
          <cell r="BC89">
            <v>0</v>
          </cell>
          <cell r="BD89">
            <v>1</v>
          </cell>
          <cell r="BE89">
            <v>1</v>
          </cell>
          <cell r="BF89">
            <v>0</v>
          </cell>
          <cell r="BG89">
            <v>0</v>
          </cell>
          <cell r="BH89">
            <v>0</v>
          </cell>
          <cell r="BI89">
            <v>96</v>
          </cell>
          <cell r="BJ89">
            <v>1</v>
          </cell>
          <cell r="BK89">
            <v>0</v>
          </cell>
          <cell r="BL89">
            <v>0</v>
          </cell>
          <cell r="BM89">
            <v>0</v>
          </cell>
          <cell r="BN89">
            <v>23800</v>
          </cell>
          <cell r="BO89">
            <v>23800</v>
          </cell>
          <cell r="BP89">
            <v>0</v>
          </cell>
          <cell r="BQ89">
            <v>23800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23800</v>
          </cell>
        </row>
        <row r="90">
          <cell r="H90" t="str">
            <v>C223431</v>
          </cell>
          <cell r="I90" t="str">
            <v>ECM 1946 SIMPLIFICATION RESEAU</v>
          </cell>
          <cell r="J90" t="str">
            <v xml:space="preserve">                              </v>
          </cell>
          <cell r="K90" t="str">
            <v xml:space="preserve">SAFRAN AIRCRAFT ENGINES </v>
          </cell>
          <cell r="L90" t="str">
            <v>BAZ</v>
          </cell>
          <cell r="M90">
            <v>44811</v>
          </cell>
          <cell r="N90">
            <v>45051</v>
          </cell>
          <cell r="O90">
            <v>8000</v>
          </cell>
          <cell r="P90">
            <v>0</v>
          </cell>
          <cell r="Q90">
            <v>3198</v>
          </cell>
          <cell r="R90">
            <v>3198</v>
          </cell>
          <cell r="S90">
            <v>0.60024999999999995</v>
          </cell>
          <cell r="T90">
            <v>0.59</v>
          </cell>
          <cell r="U90">
            <v>80</v>
          </cell>
          <cell r="V90">
            <v>78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8000</v>
          </cell>
          <cell r="AB90">
            <v>3198</v>
          </cell>
          <cell r="AC90">
            <v>0</v>
          </cell>
          <cell r="AD90">
            <v>0.60024999999999995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8000</v>
          </cell>
          <cell r="AZ90">
            <v>7384.2601500865885</v>
          </cell>
          <cell r="BA90">
            <v>615.73984991341149</v>
          </cell>
          <cell r="BB90">
            <v>3198</v>
          </cell>
          <cell r="BC90">
            <v>0</v>
          </cell>
          <cell r="BD90">
            <v>1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96</v>
          </cell>
          <cell r="BJ90">
            <v>1</v>
          </cell>
          <cell r="BK90">
            <v>0</v>
          </cell>
          <cell r="BL90">
            <v>0</v>
          </cell>
          <cell r="BM90">
            <v>0</v>
          </cell>
          <cell r="BN90">
            <v>615.73984991341149</v>
          </cell>
          <cell r="BO90">
            <v>0</v>
          </cell>
          <cell r="BP90">
            <v>615.73984991341149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</row>
        <row r="91">
          <cell r="H91" t="str">
            <v>C223504</v>
          </cell>
          <cell r="I91" t="str">
            <v xml:space="preserve">PRÉ-ETUDE                     </v>
          </cell>
          <cell r="J91" t="str">
            <v xml:space="preserve">                              </v>
          </cell>
          <cell r="K91" t="str">
            <v xml:space="preserve">HELIDAX </v>
          </cell>
          <cell r="L91" t="str">
            <v>LJA</v>
          </cell>
          <cell r="M91">
            <v>44817</v>
          </cell>
          <cell r="N91">
            <v>44932</v>
          </cell>
          <cell r="O91">
            <v>1200</v>
          </cell>
          <cell r="P91">
            <v>0</v>
          </cell>
          <cell r="Q91">
            <v>164</v>
          </cell>
          <cell r="R91">
            <v>164</v>
          </cell>
          <cell r="S91">
            <v>0.86333333333333329</v>
          </cell>
          <cell r="T91">
            <v>0.59</v>
          </cell>
          <cell r="U91">
            <v>12.5</v>
          </cell>
          <cell r="V91">
            <v>4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1200</v>
          </cell>
          <cell r="AB91">
            <v>164</v>
          </cell>
          <cell r="AC91">
            <v>0</v>
          </cell>
          <cell r="AD91">
            <v>0.86333333333333329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1200</v>
          </cell>
          <cell r="AZ91">
            <v>1200</v>
          </cell>
          <cell r="BA91">
            <v>0</v>
          </cell>
          <cell r="BB91">
            <v>164</v>
          </cell>
          <cell r="BC91">
            <v>0</v>
          </cell>
          <cell r="BD91">
            <v>1</v>
          </cell>
          <cell r="BE91">
            <v>1</v>
          </cell>
          <cell r="BF91">
            <v>0</v>
          </cell>
          <cell r="BG91">
            <v>0</v>
          </cell>
          <cell r="BH91">
            <v>0</v>
          </cell>
          <cell r="BI91">
            <v>96</v>
          </cell>
          <cell r="BJ91">
            <v>1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</row>
        <row r="92">
          <cell r="H92" t="str">
            <v>C223493</v>
          </cell>
          <cell r="I92" t="str">
            <v xml:space="preserve">APPROVED SERVICE BULLETIN     </v>
          </cell>
          <cell r="J92" t="str">
            <v xml:space="preserve">                              </v>
          </cell>
          <cell r="K92" t="str">
            <v>GLOBAL JD HOLDINGS INC</v>
          </cell>
          <cell r="L92" t="str">
            <v>JFA</v>
          </cell>
          <cell r="M92">
            <v>44821</v>
          </cell>
          <cell r="N92" t="str">
            <v/>
          </cell>
          <cell r="O92">
            <v>54698</v>
          </cell>
          <cell r="P92">
            <v>0</v>
          </cell>
          <cell r="Q92">
            <v>15560</v>
          </cell>
          <cell r="R92">
            <v>15560</v>
          </cell>
          <cell r="S92">
            <v>0.63002303557716921</v>
          </cell>
          <cell r="T92">
            <v>0.56629968188964852</v>
          </cell>
          <cell r="U92">
            <v>513.74</v>
          </cell>
          <cell r="V92">
            <v>360</v>
          </cell>
          <cell r="W92">
            <v>16</v>
          </cell>
          <cell r="X92">
            <v>47</v>
          </cell>
          <cell r="Y92">
            <v>47</v>
          </cell>
          <cell r="Z92">
            <v>0</v>
          </cell>
          <cell r="AA92">
            <v>51374</v>
          </cell>
          <cell r="AB92">
            <v>15560</v>
          </cell>
          <cell r="AC92">
            <v>2350</v>
          </cell>
          <cell r="AD92">
            <v>0.65138007552458443</v>
          </cell>
          <cell r="AE92">
            <v>3324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2327</v>
          </cell>
          <cell r="AP92">
            <v>2327</v>
          </cell>
          <cell r="AQ92">
            <v>0</v>
          </cell>
          <cell r="AR92">
            <v>0.29993983152827919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20050</v>
          </cell>
          <cell r="AZ92">
            <v>4038.2607439276944</v>
          </cell>
          <cell r="BA92">
            <v>38018.411687756845</v>
          </cell>
          <cell r="BB92">
            <v>15560</v>
          </cell>
          <cell r="BC92">
            <v>4677</v>
          </cell>
          <cell r="BD92">
            <v>0.76888866926916044</v>
          </cell>
          <cell r="BE92">
            <v>0.36655819225565833</v>
          </cell>
          <cell r="BF92">
            <v>0</v>
          </cell>
          <cell r="BG92">
            <v>22006.672431684539</v>
          </cell>
          <cell r="BH92">
            <v>0</v>
          </cell>
          <cell r="BI92">
            <v>96</v>
          </cell>
          <cell r="BJ92">
            <v>1</v>
          </cell>
          <cell r="BK92">
            <v>0</v>
          </cell>
          <cell r="BL92">
            <v>0</v>
          </cell>
          <cell r="BM92">
            <v>0</v>
          </cell>
          <cell r="BN92">
            <v>38018.411687756845</v>
          </cell>
          <cell r="BO92">
            <v>13469</v>
          </cell>
          <cell r="BP92">
            <v>24549.411687756845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12641.327568315464</v>
          </cell>
          <cell r="BX92">
            <v>0</v>
          </cell>
          <cell r="BY92">
            <v>309</v>
          </cell>
          <cell r="BZ92">
            <v>16</v>
          </cell>
          <cell r="CA92">
            <v>0</v>
          </cell>
        </row>
        <row r="93">
          <cell r="H93" t="str">
            <v>C223531</v>
          </cell>
          <cell r="I93" t="str">
            <v xml:space="preserve">INSTALLATION IP501 ICOM       </v>
          </cell>
          <cell r="J93">
            <v>22101</v>
          </cell>
          <cell r="K93" t="str">
            <v>ROTOR TEAM</v>
          </cell>
          <cell r="L93" t="str">
            <v>LJA</v>
          </cell>
          <cell r="M93">
            <v>44827</v>
          </cell>
          <cell r="N93" t="str">
            <v/>
          </cell>
          <cell r="O93">
            <v>17895</v>
          </cell>
          <cell r="P93">
            <v>0</v>
          </cell>
          <cell r="Q93">
            <v>15032.420000000002</v>
          </cell>
          <cell r="R93">
            <v>15032.420000000002</v>
          </cell>
          <cell r="S93">
            <v>0.15158312377759142</v>
          </cell>
          <cell r="T93">
            <v>0.35255658005029339</v>
          </cell>
          <cell r="U93">
            <v>73</v>
          </cell>
          <cell r="V93">
            <v>13</v>
          </cell>
          <cell r="W93">
            <v>72.100000000000023</v>
          </cell>
          <cell r="X93">
            <v>3</v>
          </cell>
          <cell r="Y93">
            <v>3</v>
          </cell>
          <cell r="Z93">
            <v>0</v>
          </cell>
          <cell r="AA93">
            <v>7000</v>
          </cell>
          <cell r="AB93">
            <v>4138.0000000000009</v>
          </cell>
          <cell r="AC93">
            <v>150</v>
          </cell>
          <cell r="AD93">
            <v>0.38742857142857134</v>
          </cell>
          <cell r="AE93">
            <v>10895</v>
          </cell>
          <cell r="AF93">
            <v>10894.42</v>
          </cell>
          <cell r="AG93">
            <v>10894.42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5.3235429095854769E-5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17588.797303568273</v>
          </cell>
          <cell r="BA93">
            <v>306.20269643172651</v>
          </cell>
          <cell r="BB93">
            <v>15032.420000000002</v>
          </cell>
          <cell r="BC93">
            <v>150</v>
          </cell>
          <cell r="BD93">
            <v>1</v>
          </cell>
          <cell r="BE93">
            <v>0</v>
          </cell>
          <cell r="BF93">
            <v>0</v>
          </cell>
          <cell r="BG93">
            <v>17895</v>
          </cell>
          <cell r="BH93">
            <v>0</v>
          </cell>
          <cell r="BI93">
            <v>96</v>
          </cell>
          <cell r="BJ93">
            <v>1</v>
          </cell>
          <cell r="BK93">
            <v>0</v>
          </cell>
          <cell r="BL93">
            <v>0</v>
          </cell>
          <cell r="BM93">
            <v>0</v>
          </cell>
          <cell r="BN93">
            <v>306.20269643172651</v>
          </cell>
          <cell r="BO93">
            <v>672</v>
          </cell>
          <cell r="BP93">
            <v>-365.79730356827349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X93">
            <v>0</v>
          </cell>
          <cell r="BY93">
            <v>7</v>
          </cell>
          <cell r="BZ93">
            <v>7.7000000000000028</v>
          </cell>
          <cell r="CA93">
            <v>0</v>
          </cell>
        </row>
        <row r="94">
          <cell r="H94" t="str">
            <v>C223527</v>
          </cell>
          <cell r="I94" t="str">
            <v xml:space="preserve">MSN 35137 (F-HUYR)            </v>
          </cell>
          <cell r="J94" t="str">
            <v xml:space="preserve">                              </v>
          </cell>
          <cell r="K94" t="str">
            <v>TRANSAVIA FRANCE</v>
          </cell>
          <cell r="L94" t="str">
            <v>VGA</v>
          </cell>
          <cell r="M94">
            <v>44833</v>
          </cell>
          <cell r="N94">
            <v>44952</v>
          </cell>
          <cell r="O94">
            <v>10450</v>
          </cell>
          <cell r="P94">
            <v>0</v>
          </cell>
          <cell r="Q94">
            <v>5270</v>
          </cell>
          <cell r="R94">
            <v>5270</v>
          </cell>
          <cell r="S94">
            <v>0.49569377990430619</v>
          </cell>
          <cell r="T94">
            <v>0.59</v>
          </cell>
          <cell r="U94">
            <v>109</v>
          </cell>
          <cell r="V94">
            <v>120</v>
          </cell>
          <cell r="W94">
            <v>7</v>
          </cell>
          <cell r="X94">
            <v>0</v>
          </cell>
          <cell r="Y94">
            <v>0</v>
          </cell>
          <cell r="Z94">
            <v>0</v>
          </cell>
          <cell r="AA94">
            <v>10450</v>
          </cell>
          <cell r="AB94">
            <v>5270</v>
          </cell>
          <cell r="AC94">
            <v>0</v>
          </cell>
          <cell r="AD94">
            <v>0.49569377990430619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10450</v>
          </cell>
          <cell r="AZ94">
            <v>10450</v>
          </cell>
          <cell r="BA94">
            <v>0</v>
          </cell>
          <cell r="BB94">
            <v>5270</v>
          </cell>
          <cell r="BC94">
            <v>0</v>
          </cell>
          <cell r="BD94">
            <v>1</v>
          </cell>
          <cell r="BE94">
            <v>1</v>
          </cell>
          <cell r="BF94">
            <v>0</v>
          </cell>
          <cell r="BG94">
            <v>0</v>
          </cell>
          <cell r="BH94">
            <v>0</v>
          </cell>
          <cell r="BI94">
            <v>96</v>
          </cell>
          <cell r="BJ94">
            <v>1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10450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</row>
        <row r="95">
          <cell r="H95" t="str">
            <v>C223472</v>
          </cell>
          <cell r="I95" t="str">
            <v xml:space="preserve">H160 FI SAR - QUALIF HOUSSES  </v>
          </cell>
          <cell r="J95" t="str">
            <v xml:space="preserve">22108                         </v>
          </cell>
          <cell r="K95" t="str">
            <v xml:space="preserve">BABCOCK INTERNATIONAL FRANCE AVIATION </v>
          </cell>
          <cell r="L95" t="str">
            <v>LUD</v>
          </cell>
          <cell r="M95">
            <v>44824</v>
          </cell>
          <cell r="N95">
            <v>44951</v>
          </cell>
          <cell r="O95">
            <v>9000</v>
          </cell>
          <cell r="P95">
            <v>0</v>
          </cell>
          <cell r="Q95">
            <v>7666.9</v>
          </cell>
          <cell r="R95">
            <v>7666.9</v>
          </cell>
          <cell r="S95">
            <v>0.14812222222222227</v>
          </cell>
          <cell r="T95">
            <v>0.54666666666666663</v>
          </cell>
          <cell r="U95">
            <v>83.333333333333329</v>
          </cell>
          <cell r="V95">
            <v>82.5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8000</v>
          </cell>
          <cell r="AB95">
            <v>3382.5</v>
          </cell>
          <cell r="AC95">
            <v>0</v>
          </cell>
          <cell r="AD95">
            <v>0.57718749999999996</v>
          </cell>
          <cell r="AE95">
            <v>1000</v>
          </cell>
          <cell r="AF95">
            <v>881.24999999999955</v>
          </cell>
          <cell r="AG95">
            <v>881.25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3403.15</v>
          </cell>
          <cell r="AN95">
            <v>3403.15</v>
          </cell>
          <cell r="AO95">
            <v>0</v>
          </cell>
          <cell r="AP95">
            <v>0</v>
          </cell>
          <cell r="AQ95">
            <v>0</v>
          </cell>
          <cell r="AR95">
            <v>-3.2843999999999998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9000</v>
          </cell>
          <cell r="AZ95">
            <v>3752.2076531977518</v>
          </cell>
          <cell r="BA95">
            <v>5247.7923468022482</v>
          </cell>
          <cell r="BB95">
            <v>7666.9</v>
          </cell>
          <cell r="BC95">
            <v>-4.5474735088646412E-13</v>
          </cell>
          <cell r="BD95">
            <v>1</v>
          </cell>
          <cell r="BE95">
            <v>1</v>
          </cell>
          <cell r="BF95">
            <v>0</v>
          </cell>
          <cell r="BG95">
            <v>0</v>
          </cell>
          <cell r="BH95">
            <v>0</v>
          </cell>
          <cell r="BI95">
            <v>96</v>
          </cell>
          <cell r="BJ95">
            <v>1</v>
          </cell>
          <cell r="BK95">
            <v>0</v>
          </cell>
          <cell r="BL95">
            <v>0</v>
          </cell>
          <cell r="BM95">
            <v>0</v>
          </cell>
          <cell r="BN95">
            <v>5247.7923468022482</v>
          </cell>
          <cell r="BO95">
            <v>5329.9</v>
          </cell>
          <cell r="BP95">
            <v>-82.107653197751461</v>
          </cell>
          <cell r="BQ95">
            <v>9000</v>
          </cell>
          <cell r="BR95">
            <v>0</v>
          </cell>
          <cell r="BS95">
            <v>1816.9595099999997</v>
          </cell>
          <cell r="BT95">
            <v>-1816.9595099999997</v>
          </cell>
          <cell r="BU95">
            <v>4500</v>
          </cell>
          <cell r="BV95">
            <v>0</v>
          </cell>
          <cell r="BX95">
            <v>0</v>
          </cell>
          <cell r="BY95">
            <v>25.5</v>
          </cell>
          <cell r="BZ95">
            <v>0</v>
          </cell>
          <cell r="CA95">
            <v>881.25</v>
          </cell>
        </row>
        <row r="96">
          <cell r="H96" t="str">
            <v>C223535</v>
          </cell>
          <cell r="I96" t="str">
            <v xml:space="preserve">SB FOR J11 PROJECT            </v>
          </cell>
          <cell r="J96" t="str">
            <v xml:space="preserve">                              </v>
          </cell>
          <cell r="K96" t="str">
            <v>SAFRAN CABIN FRANCE SASU</v>
          </cell>
          <cell r="L96" t="str">
            <v>VGA</v>
          </cell>
          <cell r="M96">
            <v>44848</v>
          </cell>
          <cell r="N96">
            <v>44952</v>
          </cell>
          <cell r="O96">
            <v>14700</v>
          </cell>
          <cell r="P96">
            <v>0</v>
          </cell>
          <cell r="Q96">
            <v>6252.5</v>
          </cell>
          <cell r="R96">
            <v>6252.5</v>
          </cell>
          <cell r="S96">
            <v>0.57465986394557822</v>
          </cell>
          <cell r="T96">
            <v>0.59</v>
          </cell>
          <cell r="U96">
            <v>151</v>
          </cell>
          <cell r="V96">
            <v>152.5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14700</v>
          </cell>
          <cell r="AB96">
            <v>6252.5</v>
          </cell>
          <cell r="AC96">
            <v>0</v>
          </cell>
          <cell r="AD96">
            <v>0.57465986394557822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14700</v>
          </cell>
          <cell r="AZ96">
            <v>14700</v>
          </cell>
          <cell r="BA96">
            <v>0</v>
          </cell>
          <cell r="BB96">
            <v>6252.5</v>
          </cell>
          <cell r="BC96">
            <v>0</v>
          </cell>
          <cell r="BD96">
            <v>1</v>
          </cell>
          <cell r="BE96">
            <v>1</v>
          </cell>
          <cell r="BF96">
            <v>0</v>
          </cell>
          <cell r="BG96">
            <v>0</v>
          </cell>
          <cell r="BH96">
            <v>0</v>
          </cell>
          <cell r="BI96">
            <v>96</v>
          </cell>
          <cell r="BJ96">
            <v>1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7350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</row>
        <row r="97">
          <cell r="H97" t="str">
            <v>C223526</v>
          </cell>
          <cell r="I97" t="str">
            <v xml:space="preserve">F7X cabin refurbishment       </v>
          </cell>
          <cell r="J97" t="str">
            <v xml:space="preserve">                              </v>
          </cell>
          <cell r="K97" t="str">
            <v xml:space="preserve">JV AEROSERVICES </v>
          </cell>
          <cell r="L97" t="str">
            <v>FDE</v>
          </cell>
          <cell r="M97">
            <v>44852</v>
          </cell>
          <cell r="N97">
            <v>45007</v>
          </cell>
          <cell r="O97">
            <v>33300</v>
          </cell>
          <cell r="P97">
            <v>0</v>
          </cell>
          <cell r="Q97">
            <v>15435.25</v>
          </cell>
          <cell r="R97">
            <v>15435.25</v>
          </cell>
          <cell r="S97">
            <v>0.536478978978979</v>
          </cell>
          <cell r="T97">
            <v>0.59</v>
          </cell>
          <cell r="U97">
            <v>338.5</v>
          </cell>
          <cell r="V97">
            <v>375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33300</v>
          </cell>
          <cell r="AB97">
            <v>15375</v>
          </cell>
          <cell r="AC97">
            <v>0</v>
          </cell>
          <cell r="AD97">
            <v>0.53828828828828823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60.25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33300</v>
          </cell>
          <cell r="AZ97">
            <v>26381.238312902558</v>
          </cell>
          <cell r="BA97">
            <v>6918.7616870974416</v>
          </cell>
          <cell r="BB97">
            <v>15435.25</v>
          </cell>
          <cell r="BC97">
            <v>0</v>
          </cell>
          <cell r="BD97">
            <v>1</v>
          </cell>
          <cell r="BE97">
            <v>1</v>
          </cell>
          <cell r="BF97">
            <v>0</v>
          </cell>
          <cell r="BG97">
            <v>0</v>
          </cell>
          <cell r="BH97">
            <v>0</v>
          </cell>
          <cell r="BI97">
            <v>96</v>
          </cell>
          <cell r="BJ97">
            <v>1</v>
          </cell>
          <cell r="BK97">
            <v>0</v>
          </cell>
          <cell r="BL97">
            <v>0</v>
          </cell>
          <cell r="BM97">
            <v>0</v>
          </cell>
          <cell r="BN97">
            <v>6918.7616870974416</v>
          </cell>
          <cell r="BO97">
            <v>3996.25</v>
          </cell>
          <cell r="BP97">
            <v>2922.5116870974416</v>
          </cell>
          <cell r="BQ97">
            <v>16650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X97">
            <v>0</v>
          </cell>
          <cell r="BY97">
            <v>96</v>
          </cell>
          <cell r="BZ97">
            <v>0</v>
          </cell>
          <cell r="CA97">
            <v>60.25</v>
          </cell>
        </row>
        <row r="98">
          <cell r="H98" t="str">
            <v>C223556</v>
          </cell>
          <cell r="I98" t="str">
            <v xml:space="preserve">AJOUT D'APPLICABILITÉ         </v>
          </cell>
          <cell r="J98" t="str">
            <v xml:space="preserve">19087                         </v>
          </cell>
          <cell r="K98" t="str">
            <v xml:space="preserve">LUVIAIR LIMITED </v>
          </cell>
          <cell r="L98" t="str">
            <v>LJA</v>
          </cell>
          <cell r="M98">
            <v>44854</v>
          </cell>
          <cell r="N98">
            <v>44952</v>
          </cell>
          <cell r="O98">
            <v>1800</v>
          </cell>
          <cell r="P98">
            <v>0</v>
          </cell>
          <cell r="Q98">
            <v>874.99999999999989</v>
          </cell>
          <cell r="R98">
            <v>874.99999999999989</v>
          </cell>
          <cell r="S98">
            <v>0.51388888888888895</v>
          </cell>
          <cell r="T98">
            <v>0.59</v>
          </cell>
          <cell r="U98">
            <v>18.5</v>
          </cell>
          <cell r="V98">
            <v>4.9999999999999982</v>
          </cell>
          <cell r="W98">
            <v>13.4</v>
          </cell>
          <cell r="X98">
            <v>0</v>
          </cell>
          <cell r="Y98">
            <v>0</v>
          </cell>
          <cell r="Z98">
            <v>0</v>
          </cell>
          <cell r="AA98">
            <v>1800</v>
          </cell>
          <cell r="AB98">
            <v>874.99999999999989</v>
          </cell>
          <cell r="AC98">
            <v>0</v>
          </cell>
          <cell r="AD98">
            <v>0.51388888888888895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1800</v>
          </cell>
          <cell r="AZ98">
            <v>1800</v>
          </cell>
          <cell r="BA98">
            <v>0</v>
          </cell>
          <cell r="BB98">
            <v>874.99999999999989</v>
          </cell>
          <cell r="BC98">
            <v>0</v>
          </cell>
          <cell r="BD98">
            <v>1</v>
          </cell>
          <cell r="BE98">
            <v>1</v>
          </cell>
          <cell r="BF98">
            <v>0</v>
          </cell>
          <cell r="BG98">
            <v>0</v>
          </cell>
          <cell r="BH98">
            <v>0</v>
          </cell>
          <cell r="BI98">
            <v>96</v>
          </cell>
          <cell r="BJ98">
            <v>1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</row>
        <row r="99">
          <cell r="H99" t="str">
            <v>C223521</v>
          </cell>
          <cell r="I99" t="str">
            <v xml:space="preserve">SB LIVERY A350 THY            </v>
          </cell>
          <cell r="J99" t="str">
            <v xml:space="preserve">                              </v>
          </cell>
          <cell r="K99" t="str">
            <v>AIRBUS SAS</v>
          </cell>
          <cell r="L99" t="str">
            <v>JFA</v>
          </cell>
          <cell r="M99">
            <v>44855</v>
          </cell>
          <cell r="N99">
            <v>44959</v>
          </cell>
          <cell r="O99">
            <v>187795.25400000004</v>
          </cell>
          <cell r="P99">
            <v>-3532.9979999999923</v>
          </cell>
          <cell r="Q99">
            <v>156687.90525399998</v>
          </cell>
          <cell r="R99">
            <v>156687.9</v>
          </cell>
          <cell r="S99">
            <v>0.16564502075222864</v>
          </cell>
          <cell r="T99">
            <v>0.22630549057933072</v>
          </cell>
          <cell r="U99">
            <v>206</v>
          </cell>
          <cell r="V99">
            <v>201.5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12666.785346000048</v>
          </cell>
          <cell r="AB99">
            <v>8261.5</v>
          </cell>
          <cell r="AC99">
            <v>0</v>
          </cell>
          <cell r="AD99">
            <v>0.34778242669053838</v>
          </cell>
          <cell r="AE99">
            <v>175128.468654</v>
          </cell>
          <cell r="AF99">
            <v>148426.40525399998</v>
          </cell>
          <cell r="AG99">
            <v>148426.4</v>
          </cell>
          <cell r="AH99">
            <v>5.2539999887812883E-3</v>
          </cell>
          <cell r="AI99">
            <v>6429.4900000000016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0.15247128924969411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177196.26000000004</v>
          </cell>
          <cell r="AZ99">
            <v>194861.24728561105</v>
          </cell>
          <cell r="BA99">
            <v>-7065.9995826909144</v>
          </cell>
          <cell r="BB99">
            <v>156687.9</v>
          </cell>
          <cell r="BC99">
            <v>5.2539999887812883E-3</v>
          </cell>
          <cell r="BD99">
            <v>0.99999996646837563</v>
          </cell>
          <cell r="BE99">
            <v>0.94356090596410913</v>
          </cell>
          <cell r="BF99">
            <v>0</v>
          </cell>
          <cell r="BG99">
            <v>10598.987702920098</v>
          </cell>
          <cell r="BH99">
            <v>0</v>
          </cell>
          <cell r="BI99">
            <v>96</v>
          </cell>
          <cell r="BJ99">
            <v>1</v>
          </cell>
          <cell r="BK99">
            <v>0</v>
          </cell>
          <cell r="BL99">
            <v>0</v>
          </cell>
          <cell r="BM99">
            <v>0</v>
          </cell>
          <cell r="BN99">
            <v>-7065.9995826909144</v>
          </cell>
          <cell r="BO99">
            <v>820</v>
          </cell>
          <cell r="BP99">
            <v>-7885.9995826909144</v>
          </cell>
          <cell r="BQ99">
            <v>118737.88000000003</v>
          </cell>
          <cell r="BR99">
            <v>-3532.9978815328213</v>
          </cell>
          <cell r="BS99">
            <v>0</v>
          </cell>
          <cell r="BT99">
            <v>-3532.9978815328213</v>
          </cell>
          <cell r="BU99">
            <v>0</v>
          </cell>
          <cell r="BV99">
            <v>6.2970799044705927E-3</v>
          </cell>
          <cell r="BX99">
            <v>0</v>
          </cell>
          <cell r="BY99">
            <v>20</v>
          </cell>
          <cell r="BZ99">
            <v>0</v>
          </cell>
          <cell r="CA99">
            <v>0</v>
          </cell>
        </row>
        <row r="100">
          <cell r="H100" t="str">
            <v>C223473</v>
          </cell>
          <cell r="I100" t="str">
            <v xml:space="preserve">MISE A JOUR DOSSIER           </v>
          </cell>
          <cell r="J100" t="str">
            <v xml:space="preserve">                              </v>
          </cell>
          <cell r="K100" t="str">
            <v>TRANSACO SAS</v>
          </cell>
          <cell r="L100" t="str">
            <v>LUD</v>
          </cell>
          <cell r="M100">
            <v>44860</v>
          </cell>
          <cell r="N100">
            <v>45085</v>
          </cell>
          <cell r="O100">
            <v>9540</v>
          </cell>
          <cell r="P100">
            <v>900</v>
          </cell>
          <cell r="Q100">
            <v>4694.5</v>
          </cell>
          <cell r="R100">
            <v>4694.5</v>
          </cell>
          <cell r="S100">
            <v>0.5079140461215933</v>
          </cell>
          <cell r="T100">
            <v>0.59</v>
          </cell>
          <cell r="U100">
            <v>188</v>
          </cell>
          <cell r="V100">
            <v>114.5</v>
          </cell>
          <cell r="W100">
            <v>0</v>
          </cell>
          <cell r="X100">
            <v>0</v>
          </cell>
          <cell r="Y100">
            <v>0</v>
          </cell>
          <cell r="Z100">
            <v>3</v>
          </cell>
          <cell r="AA100">
            <v>9540</v>
          </cell>
          <cell r="AB100">
            <v>4694.5</v>
          </cell>
          <cell r="AC100">
            <v>0</v>
          </cell>
          <cell r="AD100">
            <v>0.5079140461215933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8640</v>
          </cell>
          <cell r="AZ100">
            <v>8640</v>
          </cell>
          <cell r="BA100">
            <v>900</v>
          </cell>
          <cell r="BB100">
            <v>4694.5</v>
          </cell>
          <cell r="BC100">
            <v>0</v>
          </cell>
          <cell r="BD100">
            <v>1</v>
          </cell>
          <cell r="BE100">
            <v>0.90566037735849059</v>
          </cell>
          <cell r="BF100">
            <v>0</v>
          </cell>
          <cell r="BG100">
            <v>899.99999999999977</v>
          </cell>
          <cell r="BH100">
            <v>0</v>
          </cell>
          <cell r="BI100">
            <v>96</v>
          </cell>
          <cell r="BJ100">
            <v>1</v>
          </cell>
          <cell r="BK100">
            <v>0</v>
          </cell>
          <cell r="BL100">
            <v>123</v>
          </cell>
          <cell r="BM100">
            <v>0</v>
          </cell>
          <cell r="BN100">
            <v>900</v>
          </cell>
          <cell r="BO100">
            <v>123</v>
          </cell>
          <cell r="BP100">
            <v>777</v>
          </cell>
          <cell r="BQ100">
            <v>0</v>
          </cell>
          <cell r="BR100">
            <v>900</v>
          </cell>
          <cell r="BS100">
            <v>123</v>
          </cell>
          <cell r="BT100">
            <v>777</v>
          </cell>
          <cell r="BU100">
            <v>0</v>
          </cell>
          <cell r="BV100">
            <v>0</v>
          </cell>
          <cell r="BX100">
            <v>0</v>
          </cell>
          <cell r="BY100">
            <v>3</v>
          </cell>
          <cell r="BZ100">
            <v>0</v>
          </cell>
          <cell r="CA100">
            <v>0</v>
          </cell>
        </row>
        <row r="101">
          <cell r="H101" t="str">
            <v>C223583</v>
          </cell>
          <cell r="I101" t="str">
            <v xml:space="preserve">KIT FOR RECARO 393 SEATS      </v>
          </cell>
          <cell r="J101" t="str">
            <v xml:space="preserve">                              </v>
          </cell>
          <cell r="K101" t="str">
            <v>TRANSAVIA FRANCE</v>
          </cell>
          <cell r="L101" t="str">
            <v>FDE</v>
          </cell>
          <cell r="M101">
            <v>44883</v>
          </cell>
          <cell r="N101">
            <v>45199</v>
          </cell>
          <cell r="O101">
            <v>31719.52</v>
          </cell>
          <cell r="P101">
            <v>0</v>
          </cell>
          <cell r="Q101">
            <v>43780.98</v>
          </cell>
          <cell r="R101">
            <v>43780.979999999996</v>
          </cell>
          <cell r="S101">
            <v>-0.38025354734245664</v>
          </cell>
          <cell r="T101">
            <v>0.28446258959782494</v>
          </cell>
          <cell r="U101">
            <v>71.557500000000005</v>
          </cell>
          <cell r="V101">
            <v>6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6869.52</v>
          </cell>
          <cell r="AB101">
            <v>246</v>
          </cell>
          <cell r="AC101">
            <v>0</v>
          </cell>
          <cell r="AD101">
            <v>0.96418963770394439</v>
          </cell>
          <cell r="AE101">
            <v>24850</v>
          </cell>
          <cell r="AF101">
            <v>34393.620000000003</v>
          </cell>
          <cell r="AG101">
            <v>34393.619999999995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9039.24</v>
          </cell>
          <cell r="AN101">
            <v>9039.24</v>
          </cell>
          <cell r="AO101">
            <v>0</v>
          </cell>
          <cell r="AP101">
            <v>0</v>
          </cell>
          <cell r="AQ101">
            <v>0</v>
          </cell>
          <cell r="AR101">
            <v>-0.74780120724346077</v>
          </cell>
          <cell r="AS101">
            <v>0</v>
          </cell>
          <cell r="AT101">
            <v>102.12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31694.52</v>
          </cell>
          <cell r="AZ101">
            <v>18637.5</v>
          </cell>
          <cell r="BA101">
            <v>13082.019999999997</v>
          </cell>
          <cell r="BB101">
            <v>43780.979999999996</v>
          </cell>
          <cell r="BC101">
            <v>7.2759576141834259E-12</v>
          </cell>
          <cell r="BD101">
            <v>0.99999999999999989</v>
          </cell>
          <cell r="BE101">
            <v>0.99921184179331846</v>
          </cell>
          <cell r="BF101">
            <v>0</v>
          </cell>
          <cell r="BG101">
            <v>24.999999999995847</v>
          </cell>
          <cell r="BH101">
            <v>0</v>
          </cell>
          <cell r="BI101">
            <v>96</v>
          </cell>
          <cell r="BJ101">
            <v>1</v>
          </cell>
          <cell r="BK101">
            <v>0</v>
          </cell>
          <cell r="BL101">
            <v>0</v>
          </cell>
          <cell r="BM101">
            <v>0</v>
          </cell>
          <cell r="BN101">
            <v>13082.019999999997</v>
          </cell>
          <cell r="BO101">
            <v>28319.729999999996</v>
          </cell>
          <cell r="BP101">
            <v>-15237.71</v>
          </cell>
          <cell r="BQ101">
            <v>19269.52</v>
          </cell>
          <cell r="BR101">
            <v>0</v>
          </cell>
          <cell r="BS101">
            <v>0</v>
          </cell>
          <cell r="BT101">
            <v>0</v>
          </cell>
          <cell r="BU101">
            <v>6869.52</v>
          </cell>
          <cell r="BV101">
            <v>0</v>
          </cell>
          <cell r="BX101">
            <v>3.637978807091713E-12</v>
          </cell>
          <cell r="BY101">
            <v>6</v>
          </cell>
          <cell r="BZ101">
            <v>0</v>
          </cell>
          <cell r="CA101">
            <v>19034.489999999998</v>
          </cell>
        </row>
        <row r="102">
          <cell r="H102" t="str">
            <v>C223404</v>
          </cell>
          <cell r="I102" t="str">
            <v xml:space="preserve">F900 MEDEVAC STC              </v>
          </cell>
          <cell r="J102" t="str">
            <v xml:space="preserve">                              </v>
          </cell>
          <cell r="K102" t="str">
            <v xml:space="preserve">UUDS AERO </v>
          </cell>
          <cell r="L102" t="str">
            <v>TPA</v>
          </cell>
          <cell r="M102">
            <v>44742</v>
          </cell>
          <cell r="N102">
            <v>44959</v>
          </cell>
          <cell r="O102">
            <v>4800</v>
          </cell>
          <cell r="P102">
            <v>0</v>
          </cell>
          <cell r="Q102">
            <v>0</v>
          </cell>
          <cell r="R102">
            <v>0</v>
          </cell>
          <cell r="S102">
            <v>1</v>
          </cell>
          <cell r="T102">
            <v>0.59</v>
          </cell>
          <cell r="U102">
            <v>50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4800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4800</v>
          </cell>
          <cell r="AZ102">
            <v>0</v>
          </cell>
          <cell r="BA102">
            <v>4800</v>
          </cell>
          <cell r="BB102">
            <v>0</v>
          </cell>
          <cell r="BC102">
            <v>0</v>
          </cell>
          <cell r="BD102">
            <v>1</v>
          </cell>
          <cell r="BE102">
            <v>1</v>
          </cell>
          <cell r="BF102">
            <v>0</v>
          </cell>
          <cell r="BG102">
            <v>0</v>
          </cell>
          <cell r="BH102">
            <v>0</v>
          </cell>
          <cell r="BI102">
            <v>96</v>
          </cell>
          <cell r="BJ102">
            <v>1</v>
          </cell>
          <cell r="BK102">
            <v>0</v>
          </cell>
          <cell r="BL102">
            <v>0</v>
          </cell>
          <cell r="BM102">
            <v>0</v>
          </cell>
          <cell r="BN102">
            <v>4800</v>
          </cell>
          <cell r="BO102">
            <v>0</v>
          </cell>
          <cell r="BP102">
            <v>4800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</row>
        <row r="103">
          <cell r="H103" t="str">
            <v>C223455</v>
          </cell>
          <cell r="I103" t="str">
            <v xml:space="preserve">DOSSIER COVER PROTECTION      </v>
          </cell>
          <cell r="J103" t="str">
            <v xml:space="preserve">                              </v>
          </cell>
          <cell r="K103" t="str">
            <v xml:space="preserve">HELIDAX </v>
          </cell>
          <cell r="L103" t="str">
            <v>LJA</v>
          </cell>
          <cell r="M103">
            <v>44886</v>
          </cell>
          <cell r="N103">
            <v>44942</v>
          </cell>
          <cell r="O103">
            <v>3200</v>
          </cell>
          <cell r="P103">
            <v>0</v>
          </cell>
          <cell r="Q103">
            <v>1759.86</v>
          </cell>
          <cell r="R103">
            <v>1759.86</v>
          </cell>
          <cell r="S103">
            <v>0.45004375000000008</v>
          </cell>
          <cell r="T103">
            <v>0.59</v>
          </cell>
          <cell r="U103">
            <v>33.333333333333336</v>
          </cell>
          <cell r="V103">
            <v>0</v>
          </cell>
          <cell r="W103">
            <v>34.4</v>
          </cell>
          <cell r="X103">
            <v>0</v>
          </cell>
          <cell r="Y103">
            <v>0</v>
          </cell>
          <cell r="Z103">
            <v>0</v>
          </cell>
          <cell r="AA103">
            <v>3200</v>
          </cell>
          <cell r="AB103">
            <v>1720</v>
          </cell>
          <cell r="AC103">
            <v>0</v>
          </cell>
          <cell r="AD103">
            <v>0.46250000000000002</v>
          </cell>
          <cell r="AE103">
            <v>0</v>
          </cell>
          <cell r="AF103">
            <v>39.86</v>
          </cell>
          <cell r="AG103">
            <v>39.86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3200</v>
          </cell>
          <cell r="AZ103">
            <v>3155.1785574218707</v>
          </cell>
          <cell r="BA103">
            <v>44.821442578129336</v>
          </cell>
          <cell r="BB103">
            <v>1759.86</v>
          </cell>
          <cell r="BC103">
            <v>0</v>
          </cell>
          <cell r="BD103">
            <v>1</v>
          </cell>
          <cell r="BE103">
            <v>1</v>
          </cell>
          <cell r="BF103">
            <v>0</v>
          </cell>
          <cell r="BG103">
            <v>0</v>
          </cell>
          <cell r="BH103">
            <v>0</v>
          </cell>
          <cell r="BI103">
            <v>96</v>
          </cell>
          <cell r="BJ103">
            <v>1</v>
          </cell>
          <cell r="BK103">
            <v>0</v>
          </cell>
          <cell r="BL103">
            <v>0</v>
          </cell>
          <cell r="BM103">
            <v>0</v>
          </cell>
          <cell r="BN103">
            <v>44.821442578129336</v>
          </cell>
          <cell r="BO103">
            <v>0</v>
          </cell>
          <cell r="BP103">
            <v>44.821442578129336</v>
          </cell>
          <cell r="BQ103">
            <v>3200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</row>
        <row r="104">
          <cell r="H104" t="str">
            <v>C223511</v>
          </cell>
          <cell r="I104" t="str">
            <v xml:space="preserve">MODIFICATION : DEACTIVATION   </v>
          </cell>
          <cell r="J104" t="str">
            <v xml:space="preserve">                              </v>
          </cell>
          <cell r="K104" t="str">
            <v>AIR ASTANA</v>
          </cell>
          <cell r="L104" t="str">
            <v>VSE</v>
          </cell>
          <cell r="M104">
            <v>44887</v>
          </cell>
          <cell r="N104">
            <v>44959</v>
          </cell>
          <cell r="O104">
            <v>4700</v>
          </cell>
          <cell r="P104">
            <v>0</v>
          </cell>
          <cell r="Q104">
            <v>1066</v>
          </cell>
          <cell r="R104">
            <v>1066</v>
          </cell>
          <cell r="S104">
            <v>0.77319148936170212</v>
          </cell>
          <cell r="T104">
            <v>0.59</v>
          </cell>
          <cell r="U104">
            <v>48.958333333333336</v>
          </cell>
          <cell r="V104">
            <v>26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4700</v>
          </cell>
          <cell r="AB104">
            <v>1066</v>
          </cell>
          <cell r="AC104">
            <v>0</v>
          </cell>
          <cell r="AD104">
            <v>0.77319148936170212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4700</v>
          </cell>
          <cell r="AZ104">
            <v>0</v>
          </cell>
          <cell r="BA104">
            <v>4700</v>
          </cell>
          <cell r="BB104">
            <v>1066</v>
          </cell>
          <cell r="BC104">
            <v>0</v>
          </cell>
          <cell r="BD104">
            <v>1</v>
          </cell>
          <cell r="BE104">
            <v>1</v>
          </cell>
          <cell r="BF104">
            <v>0</v>
          </cell>
          <cell r="BG104">
            <v>0</v>
          </cell>
          <cell r="BH104">
            <v>0</v>
          </cell>
          <cell r="BI104">
            <v>96</v>
          </cell>
          <cell r="BJ104">
            <v>1</v>
          </cell>
          <cell r="BK104">
            <v>0</v>
          </cell>
          <cell r="BL104">
            <v>0</v>
          </cell>
          <cell r="BM104">
            <v>0</v>
          </cell>
          <cell r="BN104">
            <v>4700</v>
          </cell>
          <cell r="BO104">
            <v>1066</v>
          </cell>
          <cell r="BP104">
            <v>3634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X104">
            <v>0</v>
          </cell>
          <cell r="BY104">
            <v>26</v>
          </cell>
          <cell r="BZ104">
            <v>0</v>
          </cell>
          <cell r="CA104">
            <v>0</v>
          </cell>
        </row>
        <row r="105">
          <cell r="H105" t="str">
            <v>C223394</v>
          </cell>
          <cell r="I105" t="str">
            <v xml:space="preserve">FM INSTALLATION ON R66        </v>
          </cell>
          <cell r="J105" t="str">
            <v xml:space="preserve">21124                         </v>
          </cell>
          <cell r="K105" t="str">
            <v>HELI INVEST SERVICES</v>
          </cell>
          <cell r="L105" t="str">
            <v>LJA</v>
          </cell>
          <cell r="M105">
            <v>44887</v>
          </cell>
          <cell r="N105" t="str">
            <v/>
          </cell>
          <cell r="O105">
            <v>4800</v>
          </cell>
          <cell r="P105">
            <v>0</v>
          </cell>
          <cell r="Q105">
            <v>1878.9999999999998</v>
          </cell>
          <cell r="R105">
            <v>1878.9999999999998</v>
          </cell>
          <cell r="S105">
            <v>0.50437500000000002</v>
          </cell>
          <cell r="T105">
            <v>0.59</v>
          </cell>
          <cell r="U105">
            <v>50</v>
          </cell>
          <cell r="V105">
            <v>9</v>
          </cell>
          <cell r="W105">
            <v>30.199999999999996</v>
          </cell>
          <cell r="X105">
            <v>10</v>
          </cell>
          <cell r="Y105">
            <v>10</v>
          </cell>
          <cell r="Z105">
            <v>0</v>
          </cell>
          <cell r="AA105">
            <v>4800</v>
          </cell>
          <cell r="AB105">
            <v>1878.9999999999998</v>
          </cell>
          <cell r="AC105">
            <v>500</v>
          </cell>
          <cell r="AD105">
            <v>0.50437500000000002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4800</v>
          </cell>
          <cell r="AZ105">
            <v>1933.443163097199</v>
          </cell>
          <cell r="BA105">
            <v>1857.7295985673654</v>
          </cell>
          <cell r="BB105">
            <v>1878.9999999999998</v>
          </cell>
          <cell r="BC105">
            <v>500</v>
          </cell>
          <cell r="BD105">
            <v>0.78982765868011762</v>
          </cell>
          <cell r="BE105">
            <v>1</v>
          </cell>
          <cell r="BF105">
            <v>-1008.8272383354355</v>
          </cell>
          <cell r="BG105">
            <v>0</v>
          </cell>
          <cell r="BH105">
            <v>0</v>
          </cell>
          <cell r="BI105">
            <v>96</v>
          </cell>
          <cell r="BJ105">
            <v>1</v>
          </cell>
          <cell r="BK105">
            <v>0</v>
          </cell>
          <cell r="BL105">
            <v>0</v>
          </cell>
          <cell r="BM105">
            <v>0</v>
          </cell>
          <cell r="BN105">
            <v>1857.7295985673654</v>
          </cell>
          <cell r="BO105">
            <v>900.99999999999989</v>
          </cell>
          <cell r="BP105">
            <v>956.72959856736554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1008.8272383354356</v>
          </cell>
          <cell r="BX105">
            <v>0</v>
          </cell>
          <cell r="BY105">
            <v>6</v>
          </cell>
          <cell r="BZ105">
            <v>13.099999999999998</v>
          </cell>
          <cell r="CA105">
            <v>0</v>
          </cell>
        </row>
        <row r="106">
          <cell r="H106" t="str">
            <v>C223395</v>
          </cell>
          <cell r="I106" t="str">
            <v xml:space="preserve">FLIGHTCELL DZMX               </v>
          </cell>
          <cell r="J106" t="str">
            <v xml:space="preserve">22124                         </v>
          </cell>
          <cell r="K106" t="str">
            <v>HELI INVEST SERVICES</v>
          </cell>
          <cell r="L106" t="str">
            <v>LJA</v>
          </cell>
          <cell r="M106">
            <v>44887</v>
          </cell>
          <cell r="N106">
            <v>45044</v>
          </cell>
          <cell r="O106">
            <v>5850</v>
          </cell>
          <cell r="P106">
            <v>0</v>
          </cell>
          <cell r="Q106">
            <v>3364.0000000000005</v>
          </cell>
          <cell r="R106">
            <v>3364.0000000000005</v>
          </cell>
          <cell r="S106">
            <v>0.42495726495726482</v>
          </cell>
          <cell r="T106">
            <v>0.59</v>
          </cell>
          <cell r="U106">
            <v>60.9375</v>
          </cell>
          <cell r="V106">
            <v>24</v>
          </cell>
          <cell r="W106">
            <v>47.600000000000009</v>
          </cell>
          <cell r="X106">
            <v>0</v>
          </cell>
          <cell r="Y106">
            <v>0</v>
          </cell>
          <cell r="Z106">
            <v>0</v>
          </cell>
          <cell r="AA106">
            <v>5850</v>
          </cell>
          <cell r="AB106">
            <v>3364.0000000000005</v>
          </cell>
          <cell r="AC106">
            <v>0</v>
          </cell>
          <cell r="AD106">
            <v>0.42495726495726482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5850</v>
          </cell>
          <cell r="AZ106">
            <v>2092.7999999999997</v>
          </cell>
          <cell r="BA106">
            <v>3757.2000000000003</v>
          </cell>
          <cell r="BB106">
            <v>3364.0000000000005</v>
          </cell>
          <cell r="BC106">
            <v>0</v>
          </cell>
          <cell r="BD106">
            <v>1</v>
          </cell>
          <cell r="BE106">
            <v>1</v>
          </cell>
          <cell r="BF106">
            <v>0</v>
          </cell>
          <cell r="BG106">
            <v>0</v>
          </cell>
          <cell r="BH106">
            <v>0</v>
          </cell>
          <cell r="BI106">
            <v>96</v>
          </cell>
          <cell r="BJ106">
            <v>1</v>
          </cell>
          <cell r="BK106">
            <v>0</v>
          </cell>
          <cell r="BL106">
            <v>0</v>
          </cell>
          <cell r="BM106">
            <v>0</v>
          </cell>
          <cell r="BN106">
            <v>3757.2000000000003</v>
          </cell>
          <cell r="BO106">
            <v>2274.0000000000005</v>
          </cell>
          <cell r="BP106">
            <v>1483.1999999999998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X106">
            <v>0</v>
          </cell>
          <cell r="BY106">
            <v>24</v>
          </cell>
          <cell r="BZ106">
            <v>25.800000000000008</v>
          </cell>
          <cell r="CA106">
            <v>0</v>
          </cell>
        </row>
        <row r="107">
          <cell r="H107" t="str">
            <v>C223580</v>
          </cell>
          <cell r="I107" t="str">
            <v xml:space="preserve">SB DEVELOPMENT F900LX MSN 245 </v>
          </cell>
          <cell r="J107" t="str">
            <v xml:space="preserve">                              </v>
          </cell>
          <cell r="K107" t="str">
            <v xml:space="preserve">DASSAULT AVIATION BUSINESS SERVICES </v>
          </cell>
          <cell r="L107" t="str">
            <v>VGA</v>
          </cell>
          <cell r="M107">
            <v>44886</v>
          </cell>
          <cell r="N107">
            <v>45016</v>
          </cell>
          <cell r="O107">
            <v>3300</v>
          </cell>
          <cell r="P107">
            <v>0</v>
          </cell>
          <cell r="Q107">
            <v>1394</v>
          </cell>
          <cell r="R107">
            <v>1394</v>
          </cell>
          <cell r="S107">
            <v>0.57757575757575763</v>
          </cell>
          <cell r="T107">
            <v>0.59</v>
          </cell>
          <cell r="U107">
            <v>34.375</v>
          </cell>
          <cell r="V107">
            <v>34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3300</v>
          </cell>
          <cell r="AB107">
            <v>1394</v>
          </cell>
          <cell r="AC107">
            <v>0</v>
          </cell>
          <cell r="AD107">
            <v>0.57757575757575763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3300</v>
          </cell>
          <cell r="AZ107">
            <v>3066.2889518413599</v>
          </cell>
          <cell r="BA107">
            <v>233.7110481586401</v>
          </cell>
          <cell r="BB107">
            <v>1394</v>
          </cell>
          <cell r="BC107">
            <v>0</v>
          </cell>
          <cell r="BD107">
            <v>1</v>
          </cell>
          <cell r="BE107">
            <v>1</v>
          </cell>
          <cell r="BF107">
            <v>0</v>
          </cell>
          <cell r="BG107">
            <v>0</v>
          </cell>
          <cell r="BH107">
            <v>0</v>
          </cell>
          <cell r="BI107">
            <v>96</v>
          </cell>
          <cell r="BJ107">
            <v>1</v>
          </cell>
          <cell r="BK107">
            <v>0</v>
          </cell>
          <cell r="BL107">
            <v>0</v>
          </cell>
          <cell r="BM107">
            <v>0</v>
          </cell>
          <cell r="BN107">
            <v>233.7110481586401</v>
          </cell>
          <cell r="BO107">
            <v>82</v>
          </cell>
          <cell r="BP107">
            <v>151.7110481586401</v>
          </cell>
          <cell r="BQ107">
            <v>3300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X107">
            <v>0</v>
          </cell>
          <cell r="BY107">
            <v>2</v>
          </cell>
          <cell r="BZ107">
            <v>0</v>
          </cell>
          <cell r="CA107">
            <v>0</v>
          </cell>
        </row>
        <row r="108">
          <cell r="H108" t="str">
            <v>C223567</v>
          </cell>
          <cell r="I108" t="str">
            <v xml:space="preserve">DOSSIER DE CERTIFICATION A330 </v>
          </cell>
          <cell r="J108" t="str">
            <v xml:space="preserve">                              </v>
          </cell>
          <cell r="K108" t="str">
            <v>ARESIA</v>
          </cell>
          <cell r="L108" t="str">
            <v>VGA</v>
          </cell>
          <cell r="M108">
            <v>44883</v>
          </cell>
          <cell r="N108">
            <v>45014</v>
          </cell>
          <cell r="O108">
            <v>7600</v>
          </cell>
          <cell r="P108">
            <v>0</v>
          </cell>
          <cell r="Q108">
            <v>4346</v>
          </cell>
          <cell r="R108">
            <v>4346</v>
          </cell>
          <cell r="S108">
            <v>0.42815789473684207</v>
          </cell>
          <cell r="T108">
            <v>0.59</v>
          </cell>
          <cell r="U108">
            <v>79.166666666666671</v>
          </cell>
          <cell r="V108">
            <v>106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7600</v>
          </cell>
          <cell r="AB108">
            <v>4346</v>
          </cell>
          <cell r="AC108">
            <v>0</v>
          </cell>
          <cell r="AD108">
            <v>0.42815789473684207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7600</v>
          </cell>
          <cell r="AZ108">
            <v>7209.254498714653</v>
          </cell>
          <cell r="BA108">
            <v>390.74550128534702</v>
          </cell>
          <cell r="BB108">
            <v>4346</v>
          </cell>
          <cell r="BC108">
            <v>0</v>
          </cell>
          <cell r="BD108">
            <v>1</v>
          </cell>
          <cell r="BE108">
            <v>1</v>
          </cell>
          <cell r="BF108">
            <v>0</v>
          </cell>
          <cell r="BG108">
            <v>0</v>
          </cell>
          <cell r="BH108">
            <v>0</v>
          </cell>
          <cell r="BI108">
            <v>96</v>
          </cell>
          <cell r="BJ108">
            <v>1</v>
          </cell>
          <cell r="BK108">
            <v>0</v>
          </cell>
          <cell r="BL108">
            <v>0</v>
          </cell>
          <cell r="BM108">
            <v>0</v>
          </cell>
          <cell r="BN108">
            <v>390.74550128534702</v>
          </cell>
          <cell r="BO108">
            <v>656</v>
          </cell>
          <cell r="BP108">
            <v>-265.25449871465298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X108">
            <v>0</v>
          </cell>
          <cell r="BY108">
            <v>16</v>
          </cell>
          <cell r="BZ108">
            <v>0</v>
          </cell>
          <cell r="CA108">
            <v>0</v>
          </cell>
        </row>
        <row r="109">
          <cell r="H109" t="str">
            <v>C223457</v>
          </cell>
          <cell r="I109" t="str">
            <v xml:space="preserve">1949-ECM-2022                 </v>
          </cell>
          <cell r="J109" t="str">
            <v xml:space="preserve">                              </v>
          </cell>
          <cell r="K109" t="str">
            <v xml:space="preserve">SAFRAN AIRCRAFT ENGINES </v>
          </cell>
          <cell r="L109" t="str">
            <v>BAZ</v>
          </cell>
          <cell r="M109">
            <v>44868</v>
          </cell>
          <cell r="N109">
            <v>45051</v>
          </cell>
          <cell r="O109">
            <v>5000</v>
          </cell>
          <cell r="P109">
            <v>0</v>
          </cell>
          <cell r="Q109">
            <v>1599</v>
          </cell>
          <cell r="R109">
            <v>1599</v>
          </cell>
          <cell r="S109">
            <v>0.68020000000000003</v>
          </cell>
          <cell r="T109">
            <v>0.2</v>
          </cell>
          <cell r="U109">
            <v>0</v>
          </cell>
          <cell r="V109">
            <v>39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1599</v>
          </cell>
          <cell r="AC109">
            <v>0</v>
          </cell>
          <cell r="AD109">
            <v>0</v>
          </cell>
          <cell r="AE109">
            <v>5000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1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5000</v>
          </cell>
          <cell r="AZ109">
            <v>0</v>
          </cell>
          <cell r="BA109">
            <v>5000</v>
          </cell>
          <cell r="BB109">
            <v>1599</v>
          </cell>
          <cell r="BC109">
            <v>0</v>
          </cell>
          <cell r="BD109">
            <v>1</v>
          </cell>
          <cell r="BE109">
            <v>1</v>
          </cell>
          <cell r="BF109">
            <v>0</v>
          </cell>
          <cell r="BG109">
            <v>0</v>
          </cell>
          <cell r="BH109">
            <v>0</v>
          </cell>
          <cell r="BI109">
            <v>96</v>
          </cell>
          <cell r="BJ109">
            <v>1</v>
          </cell>
          <cell r="BK109">
            <v>0</v>
          </cell>
          <cell r="BL109">
            <v>0</v>
          </cell>
          <cell r="BM109">
            <v>0</v>
          </cell>
          <cell r="BN109">
            <v>5000</v>
          </cell>
          <cell r="BO109">
            <v>1599</v>
          </cell>
          <cell r="BP109">
            <v>3401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X109">
            <v>0</v>
          </cell>
          <cell r="BY109">
            <v>39</v>
          </cell>
          <cell r="BZ109">
            <v>0</v>
          </cell>
          <cell r="CA109">
            <v>0</v>
          </cell>
        </row>
        <row r="110">
          <cell r="H110" t="str">
            <v>C223508</v>
          </cell>
          <cell r="I110" t="str">
            <v xml:space="preserve">DOSSIER MODIFIVCATION NACELLE </v>
          </cell>
          <cell r="J110" t="str">
            <v xml:space="preserve">                              </v>
          </cell>
          <cell r="K110" t="str">
            <v xml:space="preserve">RESEAUX TRANSPORT ELECTRICITE </v>
          </cell>
          <cell r="L110" t="str">
            <v>LJA</v>
          </cell>
          <cell r="M110">
            <v>44880</v>
          </cell>
          <cell r="N110">
            <v>44915</v>
          </cell>
          <cell r="O110">
            <v>21241.200000000001</v>
          </cell>
          <cell r="P110">
            <v>0</v>
          </cell>
          <cell r="Q110">
            <v>12402.42</v>
          </cell>
          <cell r="R110">
            <v>12402.42</v>
          </cell>
          <cell r="S110">
            <v>0.4161149087622168</v>
          </cell>
          <cell r="T110">
            <v>0.30689509067284337</v>
          </cell>
          <cell r="U110">
            <v>60.645833333333336</v>
          </cell>
          <cell r="V110">
            <v>102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5822</v>
          </cell>
          <cell r="AB110">
            <v>4182</v>
          </cell>
          <cell r="AC110">
            <v>0</v>
          </cell>
          <cell r="AD110">
            <v>0.28169014084507038</v>
          </cell>
          <cell r="AE110">
            <v>15419.2</v>
          </cell>
          <cell r="AF110">
            <v>8220.42</v>
          </cell>
          <cell r="AG110">
            <v>8220.42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0.46687117360174335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21241.200000000001</v>
          </cell>
          <cell r="AZ110">
            <v>14116.598483204853</v>
          </cell>
          <cell r="BA110">
            <v>7124.6015167951482</v>
          </cell>
          <cell r="BB110">
            <v>12402.42</v>
          </cell>
          <cell r="BC110">
            <v>0</v>
          </cell>
          <cell r="BD110">
            <v>1</v>
          </cell>
          <cell r="BE110">
            <v>1</v>
          </cell>
          <cell r="BF110">
            <v>0</v>
          </cell>
          <cell r="BG110">
            <v>0</v>
          </cell>
          <cell r="BH110">
            <v>0</v>
          </cell>
          <cell r="BI110">
            <v>96</v>
          </cell>
          <cell r="BJ110">
            <v>1</v>
          </cell>
          <cell r="BK110">
            <v>0</v>
          </cell>
          <cell r="BL110">
            <v>0</v>
          </cell>
          <cell r="BM110">
            <v>0</v>
          </cell>
          <cell r="BN110">
            <v>7124.6015167951482</v>
          </cell>
          <cell r="BO110">
            <v>4107.34</v>
          </cell>
          <cell r="BP110">
            <v>3017.2615167951481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4107.34</v>
          </cell>
        </row>
        <row r="111">
          <cell r="H111" t="str">
            <v>C223578</v>
          </cell>
          <cell r="I111" t="str">
            <v xml:space="preserve">SEAT MODIFICATION KIT         </v>
          </cell>
          <cell r="J111" t="str">
            <v xml:space="preserve">                              </v>
          </cell>
          <cell r="K111" t="str">
            <v>TRANSAVIA FRANCE</v>
          </cell>
          <cell r="L111" t="str">
            <v>VGA</v>
          </cell>
          <cell r="M111">
            <v>44879</v>
          </cell>
          <cell r="N111">
            <v>44977</v>
          </cell>
          <cell r="O111">
            <v>5080</v>
          </cell>
          <cell r="P111">
            <v>0</v>
          </cell>
          <cell r="Q111">
            <v>5516.87</v>
          </cell>
          <cell r="R111">
            <v>5516.87</v>
          </cell>
          <cell r="S111">
            <v>-8.5998031496062888E-2</v>
          </cell>
          <cell r="T111">
            <v>0.2</v>
          </cell>
          <cell r="U111">
            <v>2</v>
          </cell>
          <cell r="V111">
            <v>1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41</v>
          </cell>
          <cell r="AC111">
            <v>0</v>
          </cell>
          <cell r="AD111">
            <v>0</v>
          </cell>
          <cell r="AE111">
            <v>5080</v>
          </cell>
          <cell r="AF111">
            <v>5475.87</v>
          </cell>
          <cell r="AG111">
            <v>5475.87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-7.7927165354330752E-2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5080</v>
          </cell>
          <cell r="AZ111">
            <v>5080</v>
          </cell>
          <cell r="BA111">
            <v>0</v>
          </cell>
          <cell r="BB111">
            <v>5516.87</v>
          </cell>
          <cell r="BC111">
            <v>0</v>
          </cell>
          <cell r="BD111">
            <v>1</v>
          </cell>
          <cell r="BE111">
            <v>1</v>
          </cell>
          <cell r="BF111">
            <v>0</v>
          </cell>
          <cell r="BG111">
            <v>0</v>
          </cell>
          <cell r="BH111">
            <v>0</v>
          </cell>
          <cell r="BI111">
            <v>96</v>
          </cell>
          <cell r="BJ111">
            <v>1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1107.8699999999999</v>
          </cell>
          <cell r="BP111">
            <v>-1107.8699999999999</v>
          </cell>
          <cell r="BQ111">
            <v>5080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X111">
            <v>0</v>
          </cell>
          <cell r="BY111">
            <v>1</v>
          </cell>
          <cell r="BZ111">
            <v>0</v>
          </cell>
          <cell r="CA111">
            <v>1066.8699999999999</v>
          </cell>
        </row>
        <row r="112">
          <cell r="H112" t="str">
            <v>C223579</v>
          </cell>
          <cell r="I112" t="str">
            <v xml:space="preserve">DEVELOPPEMENT SB PEINTURE     </v>
          </cell>
          <cell r="J112" t="str">
            <v xml:space="preserve">                              </v>
          </cell>
          <cell r="K112" t="str">
            <v xml:space="preserve">JG AVIATION </v>
          </cell>
          <cell r="L112" t="str">
            <v>VGA</v>
          </cell>
          <cell r="M112">
            <v>44882</v>
          </cell>
          <cell r="N112">
            <v>44932</v>
          </cell>
          <cell r="O112">
            <v>3250</v>
          </cell>
          <cell r="P112">
            <v>0</v>
          </cell>
          <cell r="Q112">
            <v>1517</v>
          </cell>
          <cell r="R112">
            <v>1517</v>
          </cell>
          <cell r="S112">
            <v>0.53323076923076917</v>
          </cell>
          <cell r="T112">
            <v>0.59</v>
          </cell>
          <cell r="U112">
            <v>34</v>
          </cell>
          <cell r="V112">
            <v>37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3250</v>
          </cell>
          <cell r="AB112">
            <v>1517</v>
          </cell>
          <cell r="AC112">
            <v>0</v>
          </cell>
          <cell r="AD112">
            <v>0.53323076923076917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3250</v>
          </cell>
          <cell r="AZ112">
            <v>3250</v>
          </cell>
          <cell r="BA112">
            <v>0</v>
          </cell>
          <cell r="BB112">
            <v>1517</v>
          </cell>
          <cell r="BC112">
            <v>0</v>
          </cell>
          <cell r="BD112">
            <v>1</v>
          </cell>
          <cell r="BE112">
            <v>1</v>
          </cell>
          <cell r="BF112">
            <v>0</v>
          </cell>
          <cell r="BG112">
            <v>0</v>
          </cell>
          <cell r="BH112">
            <v>0</v>
          </cell>
          <cell r="BI112">
            <v>96</v>
          </cell>
          <cell r="BJ112">
            <v>1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</row>
        <row r="113">
          <cell r="H113" t="str">
            <v>B220318</v>
          </cell>
          <cell r="I113" t="str">
            <v xml:space="preserve">UPNEXT TOOLING                </v>
          </cell>
          <cell r="J113" t="str">
            <v xml:space="preserve">                              </v>
          </cell>
          <cell r="K113" t="str">
            <v xml:space="preserve">AEROTEC BLAGNAC </v>
          </cell>
          <cell r="L113" t="str">
            <v>JFA</v>
          </cell>
          <cell r="M113">
            <v>44893</v>
          </cell>
          <cell r="N113">
            <v>45016</v>
          </cell>
          <cell r="O113">
            <v>9216</v>
          </cell>
          <cell r="P113">
            <v>0</v>
          </cell>
          <cell r="Q113">
            <v>3157</v>
          </cell>
          <cell r="R113">
            <v>3157</v>
          </cell>
          <cell r="S113">
            <v>0.65744357638888884</v>
          </cell>
          <cell r="T113">
            <v>0.59</v>
          </cell>
          <cell r="U113">
            <v>96</v>
          </cell>
          <cell r="V113">
            <v>77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9216</v>
          </cell>
          <cell r="AB113">
            <v>3157</v>
          </cell>
          <cell r="AC113">
            <v>0</v>
          </cell>
          <cell r="AD113">
            <v>0.65744357638888884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9216</v>
          </cell>
          <cell r="AZ113">
            <v>4649.6111246709897</v>
          </cell>
          <cell r="BA113">
            <v>4566.3888753290103</v>
          </cell>
          <cell r="BB113">
            <v>3157</v>
          </cell>
          <cell r="BC113">
            <v>0</v>
          </cell>
          <cell r="BD113">
            <v>1</v>
          </cell>
          <cell r="BE113">
            <v>1</v>
          </cell>
          <cell r="BF113">
            <v>0</v>
          </cell>
          <cell r="BG113">
            <v>0</v>
          </cell>
          <cell r="BH113">
            <v>0</v>
          </cell>
          <cell r="BI113">
            <v>96</v>
          </cell>
          <cell r="BJ113">
            <v>1</v>
          </cell>
          <cell r="BK113">
            <v>0</v>
          </cell>
          <cell r="BL113">
            <v>0</v>
          </cell>
          <cell r="BM113">
            <v>0</v>
          </cell>
          <cell r="BN113">
            <v>4566.3888753290103</v>
          </cell>
          <cell r="BO113">
            <v>779</v>
          </cell>
          <cell r="BP113">
            <v>3787.3888753290103</v>
          </cell>
          <cell r="BQ113">
            <v>1856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X113">
            <v>0</v>
          </cell>
          <cell r="BY113">
            <v>19</v>
          </cell>
          <cell r="BZ113">
            <v>0</v>
          </cell>
          <cell r="CA113">
            <v>0</v>
          </cell>
        </row>
        <row r="114">
          <cell r="H114" t="str">
            <v>C223593</v>
          </cell>
          <cell r="I114" t="str">
            <v xml:space="preserve">A320-214 MSN 4780             </v>
          </cell>
          <cell r="J114" t="str">
            <v xml:space="preserve">                              </v>
          </cell>
          <cell r="K114" t="str">
            <v>AERO CABIN SOLUTIONS</v>
          </cell>
          <cell r="L114" t="str">
            <v>FDE</v>
          </cell>
          <cell r="M114">
            <v>44904</v>
          </cell>
          <cell r="N114">
            <v>45199</v>
          </cell>
          <cell r="O114">
            <v>52500</v>
          </cell>
          <cell r="P114">
            <v>0</v>
          </cell>
          <cell r="Q114">
            <v>35382</v>
          </cell>
          <cell r="R114">
            <v>35382</v>
          </cell>
          <cell r="S114">
            <v>0.32605714285714282</v>
          </cell>
          <cell r="T114">
            <v>0.59</v>
          </cell>
          <cell r="U114">
            <v>546.875</v>
          </cell>
          <cell r="V114">
            <v>322</v>
          </cell>
          <cell r="W114">
            <v>0</v>
          </cell>
          <cell r="X114">
            <v>0</v>
          </cell>
          <cell r="Y114">
            <v>4</v>
          </cell>
          <cell r="Z114">
            <v>0</v>
          </cell>
          <cell r="AA114">
            <v>52500</v>
          </cell>
          <cell r="AB114">
            <v>13202</v>
          </cell>
          <cell r="AC114">
            <v>0</v>
          </cell>
          <cell r="AD114">
            <v>0.74853333333333327</v>
          </cell>
          <cell r="AE114">
            <v>0</v>
          </cell>
          <cell r="AF114">
            <v>22180</v>
          </cell>
          <cell r="AG114">
            <v>22180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52500</v>
          </cell>
          <cell r="AZ114">
            <v>21710.882836673823</v>
          </cell>
          <cell r="BA114">
            <v>30789.117163326177</v>
          </cell>
          <cell r="BB114">
            <v>35382</v>
          </cell>
          <cell r="BC114">
            <v>0</v>
          </cell>
          <cell r="BD114">
            <v>1</v>
          </cell>
          <cell r="BE114">
            <v>1</v>
          </cell>
          <cell r="BF114">
            <v>0</v>
          </cell>
          <cell r="BG114">
            <v>0</v>
          </cell>
          <cell r="BH114">
            <v>0</v>
          </cell>
          <cell r="BI114">
            <v>96</v>
          </cell>
          <cell r="BJ114">
            <v>1</v>
          </cell>
          <cell r="BK114">
            <v>0</v>
          </cell>
          <cell r="BL114">
            <v>-200</v>
          </cell>
          <cell r="BM114">
            <v>0</v>
          </cell>
          <cell r="BN114">
            <v>30789.117163326177</v>
          </cell>
          <cell r="BO114">
            <v>20259</v>
          </cell>
          <cell r="BP114">
            <v>10530.117163326177</v>
          </cell>
          <cell r="BQ114">
            <v>26750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X114">
            <v>0</v>
          </cell>
          <cell r="BY114">
            <v>319</v>
          </cell>
          <cell r="BZ114">
            <v>0</v>
          </cell>
          <cell r="CA114">
            <v>7180</v>
          </cell>
        </row>
        <row r="115">
          <cell r="H115" t="str">
            <v>C223599</v>
          </cell>
          <cell r="I115" t="str">
            <v xml:space="preserve">DEVELOPMENT OF SB FOR         </v>
          </cell>
          <cell r="J115" t="str">
            <v xml:space="preserve">                              </v>
          </cell>
          <cell r="K115" t="str">
            <v xml:space="preserve">DASSAULT AVIATION BUSINESS SERVICES </v>
          </cell>
          <cell r="L115" t="str">
            <v>VGA</v>
          </cell>
          <cell r="M115">
            <v>44908</v>
          </cell>
          <cell r="N115">
            <v>44952</v>
          </cell>
          <cell r="O115">
            <v>2800</v>
          </cell>
          <cell r="P115">
            <v>0</v>
          </cell>
          <cell r="Q115">
            <v>615</v>
          </cell>
          <cell r="R115">
            <v>615</v>
          </cell>
          <cell r="S115">
            <v>0.78035714285714286</v>
          </cell>
          <cell r="T115">
            <v>0.59</v>
          </cell>
          <cell r="U115">
            <v>29.166666666666668</v>
          </cell>
          <cell r="V115">
            <v>15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2800</v>
          </cell>
          <cell r="AB115">
            <v>615</v>
          </cell>
          <cell r="AC115">
            <v>0</v>
          </cell>
          <cell r="AD115">
            <v>0.78035714285714286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2800</v>
          </cell>
          <cell r="AZ115">
            <v>2800</v>
          </cell>
          <cell r="BA115">
            <v>0</v>
          </cell>
          <cell r="BB115">
            <v>615</v>
          </cell>
          <cell r="BC115">
            <v>0</v>
          </cell>
          <cell r="BD115">
            <v>1</v>
          </cell>
          <cell r="BE115">
            <v>1</v>
          </cell>
          <cell r="BF115">
            <v>0</v>
          </cell>
          <cell r="BG115">
            <v>0</v>
          </cell>
          <cell r="BH115">
            <v>0</v>
          </cell>
          <cell r="BI115">
            <v>96</v>
          </cell>
          <cell r="BJ115">
            <v>1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2800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</row>
        <row r="116">
          <cell r="H116" t="str">
            <v>C223547</v>
          </cell>
          <cell r="I116" t="str">
            <v xml:space="preserve">HEURES                        </v>
          </cell>
          <cell r="J116" t="str">
            <v xml:space="preserve">                              </v>
          </cell>
          <cell r="K116" t="str">
            <v xml:space="preserve">CORAC </v>
          </cell>
          <cell r="L116" t="str">
            <v>LUD</v>
          </cell>
          <cell r="M116">
            <v>44910</v>
          </cell>
          <cell r="N116" t="str">
            <v/>
          </cell>
          <cell r="O116">
            <v>189831.44939332697</v>
          </cell>
          <cell r="P116">
            <v>39721.514958999993</v>
          </cell>
          <cell r="Q116">
            <v>291028.33495399996</v>
          </cell>
          <cell r="R116">
            <v>277727.61</v>
          </cell>
          <cell r="S116">
            <v>-0.53308809411761415</v>
          </cell>
          <cell r="T116">
            <v>0.49165135073212046</v>
          </cell>
          <cell r="U116">
            <v>4689</v>
          </cell>
          <cell r="V116">
            <v>4453</v>
          </cell>
          <cell r="W116">
            <v>236</v>
          </cell>
          <cell r="X116">
            <v>0</v>
          </cell>
          <cell r="Y116">
            <v>0</v>
          </cell>
          <cell r="Z116">
            <v>810.5</v>
          </cell>
          <cell r="AA116">
            <v>141960.50929999998</v>
          </cell>
          <cell r="AB116">
            <v>194373</v>
          </cell>
          <cell r="AC116">
            <v>0</v>
          </cell>
          <cell r="AD116">
            <v>-0.36920472431694806</v>
          </cell>
          <cell r="AE116">
            <v>43529.952753327001</v>
          </cell>
          <cell r="AF116">
            <v>82835.304954000007</v>
          </cell>
          <cell r="AG116">
            <v>69534.58</v>
          </cell>
          <cell r="AH116">
            <v>13300.724954000005</v>
          </cell>
          <cell r="AI116">
            <v>12680.2</v>
          </cell>
          <cell r="AJ116">
            <v>0</v>
          </cell>
          <cell r="AK116">
            <v>0</v>
          </cell>
          <cell r="AL116">
            <v>27790.720000000001</v>
          </cell>
          <cell r="AM116">
            <v>5559.35</v>
          </cell>
          <cell r="AN116">
            <v>5559.35</v>
          </cell>
          <cell r="AO116">
            <v>0</v>
          </cell>
          <cell r="AP116">
            <v>-5559.35</v>
          </cell>
          <cell r="AQ116">
            <v>0</v>
          </cell>
          <cell r="AR116">
            <v>-1.0306627818989305</v>
          </cell>
          <cell r="AS116">
            <v>4340.9873399999988</v>
          </cell>
          <cell r="AT116">
            <v>8260.6799999999985</v>
          </cell>
          <cell r="AU116">
            <v>0</v>
          </cell>
          <cell r="AV116">
            <v>0</v>
          </cell>
          <cell r="AW116">
            <v>1224.4599999999991</v>
          </cell>
          <cell r="AX116">
            <v>-0.9029495718363465</v>
          </cell>
          <cell r="AY116">
            <v>0</v>
          </cell>
          <cell r="AZ116">
            <v>243.04</v>
          </cell>
          <cell r="BA116">
            <v>180912.63596254095</v>
          </cell>
          <cell r="BB116">
            <v>277727.61</v>
          </cell>
          <cell r="BC116">
            <v>13300.724954000003</v>
          </cell>
          <cell r="BD116">
            <v>0.95429749149304555</v>
          </cell>
          <cell r="BE116">
            <v>0</v>
          </cell>
          <cell r="BF116">
            <v>0</v>
          </cell>
          <cell r="BG116">
            <v>181155.67596254096</v>
          </cell>
          <cell r="BH116">
            <v>0</v>
          </cell>
          <cell r="BI116">
            <v>96</v>
          </cell>
          <cell r="BJ116">
            <v>1</v>
          </cell>
          <cell r="BK116">
            <v>-6.3664629124104977E-12</v>
          </cell>
          <cell r="BL116">
            <v>68417.02999999997</v>
          </cell>
          <cell r="BM116">
            <v>-5.9661503296738916E-2</v>
          </cell>
          <cell r="BN116">
            <v>180912.63596254095</v>
          </cell>
          <cell r="BO116">
            <v>277399.61</v>
          </cell>
          <cell r="BP116">
            <v>-96486.974037459033</v>
          </cell>
          <cell r="BQ116">
            <v>0</v>
          </cell>
          <cell r="BR116">
            <v>28950.357735550322</v>
          </cell>
          <cell r="BS116">
            <v>52008.875</v>
          </cell>
          <cell r="BT116">
            <v>-23058.517264449678</v>
          </cell>
          <cell r="BU116">
            <v>0</v>
          </cell>
          <cell r="BV116">
            <v>8675.7734307860082</v>
          </cell>
          <cell r="BX116">
            <v>0</v>
          </cell>
          <cell r="BY116">
            <v>4445</v>
          </cell>
          <cell r="BZ116">
            <v>236</v>
          </cell>
          <cell r="CA116">
            <v>77795.259999999995</v>
          </cell>
        </row>
        <row r="117">
          <cell r="H117" t="str">
            <v>C223598</v>
          </cell>
          <cell r="I117" t="str">
            <v xml:space="preserve">DÉSINSTALLATION               </v>
          </cell>
          <cell r="J117" t="str">
            <v xml:space="preserve">                              </v>
          </cell>
          <cell r="K117" t="str">
            <v>HBG FRANCE</v>
          </cell>
          <cell r="L117" t="str">
            <v>LJA</v>
          </cell>
          <cell r="M117">
            <v>44911</v>
          </cell>
          <cell r="N117">
            <v>44950</v>
          </cell>
          <cell r="O117">
            <v>1600</v>
          </cell>
          <cell r="P117">
            <v>0</v>
          </cell>
          <cell r="Q117">
            <v>819.99999999999989</v>
          </cell>
          <cell r="R117">
            <v>819.99999999999989</v>
          </cell>
          <cell r="S117">
            <v>0.48750000000000004</v>
          </cell>
          <cell r="T117">
            <v>0.59</v>
          </cell>
          <cell r="U117">
            <v>16.666666666666668</v>
          </cell>
          <cell r="V117">
            <v>0</v>
          </cell>
          <cell r="W117">
            <v>16.399999999999999</v>
          </cell>
          <cell r="X117">
            <v>0</v>
          </cell>
          <cell r="Y117">
            <v>0</v>
          </cell>
          <cell r="Z117">
            <v>0</v>
          </cell>
          <cell r="AA117">
            <v>1600</v>
          </cell>
          <cell r="AB117">
            <v>819.99999999999989</v>
          </cell>
          <cell r="AC117">
            <v>0</v>
          </cell>
          <cell r="AD117">
            <v>0.48750000000000004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1600</v>
          </cell>
          <cell r="AZ117">
            <v>1457.9881656804735</v>
          </cell>
          <cell r="BA117">
            <v>142.01183431952654</v>
          </cell>
          <cell r="BB117">
            <v>819.99999999999989</v>
          </cell>
          <cell r="BC117">
            <v>0</v>
          </cell>
          <cell r="BD117">
            <v>1</v>
          </cell>
          <cell r="BE117">
            <v>1</v>
          </cell>
          <cell r="BF117">
            <v>0</v>
          </cell>
          <cell r="BG117">
            <v>0</v>
          </cell>
          <cell r="BH117">
            <v>0</v>
          </cell>
          <cell r="BI117">
            <v>96</v>
          </cell>
          <cell r="BJ117">
            <v>1</v>
          </cell>
          <cell r="BK117">
            <v>0</v>
          </cell>
          <cell r="BL117">
            <v>0</v>
          </cell>
          <cell r="BM117">
            <v>0</v>
          </cell>
          <cell r="BN117">
            <v>142.01183431952654</v>
          </cell>
          <cell r="BO117">
            <v>49.999999999999886</v>
          </cell>
          <cell r="BP117">
            <v>92.011834319526656</v>
          </cell>
          <cell r="BQ117">
            <v>1600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X117">
            <v>0</v>
          </cell>
          <cell r="BY117">
            <v>0</v>
          </cell>
          <cell r="BZ117">
            <v>0.99999999999999822</v>
          </cell>
          <cell r="CA117">
            <v>0</v>
          </cell>
        </row>
        <row r="118">
          <cell r="H118" t="str">
            <v>C220836</v>
          </cell>
          <cell r="I118" t="str">
            <v>B737 BBJ SEAT&amp;DIVAN UPHOLSTERY</v>
          </cell>
          <cell r="J118" t="str">
            <v xml:space="preserve">21188                         </v>
          </cell>
          <cell r="K118" t="str">
            <v>A.C.H.</v>
          </cell>
          <cell r="L118" t="str">
            <v>FDE</v>
          </cell>
          <cell r="M118">
            <v>44592</v>
          </cell>
          <cell r="N118">
            <v>44952</v>
          </cell>
          <cell r="O118">
            <v>8790</v>
          </cell>
          <cell r="P118">
            <v>0</v>
          </cell>
          <cell r="Q118">
            <v>4242</v>
          </cell>
          <cell r="R118">
            <v>4242</v>
          </cell>
          <cell r="S118">
            <v>0.51740614334470991</v>
          </cell>
          <cell r="T118">
            <v>0.59</v>
          </cell>
          <cell r="U118">
            <v>91.5625</v>
          </cell>
          <cell r="V118">
            <v>87</v>
          </cell>
          <cell r="W118">
            <v>13.5</v>
          </cell>
          <cell r="X118">
            <v>0</v>
          </cell>
          <cell r="Y118">
            <v>0</v>
          </cell>
          <cell r="Z118">
            <v>0</v>
          </cell>
          <cell r="AA118">
            <v>8790</v>
          </cell>
          <cell r="AB118">
            <v>4242</v>
          </cell>
          <cell r="AC118">
            <v>0</v>
          </cell>
          <cell r="AD118">
            <v>0.51740614334470991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8790</v>
          </cell>
          <cell r="AZ118">
            <v>8790</v>
          </cell>
          <cell r="BA118">
            <v>0</v>
          </cell>
          <cell r="BB118">
            <v>4242</v>
          </cell>
          <cell r="BC118">
            <v>0</v>
          </cell>
          <cell r="BD118">
            <v>1</v>
          </cell>
          <cell r="BE118">
            <v>1</v>
          </cell>
          <cell r="BF118">
            <v>0</v>
          </cell>
          <cell r="BG118">
            <v>0</v>
          </cell>
          <cell r="BH118">
            <v>0</v>
          </cell>
          <cell r="BI118">
            <v>96</v>
          </cell>
          <cell r="BJ118">
            <v>1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650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</row>
        <row r="119">
          <cell r="H119" t="str">
            <v>C223585</v>
          </cell>
          <cell r="I119" t="str">
            <v>FABRICATION CORDONS RADIO BOSE</v>
          </cell>
          <cell r="J119" t="str">
            <v xml:space="preserve">                              </v>
          </cell>
          <cell r="K119" t="str">
            <v xml:space="preserve">NOVESPACE </v>
          </cell>
          <cell r="L119" t="str">
            <v>VSE</v>
          </cell>
          <cell r="M119">
            <v>44911</v>
          </cell>
          <cell r="N119">
            <v>45199</v>
          </cell>
          <cell r="O119">
            <v>1200</v>
          </cell>
          <cell r="P119">
            <v>0</v>
          </cell>
          <cell r="Q119">
            <v>392.93</v>
          </cell>
          <cell r="R119">
            <v>392.93</v>
          </cell>
          <cell r="S119">
            <v>0.67255833333333337</v>
          </cell>
          <cell r="T119">
            <v>0.2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1200</v>
          </cell>
          <cell r="AF119">
            <v>392.93</v>
          </cell>
          <cell r="AG119">
            <v>392.93</v>
          </cell>
          <cell r="AH119">
            <v>0</v>
          </cell>
          <cell r="AI119">
            <v>0</v>
          </cell>
          <cell r="AJ119">
            <v>0</v>
          </cell>
          <cell r="AK119">
            <v>91.63</v>
          </cell>
          <cell r="AL119">
            <v>-310.53000000000003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0.67255833333333337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1200</v>
          </cell>
          <cell r="AZ119">
            <v>0</v>
          </cell>
          <cell r="BA119">
            <v>1200</v>
          </cell>
          <cell r="BB119">
            <v>392.93</v>
          </cell>
          <cell r="BC119">
            <v>0</v>
          </cell>
          <cell r="BD119">
            <v>1</v>
          </cell>
          <cell r="BE119">
            <v>1</v>
          </cell>
          <cell r="BF119">
            <v>0</v>
          </cell>
          <cell r="BG119">
            <v>0</v>
          </cell>
          <cell r="BH119">
            <v>0</v>
          </cell>
          <cell r="BI119">
            <v>96</v>
          </cell>
          <cell r="BJ119">
            <v>1</v>
          </cell>
          <cell r="BK119">
            <v>0</v>
          </cell>
          <cell r="BL119">
            <v>-402.16</v>
          </cell>
          <cell r="BM119">
            <v>0.11524481505238404</v>
          </cell>
          <cell r="BN119">
            <v>1200</v>
          </cell>
          <cell r="BO119">
            <v>392.93</v>
          </cell>
          <cell r="BP119">
            <v>807.06999999999994</v>
          </cell>
          <cell r="BQ119">
            <v>0</v>
          </cell>
          <cell r="BR119">
            <v>138.29377806286084</v>
          </cell>
          <cell r="BS119">
            <v>-310.53000000000003</v>
          </cell>
          <cell r="BT119">
            <v>448.82377806286087</v>
          </cell>
          <cell r="BU119">
            <v>0</v>
          </cell>
          <cell r="BV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392.93</v>
          </cell>
        </row>
        <row r="120">
          <cell r="H120" t="str">
            <v>C223597</v>
          </cell>
          <cell r="I120" t="str">
            <v xml:space="preserve">AJOUT D'APPLICANBILITÉ        </v>
          </cell>
          <cell r="J120" t="str">
            <v xml:space="preserve">21051                         </v>
          </cell>
          <cell r="K120" t="str">
            <v xml:space="preserve">IAS </v>
          </cell>
          <cell r="L120" t="str">
            <v>LJA</v>
          </cell>
          <cell r="M120">
            <v>44911</v>
          </cell>
          <cell r="N120">
            <v>45044</v>
          </cell>
          <cell r="O120">
            <v>3650</v>
          </cell>
          <cell r="P120">
            <v>0</v>
          </cell>
          <cell r="Q120">
            <v>1656.0000000000002</v>
          </cell>
          <cell r="R120">
            <v>1656.0000000000002</v>
          </cell>
          <cell r="S120">
            <v>0.5463013698630137</v>
          </cell>
          <cell r="T120">
            <v>0.59</v>
          </cell>
          <cell r="U120">
            <v>38.020833333333336</v>
          </cell>
          <cell r="V120">
            <v>31.000000000000004</v>
          </cell>
          <cell r="W120">
            <v>7.7</v>
          </cell>
          <cell r="X120">
            <v>0</v>
          </cell>
          <cell r="Y120">
            <v>0</v>
          </cell>
          <cell r="Z120">
            <v>0</v>
          </cell>
          <cell r="AA120">
            <v>3650</v>
          </cell>
          <cell r="AB120">
            <v>1656.0000000000002</v>
          </cell>
          <cell r="AC120">
            <v>0</v>
          </cell>
          <cell r="AD120">
            <v>0.5463013698630137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3650</v>
          </cell>
          <cell r="AZ120">
            <v>2579.6187683284461</v>
          </cell>
          <cell r="BA120">
            <v>1070.3812316715539</v>
          </cell>
          <cell r="BB120">
            <v>1656.0000000000002</v>
          </cell>
          <cell r="BC120">
            <v>0</v>
          </cell>
          <cell r="BD120">
            <v>1</v>
          </cell>
          <cell r="BE120">
            <v>1</v>
          </cell>
          <cell r="BF120">
            <v>0</v>
          </cell>
          <cell r="BG120">
            <v>0</v>
          </cell>
          <cell r="BH120">
            <v>0</v>
          </cell>
          <cell r="BI120">
            <v>96</v>
          </cell>
          <cell r="BJ120">
            <v>1</v>
          </cell>
          <cell r="BK120">
            <v>0</v>
          </cell>
          <cell r="BL120">
            <v>0</v>
          </cell>
          <cell r="BM120">
            <v>0</v>
          </cell>
          <cell r="BN120">
            <v>1070.3812316715539</v>
          </cell>
          <cell r="BO120">
            <v>451.00000000000023</v>
          </cell>
          <cell r="BP120">
            <v>619.38123167155368</v>
          </cell>
          <cell r="BQ120">
            <v>3650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X120">
            <v>0</v>
          </cell>
          <cell r="BY120">
            <v>11.000000000000004</v>
          </cell>
          <cell r="BZ120">
            <v>0</v>
          </cell>
          <cell r="CA120">
            <v>0</v>
          </cell>
        </row>
        <row r="121">
          <cell r="H121" t="str">
            <v>C223496</v>
          </cell>
          <cell r="I121" t="str">
            <v xml:space="preserve">DEVELOPMENT OF A318 SB        </v>
          </cell>
          <cell r="J121" t="str">
            <v xml:space="preserve">                              </v>
          </cell>
          <cell r="K121" t="str">
            <v>AIRBUS SAS</v>
          </cell>
          <cell r="L121" t="str">
            <v>VSE</v>
          </cell>
          <cell r="M121">
            <v>44917</v>
          </cell>
          <cell r="N121">
            <v>45016</v>
          </cell>
          <cell r="O121">
            <v>8318.5982349999995</v>
          </cell>
          <cell r="P121">
            <v>0</v>
          </cell>
          <cell r="Q121">
            <v>3336.5</v>
          </cell>
          <cell r="R121">
            <v>3336.5</v>
          </cell>
          <cell r="S121">
            <v>0.59891078932483144</v>
          </cell>
          <cell r="T121">
            <v>0.59</v>
          </cell>
          <cell r="U121">
            <v>83</v>
          </cell>
          <cell r="V121">
            <v>76.5</v>
          </cell>
          <cell r="W121">
            <v>4</v>
          </cell>
          <cell r="X121">
            <v>0</v>
          </cell>
          <cell r="Y121">
            <v>0</v>
          </cell>
          <cell r="Z121">
            <v>0</v>
          </cell>
          <cell r="AA121">
            <v>8318.5982349999995</v>
          </cell>
          <cell r="AB121">
            <v>3336.5</v>
          </cell>
          <cell r="AC121">
            <v>0</v>
          </cell>
          <cell r="AD121">
            <v>0.59891078932483144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8104.9100000000008</v>
          </cell>
          <cell r="AZ121">
            <v>0</v>
          </cell>
          <cell r="BA121">
            <v>8318.5982349999995</v>
          </cell>
          <cell r="BB121">
            <v>3336.5</v>
          </cell>
          <cell r="BC121">
            <v>0</v>
          </cell>
          <cell r="BD121">
            <v>1</v>
          </cell>
          <cell r="BE121">
            <v>0.97431198995752455</v>
          </cell>
          <cell r="BF121">
            <v>0</v>
          </cell>
          <cell r="BG121">
            <v>213.68823499999854</v>
          </cell>
          <cell r="BH121">
            <v>0</v>
          </cell>
          <cell r="BI121">
            <v>96</v>
          </cell>
          <cell r="BJ121">
            <v>1</v>
          </cell>
          <cell r="BK121">
            <v>0</v>
          </cell>
          <cell r="BL121">
            <v>0</v>
          </cell>
          <cell r="BM121">
            <v>0</v>
          </cell>
          <cell r="BN121">
            <v>8318.5982349999995</v>
          </cell>
          <cell r="BO121">
            <v>3336.5</v>
          </cell>
          <cell r="BP121">
            <v>4982.0982349999995</v>
          </cell>
          <cell r="BQ121">
            <v>6297.34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X121">
            <v>0</v>
          </cell>
          <cell r="BY121">
            <v>76.5</v>
          </cell>
          <cell r="BZ121">
            <v>4</v>
          </cell>
          <cell r="CA121">
            <v>0</v>
          </cell>
        </row>
        <row r="122">
          <cell r="H122" t="str">
            <v>C223378</v>
          </cell>
          <cell r="I122" t="str">
            <v xml:space="preserve">NRC                           </v>
          </cell>
          <cell r="J122" t="str">
            <v xml:space="preserve">                              </v>
          </cell>
          <cell r="K122" t="str">
            <v xml:space="preserve">EQUILUX AERO IBERIA SLU </v>
          </cell>
          <cell r="L122" t="str">
            <v>PRO</v>
          </cell>
          <cell r="M122">
            <v>44916</v>
          </cell>
          <cell r="N122" t="str">
            <v/>
          </cell>
          <cell r="O122">
            <v>808467</v>
          </cell>
          <cell r="P122">
            <v>44990</v>
          </cell>
          <cell r="Q122">
            <v>491378.99</v>
          </cell>
          <cell r="R122">
            <v>261582.18999999997</v>
          </cell>
          <cell r="S122">
            <v>0.35878150870721992</v>
          </cell>
          <cell r="T122">
            <v>0.27563945096089265</v>
          </cell>
          <cell r="U122">
            <v>1633.3333333333333</v>
          </cell>
          <cell r="V122">
            <v>2044.5</v>
          </cell>
          <cell r="W122">
            <v>99</v>
          </cell>
          <cell r="X122">
            <v>0.5</v>
          </cell>
          <cell r="Y122">
            <v>51</v>
          </cell>
          <cell r="Z122">
            <v>151</v>
          </cell>
          <cell r="AA122">
            <v>156800</v>
          </cell>
          <cell r="AB122">
            <v>88774.5</v>
          </cell>
          <cell r="AC122">
            <v>25</v>
          </cell>
          <cell r="AD122">
            <v>0.43367665816326528</v>
          </cell>
          <cell r="AE122">
            <v>651667</v>
          </cell>
          <cell r="AF122">
            <v>13347.839999999967</v>
          </cell>
          <cell r="AG122">
            <v>13347.840000000002</v>
          </cell>
          <cell r="AH122">
            <v>-3.4560798667371273E-11</v>
          </cell>
          <cell r="AI122">
            <v>77</v>
          </cell>
          <cell r="AJ122">
            <v>0</v>
          </cell>
          <cell r="AK122">
            <v>1543.9999999999709</v>
          </cell>
          <cell r="AL122">
            <v>-5.8207660913467407E-11</v>
          </cell>
          <cell r="AM122">
            <v>389256.65</v>
          </cell>
          <cell r="AN122">
            <v>159459.84999999998</v>
          </cell>
          <cell r="AO122">
            <v>13500</v>
          </cell>
          <cell r="AP122">
            <v>0</v>
          </cell>
          <cell r="AQ122">
            <v>7883.2000000000116</v>
          </cell>
          <cell r="AR122">
            <v>0.36147681254382991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323703</v>
          </cell>
          <cell r="AZ122">
            <v>0</v>
          </cell>
          <cell r="BA122">
            <v>407945.4874618731</v>
          </cell>
          <cell r="BB122">
            <v>261582.18999999997</v>
          </cell>
          <cell r="BC122">
            <v>256821.8</v>
          </cell>
          <cell r="BD122">
            <v>0.5045913902012984</v>
          </cell>
          <cell r="BE122">
            <v>0.40039111058336335</v>
          </cell>
          <cell r="BF122">
            <v>0</v>
          </cell>
          <cell r="BG122">
            <v>84242.487461873097</v>
          </cell>
          <cell r="BH122">
            <v>13500</v>
          </cell>
          <cell r="BI122">
            <v>96</v>
          </cell>
          <cell r="BJ122">
            <v>1</v>
          </cell>
          <cell r="BK122">
            <v>-13500</v>
          </cell>
          <cell r="BL122">
            <v>23505.200000000012</v>
          </cell>
          <cell r="BM122">
            <v>0.12656211678157558</v>
          </cell>
          <cell r="BN122">
            <v>407945.4874618731</v>
          </cell>
          <cell r="BO122">
            <v>261582.18999999997</v>
          </cell>
          <cell r="BP122">
            <v>146363.29746187312</v>
          </cell>
          <cell r="BQ122">
            <v>323703</v>
          </cell>
          <cell r="BR122">
            <v>119328.83187920338</v>
          </cell>
          <cell r="BS122">
            <v>74495.959999999992</v>
          </cell>
          <cell r="BT122">
            <v>44832.871879203391</v>
          </cell>
          <cell r="BU122">
            <v>60050</v>
          </cell>
          <cell r="BV122">
            <v>400521.5125381269</v>
          </cell>
          <cell r="BX122">
            <v>0</v>
          </cell>
          <cell r="BY122">
            <v>2044.5</v>
          </cell>
          <cell r="BZ122">
            <v>99</v>
          </cell>
          <cell r="CA122">
            <v>13347.840000000002</v>
          </cell>
        </row>
        <row r="123">
          <cell r="H123" t="str">
            <v>C223378-M</v>
          </cell>
          <cell r="I123" t="str">
            <v>Missions pour Equilux TUI</v>
          </cell>
          <cell r="J123" t="str">
            <v xml:space="preserve">                              </v>
          </cell>
          <cell r="K123" t="str">
            <v xml:space="preserve">EQUILUX AERO IBERIA SLU </v>
          </cell>
          <cell r="L123" t="str">
            <v>PRO</v>
          </cell>
          <cell r="M123">
            <v>44986</v>
          </cell>
          <cell r="N123" t="str">
            <v/>
          </cell>
          <cell r="O123">
            <v>34667.881999999998</v>
          </cell>
          <cell r="P123">
            <v>-6000</v>
          </cell>
          <cell r="Q123">
            <v>16206.580000000002</v>
          </cell>
          <cell r="R123">
            <v>16206.580000000002</v>
          </cell>
          <cell r="S123">
            <v>0.44104352429556715</v>
          </cell>
          <cell r="T123">
            <v>0.47674029812377922</v>
          </cell>
          <cell r="U123">
            <v>234.28571428571428</v>
          </cell>
          <cell r="V123">
            <v>173.3</v>
          </cell>
          <cell r="W123">
            <v>0</v>
          </cell>
          <cell r="X123">
            <v>60.985714285714266</v>
          </cell>
          <cell r="Y123">
            <v>0</v>
          </cell>
          <cell r="Z123">
            <v>-20</v>
          </cell>
          <cell r="AA123">
            <v>24600</v>
          </cell>
          <cell r="AB123">
            <v>7451.9000000000005</v>
          </cell>
          <cell r="AC123">
            <v>3171.2571428571418</v>
          </cell>
          <cell r="AD123">
            <v>0.5681643437862951</v>
          </cell>
          <cell r="AE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10067.882</v>
          </cell>
          <cell r="AT123">
            <v>8754.68</v>
          </cell>
          <cell r="AU123">
            <v>0</v>
          </cell>
          <cell r="AV123">
            <v>0</v>
          </cell>
          <cell r="AW123">
            <v>0</v>
          </cell>
          <cell r="AX123">
            <v>0.13043478260869557</v>
          </cell>
          <cell r="AY123">
            <v>10993.45</v>
          </cell>
          <cell r="AZ123">
            <v>0</v>
          </cell>
          <cell r="BA123">
            <v>28994.350552206106</v>
          </cell>
          <cell r="BB123">
            <v>16206.580000000002</v>
          </cell>
          <cell r="BC123">
            <v>3171.2571428571418</v>
          </cell>
          <cell r="BD123">
            <v>0.83634617633134056</v>
          </cell>
          <cell r="BE123">
            <v>0.31710763293817607</v>
          </cell>
          <cell r="BF123">
            <v>0</v>
          </cell>
          <cell r="BG123">
            <v>18000.900552206109</v>
          </cell>
          <cell r="BH123">
            <v>0</v>
          </cell>
          <cell r="BI123">
            <v>100</v>
          </cell>
          <cell r="BJ123">
            <v>1</v>
          </cell>
          <cell r="BK123">
            <v>-1.8189894035458565E-12</v>
          </cell>
          <cell r="BL123">
            <v>2311.2571428571428</v>
          </cell>
          <cell r="BM123">
            <v>-0.16365382366865944</v>
          </cell>
          <cell r="BN123">
            <v>28994.350552206106</v>
          </cell>
          <cell r="BO123">
            <v>16206.580000000002</v>
          </cell>
          <cell r="BP123">
            <v>12787.770552206104</v>
          </cell>
          <cell r="BQ123">
            <v>10993.45</v>
          </cell>
          <cell r="BR123">
            <v>-11673.531447793892</v>
          </cell>
          <cell r="BS123">
            <v>-860</v>
          </cell>
          <cell r="BT123">
            <v>-10813.531447793892</v>
          </cell>
          <cell r="BU123">
            <v>0</v>
          </cell>
          <cell r="BV123">
            <v>5673.5314477938919</v>
          </cell>
          <cell r="BX123">
            <v>0</v>
          </cell>
          <cell r="BY123">
            <v>173.3</v>
          </cell>
          <cell r="BZ123">
            <v>0</v>
          </cell>
          <cell r="CA123">
            <v>8754.68</v>
          </cell>
        </row>
        <row r="124">
          <cell r="H124" t="str">
            <v>C233623</v>
          </cell>
          <cell r="I124" t="str">
            <v xml:space="preserve">SB ON GLOBAL EXPRESS XRS      </v>
          </cell>
          <cell r="J124" t="str">
            <v xml:space="preserve">                              </v>
          </cell>
          <cell r="K124" t="str">
            <v xml:space="preserve">DASSAULT AVIATION BUSINESS SERVICES </v>
          </cell>
          <cell r="L124" t="str">
            <v>VGA</v>
          </cell>
          <cell r="M124">
            <v>44935</v>
          </cell>
          <cell r="N124">
            <v>44959</v>
          </cell>
          <cell r="O124">
            <v>2250</v>
          </cell>
          <cell r="P124">
            <v>0</v>
          </cell>
          <cell r="Q124">
            <v>1127.5</v>
          </cell>
          <cell r="R124">
            <v>1127.5</v>
          </cell>
          <cell r="S124">
            <v>0.49888888888888894</v>
          </cell>
          <cell r="T124">
            <v>0.59</v>
          </cell>
          <cell r="U124">
            <v>23</v>
          </cell>
          <cell r="V124">
            <v>27.5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2250</v>
          </cell>
          <cell r="AB124">
            <v>1127.5</v>
          </cell>
          <cell r="AC124">
            <v>0</v>
          </cell>
          <cell r="AD124">
            <v>0.49888888888888894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2250</v>
          </cell>
          <cell r="AZ124">
            <v>0</v>
          </cell>
          <cell r="BA124">
            <v>2250</v>
          </cell>
          <cell r="BB124">
            <v>1127.5</v>
          </cell>
          <cell r="BC124">
            <v>0</v>
          </cell>
          <cell r="BD124">
            <v>1</v>
          </cell>
          <cell r="BE124">
            <v>1</v>
          </cell>
          <cell r="BF124">
            <v>0</v>
          </cell>
          <cell r="BG124">
            <v>0</v>
          </cell>
          <cell r="BH124">
            <v>0</v>
          </cell>
          <cell r="BI124">
            <v>96</v>
          </cell>
          <cell r="BJ124">
            <v>1</v>
          </cell>
          <cell r="BK124">
            <v>0</v>
          </cell>
          <cell r="BL124">
            <v>0</v>
          </cell>
          <cell r="BM124">
            <v>0</v>
          </cell>
          <cell r="BN124">
            <v>2250</v>
          </cell>
          <cell r="BO124">
            <v>1127.5</v>
          </cell>
          <cell r="BP124">
            <v>1122.5</v>
          </cell>
          <cell r="BQ124">
            <v>2250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X124">
            <v>0</v>
          </cell>
          <cell r="BY124">
            <v>27.5</v>
          </cell>
          <cell r="BZ124">
            <v>0</v>
          </cell>
          <cell r="CA124">
            <v>0</v>
          </cell>
        </row>
        <row r="125">
          <cell r="H125" t="str">
            <v>C223608</v>
          </cell>
          <cell r="I125" t="str">
            <v xml:space="preserve">A320 MSN 3519 &amp; 3484          </v>
          </cell>
          <cell r="J125" t="str">
            <v xml:space="preserve">                              </v>
          </cell>
          <cell r="K125" t="str">
            <v>AERO CABIN SOLUTIONS</v>
          </cell>
          <cell r="L125" t="str">
            <v>FDE</v>
          </cell>
          <cell r="M125">
            <v>45005</v>
          </cell>
          <cell r="N125">
            <v>45107</v>
          </cell>
          <cell r="O125">
            <v>34500</v>
          </cell>
          <cell r="P125">
            <v>0</v>
          </cell>
          <cell r="Q125">
            <v>23856</v>
          </cell>
          <cell r="R125">
            <v>23856</v>
          </cell>
          <cell r="S125">
            <v>0.30852173913043479</v>
          </cell>
          <cell r="T125">
            <v>0.40913043478260869</v>
          </cell>
          <cell r="U125">
            <v>113</v>
          </cell>
          <cell r="V125">
            <v>106</v>
          </cell>
          <cell r="W125">
            <v>2</v>
          </cell>
          <cell r="X125">
            <v>0</v>
          </cell>
          <cell r="Y125">
            <v>0</v>
          </cell>
          <cell r="Z125">
            <v>0</v>
          </cell>
          <cell r="AA125">
            <v>18500</v>
          </cell>
          <cell r="AB125">
            <v>4446</v>
          </cell>
          <cell r="AC125">
            <v>0</v>
          </cell>
          <cell r="AD125">
            <v>0.75967567567567573</v>
          </cell>
          <cell r="AE125">
            <v>16000</v>
          </cell>
          <cell r="AF125">
            <v>19410</v>
          </cell>
          <cell r="AG125">
            <v>19410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-0.21312500000000001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34500</v>
          </cell>
          <cell r="AZ125">
            <v>0</v>
          </cell>
          <cell r="BA125">
            <v>34500</v>
          </cell>
          <cell r="BB125">
            <v>23856</v>
          </cell>
          <cell r="BC125">
            <v>0</v>
          </cell>
          <cell r="BD125">
            <v>1</v>
          </cell>
          <cell r="BE125">
            <v>1</v>
          </cell>
          <cell r="BF125">
            <v>0</v>
          </cell>
          <cell r="BG125">
            <v>0</v>
          </cell>
          <cell r="BH125">
            <v>0</v>
          </cell>
          <cell r="BI125">
            <v>96</v>
          </cell>
          <cell r="BJ125">
            <v>1</v>
          </cell>
          <cell r="BK125">
            <v>0</v>
          </cell>
          <cell r="BL125">
            <v>0</v>
          </cell>
          <cell r="BM125">
            <v>0</v>
          </cell>
          <cell r="BN125">
            <v>34500</v>
          </cell>
          <cell r="BO125">
            <v>23856</v>
          </cell>
          <cell r="BP125">
            <v>10644</v>
          </cell>
          <cell r="BQ125">
            <v>34500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X125">
            <v>0</v>
          </cell>
          <cell r="BY125">
            <v>106</v>
          </cell>
          <cell r="BZ125">
            <v>2</v>
          </cell>
          <cell r="CA125">
            <v>19410</v>
          </cell>
        </row>
        <row r="126">
          <cell r="H126" t="str">
            <v>C223602</v>
          </cell>
          <cell r="I126" t="str">
            <v xml:space="preserve">                              </v>
          </cell>
          <cell r="J126" t="str">
            <v xml:space="preserve">                              </v>
          </cell>
          <cell r="K126" t="str">
            <v xml:space="preserve">SAFRAN AIRCRAFT ENGINES </v>
          </cell>
          <cell r="L126" t="str">
            <v>BAZ</v>
          </cell>
          <cell r="M126">
            <v>44986</v>
          </cell>
          <cell r="N126">
            <v>45051</v>
          </cell>
          <cell r="O126">
            <v>5000</v>
          </cell>
          <cell r="P126">
            <v>0</v>
          </cell>
          <cell r="Q126">
            <v>410</v>
          </cell>
          <cell r="R126">
            <v>410</v>
          </cell>
          <cell r="S126">
            <v>0.91800000000000004</v>
          </cell>
          <cell r="T126">
            <v>0.59</v>
          </cell>
          <cell r="U126">
            <v>52.083333333333336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5000</v>
          </cell>
          <cell r="AB126">
            <v>410</v>
          </cell>
          <cell r="AC126">
            <v>0</v>
          </cell>
          <cell r="AD126">
            <v>0.91800000000000004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5000</v>
          </cell>
          <cell r="AZ126">
            <v>0</v>
          </cell>
          <cell r="BA126">
            <v>5000</v>
          </cell>
          <cell r="BB126">
            <v>410</v>
          </cell>
          <cell r="BC126">
            <v>0</v>
          </cell>
          <cell r="BD126">
            <v>1</v>
          </cell>
          <cell r="BE126">
            <v>1</v>
          </cell>
          <cell r="BF126">
            <v>0</v>
          </cell>
          <cell r="BG126">
            <v>0</v>
          </cell>
          <cell r="BH126">
            <v>0</v>
          </cell>
          <cell r="BI126">
            <v>96</v>
          </cell>
          <cell r="BJ126">
            <v>1</v>
          </cell>
          <cell r="BK126">
            <v>0</v>
          </cell>
          <cell r="BL126">
            <v>0</v>
          </cell>
          <cell r="BM126">
            <v>0</v>
          </cell>
          <cell r="BN126">
            <v>5000</v>
          </cell>
          <cell r="BO126">
            <v>410</v>
          </cell>
          <cell r="BP126">
            <v>4590</v>
          </cell>
          <cell r="BQ126">
            <v>5000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X126">
            <v>0</v>
          </cell>
          <cell r="BY126">
            <v>10</v>
          </cell>
          <cell r="BZ126">
            <v>0</v>
          </cell>
          <cell r="CA126">
            <v>0</v>
          </cell>
        </row>
        <row r="127">
          <cell r="H127" t="str">
            <v>C233618</v>
          </cell>
          <cell r="I127" t="str">
            <v xml:space="preserve">DOSSIER DE DESINSTALLATION    </v>
          </cell>
          <cell r="J127" t="str">
            <v xml:space="preserve">                              </v>
          </cell>
          <cell r="K127" t="str">
            <v>AIRTELIS</v>
          </cell>
          <cell r="L127" t="str">
            <v>LJA</v>
          </cell>
          <cell r="M127">
            <v>44979</v>
          </cell>
          <cell r="N127">
            <v>45037</v>
          </cell>
          <cell r="O127">
            <v>3945.5</v>
          </cell>
          <cell r="P127">
            <v>0</v>
          </cell>
          <cell r="Q127">
            <v>2193</v>
          </cell>
          <cell r="R127">
            <v>2193</v>
          </cell>
          <cell r="S127">
            <v>0.444176910404258</v>
          </cell>
          <cell r="T127">
            <v>0.59</v>
          </cell>
          <cell r="U127">
            <v>41.098958333333336</v>
          </cell>
          <cell r="V127">
            <v>51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3945.5</v>
          </cell>
          <cell r="AB127">
            <v>2193</v>
          </cell>
          <cell r="AC127">
            <v>0</v>
          </cell>
          <cell r="AD127">
            <v>0.444176910404258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3945.5</v>
          </cell>
          <cell r="AZ127">
            <v>0</v>
          </cell>
          <cell r="BA127">
            <v>3945.5</v>
          </cell>
          <cell r="BB127">
            <v>2193</v>
          </cell>
          <cell r="BC127">
            <v>0</v>
          </cell>
          <cell r="BD127">
            <v>1</v>
          </cell>
          <cell r="BE127">
            <v>1</v>
          </cell>
          <cell r="BF127">
            <v>0</v>
          </cell>
          <cell r="BG127">
            <v>0</v>
          </cell>
          <cell r="BH127">
            <v>0</v>
          </cell>
          <cell r="BI127">
            <v>96</v>
          </cell>
          <cell r="BJ127">
            <v>1</v>
          </cell>
          <cell r="BK127">
            <v>0</v>
          </cell>
          <cell r="BL127">
            <v>0</v>
          </cell>
          <cell r="BM127">
            <v>0</v>
          </cell>
          <cell r="BN127">
            <v>3945.5</v>
          </cell>
          <cell r="BO127">
            <v>2193</v>
          </cell>
          <cell r="BP127">
            <v>1752.5</v>
          </cell>
          <cell r="BQ127">
            <v>3945.5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X127">
            <v>0</v>
          </cell>
          <cell r="BY127">
            <v>51</v>
          </cell>
          <cell r="BZ127">
            <v>0</v>
          </cell>
          <cell r="CA127">
            <v>0</v>
          </cell>
        </row>
        <row r="128">
          <cell r="H128" t="str">
            <v>C223542</v>
          </cell>
          <cell r="I128" t="str">
            <v xml:space="preserve">REPAIR MANUAL RADOME KODIAK   </v>
          </cell>
          <cell r="J128" t="str">
            <v xml:space="preserve">                              </v>
          </cell>
          <cell r="K128" t="str">
            <v>LMO FLY DYNAMICS DEVELOPMENT</v>
          </cell>
          <cell r="L128" t="str">
            <v>PRO</v>
          </cell>
          <cell r="M128">
            <v>44939</v>
          </cell>
          <cell r="N128" t="str">
            <v/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96</v>
          </cell>
          <cell r="BJ128">
            <v>1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</row>
        <row r="129">
          <cell r="H129" t="str">
            <v>C223612</v>
          </cell>
          <cell r="I129" t="str">
            <v xml:space="preserve">REPRISE / ACTUALISATION       </v>
          </cell>
          <cell r="J129" t="str">
            <v xml:space="preserve">                              </v>
          </cell>
          <cell r="K129" t="str">
            <v xml:space="preserve">RJ AERO </v>
          </cell>
          <cell r="L129" t="str">
            <v>VGA</v>
          </cell>
          <cell r="M129">
            <v>44942</v>
          </cell>
          <cell r="N129">
            <v>44959</v>
          </cell>
          <cell r="O129">
            <v>5214.8500000000004</v>
          </cell>
          <cell r="P129">
            <v>0</v>
          </cell>
          <cell r="Q129">
            <v>4422.8500000000004</v>
          </cell>
          <cell r="R129">
            <v>4422.8500000000004</v>
          </cell>
          <cell r="S129">
            <v>0.15187397528212698</v>
          </cell>
          <cell r="T129">
            <v>0.4393165671112304</v>
          </cell>
          <cell r="U129">
            <v>32.01</v>
          </cell>
          <cell r="V129">
            <v>56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3200.0000000000005</v>
          </cell>
          <cell r="AB129">
            <v>2408</v>
          </cell>
          <cell r="AC129">
            <v>0</v>
          </cell>
          <cell r="AD129">
            <v>0.24750000000000005</v>
          </cell>
          <cell r="AE129">
            <v>2014.85</v>
          </cell>
          <cell r="AF129">
            <v>2014.85</v>
          </cell>
          <cell r="AG129">
            <v>2014.85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5214.8500000000004</v>
          </cell>
          <cell r="AZ129">
            <v>0</v>
          </cell>
          <cell r="BA129">
            <v>5214.8500000000004</v>
          </cell>
          <cell r="BB129">
            <v>4422.8500000000004</v>
          </cell>
          <cell r="BC129">
            <v>0</v>
          </cell>
          <cell r="BD129">
            <v>1</v>
          </cell>
          <cell r="BE129">
            <v>1</v>
          </cell>
          <cell r="BF129">
            <v>0</v>
          </cell>
          <cell r="BG129">
            <v>0</v>
          </cell>
          <cell r="BH129">
            <v>0</v>
          </cell>
          <cell r="BI129">
            <v>96</v>
          </cell>
          <cell r="BJ129">
            <v>1</v>
          </cell>
          <cell r="BK129">
            <v>0</v>
          </cell>
          <cell r="BL129">
            <v>0</v>
          </cell>
          <cell r="BM129">
            <v>0</v>
          </cell>
          <cell r="BN129">
            <v>5214.8500000000004</v>
          </cell>
          <cell r="BO129">
            <v>4422.8500000000004</v>
          </cell>
          <cell r="BP129">
            <v>792</v>
          </cell>
          <cell r="BQ129">
            <v>5214.8500000000004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X129">
            <v>0</v>
          </cell>
          <cell r="BY129">
            <v>56</v>
          </cell>
          <cell r="BZ129">
            <v>0</v>
          </cell>
          <cell r="CA129">
            <v>2014.85</v>
          </cell>
        </row>
        <row r="130">
          <cell r="H130" t="str">
            <v>C223610</v>
          </cell>
          <cell r="I130" t="str">
            <v>PREPA VOL DRI</v>
          </cell>
          <cell r="J130" t="str">
            <v xml:space="preserve">                              </v>
          </cell>
          <cell r="K130" t="str">
            <v xml:space="preserve">BABCOCK INTERNATIONAL FRANCE AVIATION </v>
          </cell>
          <cell r="L130" t="str">
            <v>LUD</v>
          </cell>
          <cell r="M130">
            <v>44943</v>
          </cell>
          <cell r="N130">
            <v>45085</v>
          </cell>
          <cell r="O130">
            <v>7000</v>
          </cell>
          <cell r="P130">
            <v>0</v>
          </cell>
          <cell r="Q130">
            <v>4537</v>
          </cell>
          <cell r="R130">
            <v>4537</v>
          </cell>
          <cell r="S130">
            <v>0.35185714285714287</v>
          </cell>
          <cell r="T130">
            <v>0.59</v>
          </cell>
          <cell r="U130">
            <v>72.916666666666671</v>
          </cell>
          <cell r="V130">
            <v>91</v>
          </cell>
          <cell r="W130">
            <v>12</v>
          </cell>
          <cell r="X130">
            <v>0</v>
          </cell>
          <cell r="Y130">
            <v>0</v>
          </cell>
          <cell r="Z130">
            <v>0</v>
          </cell>
          <cell r="AA130">
            <v>7000</v>
          </cell>
          <cell r="AB130">
            <v>4537</v>
          </cell>
          <cell r="AC130">
            <v>0</v>
          </cell>
          <cell r="AD130">
            <v>0.35185714285714287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7000</v>
          </cell>
          <cell r="AZ130">
            <v>0</v>
          </cell>
          <cell r="BA130">
            <v>7000</v>
          </cell>
          <cell r="BB130">
            <v>4537</v>
          </cell>
          <cell r="BC130">
            <v>0</v>
          </cell>
          <cell r="BD130">
            <v>1</v>
          </cell>
          <cell r="BE130">
            <v>1</v>
          </cell>
          <cell r="BF130">
            <v>0</v>
          </cell>
          <cell r="BG130">
            <v>0</v>
          </cell>
          <cell r="BH130">
            <v>0</v>
          </cell>
          <cell r="BI130">
            <v>96</v>
          </cell>
          <cell r="BJ130">
            <v>1</v>
          </cell>
          <cell r="BK130">
            <v>0</v>
          </cell>
          <cell r="BL130">
            <v>0</v>
          </cell>
          <cell r="BM130">
            <v>0</v>
          </cell>
          <cell r="BN130">
            <v>7000</v>
          </cell>
          <cell r="BO130">
            <v>4537</v>
          </cell>
          <cell r="BP130">
            <v>2463</v>
          </cell>
          <cell r="BQ130">
            <v>7000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X130">
            <v>0</v>
          </cell>
          <cell r="BY130">
            <v>91</v>
          </cell>
          <cell r="BZ130">
            <v>12</v>
          </cell>
          <cell r="CA130">
            <v>0</v>
          </cell>
        </row>
        <row r="131">
          <cell r="H131" t="str">
            <v>C233622</v>
          </cell>
          <cell r="I131" t="str">
            <v xml:space="preserve">MOPDIFICATION DOSSIER         </v>
          </cell>
          <cell r="J131" t="str">
            <v xml:space="preserve">22068                         </v>
          </cell>
          <cell r="K131" t="str">
            <v xml:space="preserve">RESEAUX TRANSPORT ELECTRICITE </v>
          </cell>
          <cell r="L131" t="str">
            <v>LJA</v>
          </cell>
          <cell r="M131">
            <v>44945</v>
          </cell>
          <cell r="N131">
            <v>44956</v>
          </cell>
          <cell r="O131">
            <v>1127</v>
          </cell>
          <cell r="P131">
            <v>0</v>
          </cell>
          <cell r="Q131">
            <v>614.30000000000007</v>
          </cell>
          <cell r="R131">
            <v>614.30000000000007</v>
          </cell>
          <cell r="S131">
            <v>0.45492457852706292</v>
          </cell>
          <cell r="T131">
            <v>0.59</v>
          </cell>
          <cell r="U131">
            <v>11.739583333333334</v>
          </cell>
          <cell r="V131">
            <v>0.5</v>
          </cell>
          <cell r="W131">
            <v>11.4</v>
          </cell>
          <cell r="X131">
            <v>0</v>
          </cell>
          <cell r="Y131">
            <v>0</v>
          </cell>
          <cell r="Z131">
            <v>0</v>
          </cell>
          <cell r="AA131">
            <v>1127</v>
          </cell>
          <cell r="AB131">
            <v>614.30000000000007</v>
          </cell>
          <cell r="AC131">
            <v>0</v>
          </cell>
          <cell r="AD131">
            <v>0.45492457852706292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1127</v>
          </cell>
          <cell r="AZ131">
            <v>0</v>
          </cell>
          <cell r="BA131">
            <v>1127</v>
          </cell>
          <cell r="BB131">
            <v>614.30000000000007</v>
          </cell>
          <cell r="BC131">
            <v>0</v>
          </cell>
          <cell r="BD131">
            <v>1</v>
          </cell>
          <cell r="BE131">
            <v>1</v>
          </cell>
          <cell r="BF131">
            <v>0</v>
          </cell>
          <cell r="BG131">
            <v>0</v>
          </cell>
          <cell r="BH131">
            <v>0</v>
          </cell>
          <cell r="BI131">
            <v>96</v>
          </cell>
          <cell r="BJ131">
            <v>1</v>
          </cell>
          <cell r="BK131">
            <v>0</v>
          </cell>
          <cell r="BL131">
            <v>0</v>
          </cell>
          <cell r="BM131">
            <v>0</v>
          </cell>
          <cell r="BN131">
            <v>1127</v>
          </cell>
          <cell r="BO131">
            <v>614.30000000000007</v>
          </cell>
          <cell r="BP131">
            <v>512.69999999999993</v>
          </cell>
          <cell r="BQ131">
            <v>1127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X131">
            <v>0</v>
          </cell>
          <cell r="BY131">
            <v>0.5</v>
          </cell>
          <cell r="BZ131">
            <v>11.4</v>
          </cell>
          <cell r="CA131">
            <v>0</v>
          </cell>
        </row>
        <row r="132">
          <cell r="H132" t="str">
            <v>C233626</v>
          </cell>
          <cell r="I132" t="str">
            <v xml:space="preserve">PRESTATION CVE + SUPPORT      </v>
          </cell>
          <cell r="J132" t="str">
            <v xml:space="preserve">                              </v>
          </cell>
          <cell r="K132" t="str">
            <v xml:space="preserve">DASSAULT AVIATION BUSINESS SERVICES </v>
          </cell>
          <cell r="L132" t="str">
            <v>VGA</v>
          </cell>
          <cell r="M132">
            <v>44944</v>
          </cell>
          <cell r="N132" t="str">
            <v/>
          </cell>
          <cell r="O132">
            <v>13920</v>
          </cell>
          <cell r="P132">
            <v>0</v>
          </cell>
          <cell r="Q132">
            <v>2300.5</v>
          </cell>
          <cell r="R132">
            <v>2300.5</v>
          </cell>
          <cell r="S132">
            <v>0.58631465517241377</v>
          </cell>
          <cell r="T132">
            <v>0.59</v>
          </cell>
          <cell r="U132">
            <v>120</v>
          </cell>
          <cell r="V132">
            <v>53.5</v>
          </cell>
          <cell r="W132">
            <v>0</v>
          </cell>
          <cell r="X132">
            <v>66.5</v>
          </cell>
          <cell r="Y132">
            <v>70.5</v>
          </cell>
          <cell r="Z132">
            <v>4</v>
          </cell>
          <cell r="AA132">
            <v>13920</v>
          </cell>
          <cell r="AB132">
            <v>2300.5</v>
          </cell>
          <cell r="AC132">
            <v>3458</v>
          </cell>
          <cell r="AD132">
            <v>0.58631465517241377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4756</v>
          </cell>
          <cell r="AZ132">
            <v>0</v>
          </cell>
          <cell r="BA132">
            <v>5560.9898411044542</v>
          </cell>
          <cell r="BB132">
            <v>2300.5</v>
          </cell>
          <cell r="BC132">
            <v>3458</v>
          </cell>
          <cell r="BD132">
            <v>0.39949639663106712</v>
          </cell>
          <cell r="BE132">
            <v>0.34166666666666667</v>
          </cell>
          <cell r="BF132">
            <v>0</v>
          </cell>
          <cell r="BG132">
            <v>804.98984110445417</v>
          </cell>
          <cell r="BH132">
            <v>0</v>
          </cell>
          <cell r="BI132">
            <v>96</v>
          </cell>
          <cell r="BJ132">
            <v>1</v>
          </cell>
          <cell r="BK132">
            <v>0</v>
          </cell>
          <cell r="BL132">
            <v>-36</v>
          </cell>
          <cell r="BM132">
            <v>3.2165306804507465E-2</v>
          </cell>
          <cell r="BN132">
            <v>5560.9898411044542</v>
          </cell>
          <cell r="BO132">
            <v>2300.5</v>
          </cell>
          <cell r="BP132">
            <v>3260.4898411044542</v>
          </cell>
          <cell r="BQ132">
            <v>4756</v>
          </cell>
          <cell r="BR132">
            <v>447.74107071874369</v>
          </cell>
          <cell r="BS132">
            <v>172</v>
          </cell>
          <cell r="BT132">
            <v>275.74107071874369</v>
          </cell>
          <cell r="BU132">
            <v>0</v>
          </cell>
          <cell r="BV132">
            <v>8359.0101588955458</v>
          </cell>
          <cell r="BX132">
            <v>0</v>
          </cell>
          <cell r="BY132">
            <v>53.5</v>
          </cell>
          <cell r="BZ132">
            <v>0</v>
          </cell>
          <cell r="CA132">
            <v>0</v>
          </cell>
        </row>
        <row r="133">
          <cell r="H133" t="str">
            <v>C233630</v>
          </cell>
          <cell r="I133" t="str">
            <v xml:space="preserve">                              </v>
          </cell>
          <cell r="J133" t="str">
            <v xml:space="preserve">                              </v>
          </cell>
          <cell r="K133" t="str">
            <v>SAF HELICOPTERES</v>
          </cell>
          <cell r="L133" t="str">
            <v>LJA</v>
          </cell>
          <cell r="M133">
            <v>44946</v>
          </cell>
          <cell r="N133">
            <v>45016</v>
          </cell>
          <cell r="O133">
            <v>2750</v>
          </cell>
          <cell r="P133">
            <v>0</v>
          </cell>
          <cell r="Q133">
            <v>1445.8</v>
          </cell>
          <cell r="R133">
            <v>1445.8</v>
          </cell>
          <cell r="S133">
            <v>0.47425454545454548</v>
          </cell>
          <cell r="T133">
            <v>0.59</v>
          </cell>
          <cell r="U133">
            <v>31.5</v>
          </cell>
          <cell r="V133">
            <v>14.999999999999998</v>
          </cell>
          <cell r="W133">
            <v>15.4</v>
          </cell>
          <cell r="X133">
            <v>0</v>
          </cell>
          <cell r="Y133">
            <v>0</v>
          </cell>
          <cell r="Z133">
            <v>0</v>
          </cell>
          <cell r="AA133">
            <v>2750</v>
          </cell>
          <cell r="AB133">
            <v>1445.8</v>
          </cell>
          <cell r="AC133">
            <v>0</v>
          </cell>
          <cell r="AD133">
            <v>0.47425454545454548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2750</v>
          </cell>
          <cell r="AZ133">
            <v>0</v>
          </cell>
          <cell r="BA133">
            <v>2750</v>
          </cell>
          <cell r="BB133">
            <v>1445.8</v>
          </cell>
          <cell r="BC133">
            <v>0</v>
          </cell>
          <cell r="BD133">
            <v>1</v>
          </cell>
          <cell r="BE133">
            <v>1</v>
          </cell>
          <cell r="BF133">
            <v>0</v>
          </cell>
          <cell r="BG133">
            <v>0</v>
          </cell>
          <cell r="BH133">
            <v>0</v>
          </cell>
          <cell r="BI133">
            <v>96</v>
          </cell>
          <cell r="BJ133">
            <v>1</v>
          </cell>
          <cell r="BK133">
            <v>0</v>
          </cell>
          <cell r="BL133">
            <v>0</v>
          </cell>
          <cell r="BM133">
            <v>0</v>
          </cell>
          <cell r="BN133">
            <v>2750</v>
          </cell>
          <cell r="BO133">
            <v>1445.8</v>
          </cell>
          <cell r="BP133">
            <v>1304.2</v>
          </cell>
          <cell r="BQ133">
            <v>2750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X133">
            <v>0</v>
          </cell>
          <cell r="BY133">
            <v>14.999999999999998</v>
          </cell>
          <cell r="BZ133">
            <v>15.4</v>
          </cell>
          <cell r="CA133">
            <v>0</v>
          </cell>
        </row>
        <row r="134">
          <cell r="H134" t="str">
            <v>C223603</v>
          </cell>
          <cell r="I134" t="str">
            <v xml:space="preserve">B737-800 MSN 39419 CABIN      </v>
          </cell>
          <cell r="J134" t="str">
            <v xml:space="preserve">                              </v>
          </cell>
          <cell r="K134" t="str">
            <v>AERO CABIN SOLUTIONS</v>
          </cell>
          <cell r="L134" t="str">
            <v>FDE</v>
          </cell>
          <cell r="M134">
            <v>44946</v>
          </cell>
          <cell r="N134">
            <v>45107</v>
          </cell>
          <cell r="O134">
            <v>28500</v>
          </cell>
          <cell r="P134">
            <v>0</v>
          </cell>
          <cell r="Q134">
            <v>19618.86</v>
          </cell>
          <cell r="R134">
            <v>19618.86</v>
          </cell>
          <cell r="S134">
            <v>0.311618947368421</v>
          </cell>
          <cell r="T134">
            <v>0.59</v>
          </cell>
          <cell r="U134">
            <v>115</v>
          </cell>
          <cell r="V134">
            <v>115.5</v>
          </cell>
          <cell r="W134">
            <v>4</v>
          </cell>
          <cell r="X134">
            <v>0</v>
          </cell>
          <cell r="Y134">
            <v>0</v>
          </cell>
          <cell r="Z134">
            <v>0</v>
          </cell>
          <cell r="AA134">
            <v>28500</v>
          </cell>
          <cell r="AB134">
            <v>5174.5</v>
          </cell>
          <cell r="AC134">
            <v>0</v>
          </cell>
          <cell r="AD134">
            <v>0.81843859649122808</v>
          </cell>
          <cell r="AE134">
            <v>0</v>
          </cell>
          <cell r="AF134">
            <v>14444.36</v>
          </cell>
          <cell r="AG134">
            <v>14444.36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28500</v>
          </cell>
          <cell r="AZ134">
            <v>0</v>
          </cell>
          <cell r="BA134">
            <v>28500</v>
          </cell>
          <cell r="BB134">
            <v>19618.86</v>
          </cell>
          <cell r="BC134">
            <v>0</v>
          </cell>
          <cell r="BD134">
            <v>1</v>
          </cell>
          <cell r="BE134">
            <v>1</v>
          </cell>
          <cell r="BF134">
            <v>0</v>
          </cell>
          <cell r="BG134">
            <v>0</v>
          </cell>
          <cell r="BH134">
            <v>0</v>
          </cell>
          <cell r="BI134">
            <v>96</v>
          </cell>
          <cell r="BJ134">
            <v>1</v>
          </cell>
          <cell r="BK134">
            <v>0</v>
          </cell>
          <cell r="BL134">
            <v>0</v>
          </cell>
          <cell r="BM134">
            <v>0</v>
          </cell>
          <cell r="BN134">
            <v>28500</v>
          </cell>
          <cell r="BO134">
            <v>19618.86</v>
          </cell>
          <cell r="BP134">
            <v>8881.14</v>
          </cell>
          <cell r="BQ134">
            <v>28500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X134">
            <v>0</v>
          </cell>
          <cell r="BY134">
            <v>115.5</v>
          </cell>
          <cell r="BZ134">
            <v>4</v>
          </cell>
          <cell r="CA134">
            <v>14444.36</v>
          </cell>
        </row>
        <row r="135">
          <cell r="H135" t="str">
            <v>C230836</v>
          </cell>
          <cell r="I135" t="str">
            <v xml:space="preserve">SB 21164 REV.4                </v>
          </cell>
          <cell r="J135" t="str">
            <v xml:space="preserve">                              </v>
          </cell>
          <cell r="K135" t="str">
            <v>A.C.H.</v>
          </cell>
          <cell r="L135" t="str">
            <v>VGA</v>
          </cell>
          <cell r="M135">
            <v>44949</v>
          </cell>
          <cell r="N135">
            <v>45014</v>
          </cell>
          <cell r="O135">
            <v>330</v>
          </cell>
          <cell r="P135">
            <v>0</v>
          </cell>
          <cell r="Q135">
            <v>129</v>
          </cell>
          <cell r="R135">
            <v>129</v>
          </cell>
          <cell r="S135">
            <v>0.60909090909090913</v>
          </cell>
          <cell r="T135">
            <v>0.59</v>
          </cell>
          <cell r="U135">
            <v>3.1</v>
          </cell>
          <cell r="V135">
            <v>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330</v>
          </cell>
          <cell r="AB135">
            <v>129</v>
          </cell>
          <cell r="AC135">
            <v>0</v>
          </cell>
          <cell r="AD135">
            <v>0.60909090909090913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330</v>
          </cell>
          <cell r="AZ135">
            <v>0</v>
          </cell>
          <cell r="BA135">
            <v>330</v>
          </cell>
          <cell r="BB135">
            <v>129</v>
          </cell>
          <cell r="BC135">
            <v>0</v>
          </cell>
          <cell r="BD135">
            <v>1</v>
          </cell>
          <cell r="BE135">
            <v>1</v>
          </cell>
          <cell r="BF135">
            <v>0</v>
          </cell>
          <cell r="BG135">
            <v>0</v>
          </cell>
          <cell r="BH135">
            <v>0</v>
          </cell>
          <cell r="BI135">
            <v>96</v>
          </cell>
          <cell r="BJ135">
            <v>1</v>
          </cell>
          <cell r="BK135">
            <v>0</v>
          </cell>
          <cell r="BL135">
            <v>0</v>
          </cell>
          <cell r="BM135">
            <v>0</v>
          </cell>
          <cell r="BN135">
            <v>330</v>
          </cell>
          <cell r="BO135">
            <v>129</v>
          </cell>
          <cell r="BP135">
            <v>201</v>
          </cell>
          <cell r="BQ135">
            <v>330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X135">
            <v>0</v>
          </cell>
          <cell r="BY135">
            <v>3</v>
          </cell>
          <cell r="BZ135">
            <v>0</v>
          </cell>
          <cell r="CA135">
            <v>0</v>
          </cell>
        </row>
        <row r="136">
          <cell r="H136" t="str">
            <v>C233635</v>
          </cell>
          <cell r="I136" t="str">
            <v xml:space="preserve">REQUEST FOR DOCUMENTATION     </v>
          </cell>
          <cell r="J136" t="str">
            <v xml:space="preserve">                              </v>
          </cell>
          <cell r="K136" t="str">
            <v xml:space="preserve">JETCORP </v>
          </cell>
          <cell r="L136" t="str">
            <v>VGA</v>
          </cell>
          <cell r="M136">
            <v>44953</v>
          </cell>
          <cell r="N136">
            <v>45014</v>
          </cell>
          <cell r="O136">
            <v>900</v>
          </cell>
          <cell r="P136">
            <v>0</v>
          </cell>
          <cell r="Q136">
            <v>387</v>
          </cell>
          <cell r="R136">
            <v>387</v>
          </cell>
          <cell r="S136">
            <v>0.57000000000000006</v>
          </cell>
          <cell r="T136">
            <v>0.59</v>
          </cell>
          <cell r="U136">
            <v>9</v>
          </cell>
          <cell r="V136">
            <v>9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900</v>
          </cell>
          <cell r="AB136">
            <v>387</v>
          </cell>
          <cell r="AC136">
            <v>0</v>
          </cell>
          <cell r="AD136">
            <v>0.57000000000000006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900</v>
          </cell>
          <cell r="AZ136">
            <v>0</v>
          </cell>
          <cell r="BA136">
            <v>900</v>
          </cell>
          <cell r="BB136">
            <v>387</v>
          </cell>
          <cell r="BC136">
            <v>0</v>
          </cell>
          <cell r="BD136">
            <v>1</v>
          </cell>
          <cell r="BE136">
            <v>1</v>
          </cell>
          <cell r="BF136">
            <v>0</v>
          </cell>
          <cell r="BG136">
            <v>0</v>
          </cell>
          <cell r="BH136">
            <v>0</v>
          </cell>
          <cell r="BI136">
            <v>96</v>
          </cell>
          <cell r="BJ136">
            <v>1</v>
          </cell>
          <cell r="BK136">
            <v>0</v>
          </cell>
          <cell r="BL136">
            <v>0</v>
          </cell>
          <cell r="BM136">
            <v>0</v>
          </cell>
          <cell r="BN136">
            <v>900</v>
          </cell>
          <cell r="BO136">
            <v>387</v>
          </cell>
          <cell r="BP136">
            <v>513</v>
          </cell>
          <cell r="BQ136">
            <v>900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X136">
            <v>0</v>
          </cell>
          <cell r="BY136">
            <v>9</v>
          </cell>
          <cell r="BZ136">
            <v>0</v>
          </cell>
          <cell r="CA136">
            <v>0</v>
          </cell>
        </row>
        <row r="137">
          <cell r="H137" t="str">
            <v>C223495</v>
          </cell>
          <cell r="I137" t="str">
            <v>ANTENNA INST. STC MODIFICATION</v>
          </cell>
          <cell r="J137" t="str">
            <v xml:space="preserve">                              </v>
          </cell>
          <cell r="K137" t="str">
            <v>ASIQ PTY LTD</v>
          </cell>
          <cell r="L137" t="str">
            <v>JFA</v>
          </cell>
          <cell r="M137">
            <v>44951</v>
          </cell>
          <cell r="N137">
            <v>45107</v>
          </cell>
          <cell r="O137">
            <v>44322</v>
          </cell>
          <cell r="P137">
            <v>0</v>
          </cell>
          <cell r="Q137">
            <v>19012.559999999998</v>
          </cell>
          <cell r="R137">
            <v>19012.559999999998</v>
          </cell>
          <cell r="S137">
            <v>0.57103560308650336</v>
          </cell>
          <cell r="T137">
            <v>0.27699336672532826</v>
          </cell>
          <cell r="U137">
            <v>87.5</v>
          </cell>
          <cell r="V137">
            <v>59</v>
          </cell>
          <cell r="W137">
            <v>109</v>
          </cell>
          <cell r="X137">
            <v>0</v>
          </cell>
          <cell r="Y137">
            <v>0</v>
          </cell>
          <cell r="Z137">
            <v>0</v>
          </cell>
          <cell r="AA137">
            <v>8750</v>
          </cell>
          <cell r="AB137">
            <v>8205</v>
          </cell>
          <cell r="AC137">
            <v>0</v>
          </cell>
          <cell r="AD137">
            <v>6.2285714285714278E-2</v>
          </cell>
          <cell r="AE137">
            <v>35572</v>
          </cell>
          <cell r="AF137">
            <v>685</v>
          </cell>
          <cell r="AG137">
            <v>685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10061.299999999999</v>
          </cell>
          <cell r="AN137">
            <v>10061.299999999999</v>
          </cell>
          <cell r="AO137">
            <v>0</v>
          </cell>
          <cell r="AP137">
            <v>0</v>
          </cell>
          <cell r="AQ137">
            <v>0</v>
          </cell>
          <cell r="AR137">
            <v>0.69790003373439791</v>
          </cell>
          <cell r="AS137">
            <v>0</v>
          </cell>
          <cell r="AT137">
            <v>61.26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44322</v>
          </cell>
          <cell r="AZ137">
            <v>0</v>
          </cell>
          <cell r="BA137">
            <v>44322</v>
          </cell>
          <cell r="BB137">
            <v>19012.559999999998</v>
          </cell>
          <cell r="BC137">
            <v>0</v>
          </cell>
          <cell r="BD137">
            <v>1</v>
          </cell>
          <cell r="BE137">
            <v>1</v>
          </cell>
          <cell r="BF137">
            <v>0</v>
          </cell>
          <cell r="BG137">
            <v>0</v>
          </cell>
          <cell r="BH137">
            <v>0</v>
          </cell>
          <cell r="BI137">
            <v>96</v>
          </cell>
          <cell r="BJ137">
            <v>1</v>
          </cell>
          <cell r="BK137">
            <v>0</v>
          </cell>
          <cell r="BL137">
            <v>0</v>
          </cell>
          <cell r="BM137">
            <v>0</v>
          </cell>
          <cell r="BN137">
            <v>44322</v>
          </cell>
          <cell r="BO137">
            <v>19012.559999999998</v>
          </cell>
          <cell r="BP137">
            <v>25309.440000000002</v>
          </cell>
          <cell r="BQ137">
            <v>44322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X137">
            <v>0</v>
          </cell>
          <cell r="BY137">
            <v>59</v>
          </cell>
          <cell r="BZ137">
            <v>109</v>
          </cell>
          <cell r="CA137">
            <v>746.26</v>
          </cell>
        </row>
        <row r="138">
          <cell r="H138" t="str">
            <v>C233638</v>
          </cell>
          <cell r="I138" t="str">
            <v xml:space="preserve">MODIFICATION DOSSIER          </v>
          </cell>
          <cell r="J138" t="str">
            <v xml:space="preserve">14075                         </v>
          </cell>
          <cell r="K138" t="str">
            <v xml:space="preserve">RESEAUX TRANSPORT ELECTRICITE </v>
          </cell>
          <cell r="L138" t="str">
            <v>LJA</v>
          </cell>
          <cell r="M138">
            <v>44956</v>
          </cell>
          <cell r="N138">
            <v>45014</v>
          </cell>
          <cell r="O138">
            <v>1752</v>
          </cell>
          <cell r="P138">
            <v>0</v>
          </cell>
          <cell r="Q138">
            <v>875.4</v>
          </cell>
          <cell r="R138">
            <v>875.4</v>
          </cell>
          <cell r="S138">
            <v>0.50034246575342467</v>
          </cell>
          <cell r="T138">
            <v>0.59</v>
          </cell>
          <cell r="U138">
            <v>18</v>
          </cell>
          <cell r="V138">
            <v>5</v>
          </cell>
          <cell r="W138">
            <v>12.7</v>
          </cell>
          <cell r="X138">
            <v>0</v>
          </cell>
          <cell r="Y138">
            <v>0</v>
          </cell>
          <cell r="Z138">
            <v>0</v>
          </cell>
          <cell r="AA138">
            <v>1752</v>
          </cell>
          <cell r="AB138">
            <v>875.4</v>
          </cell>
          <cell r="AC138">
            <v>0</v>
          </cell>
          <cell r="AD138">
            <v>0.50034246575342467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1752</v>
          </cell>
          <cell r="AZ138">
            <v>0</v>
          </cell>
          <cell r="BA138">
            <v>1752</v>
          </cell>
          <cell r="BB138">
            <v>875.4</v>
          </cell>
          <cell r="BC138">
            <v>0</v>
          </cell>
          <cell r="BD138">
            <v>1</v>
          </cell>
          <cell r="BE138">
            <v>1</v>
          </cell>
          <cell r="BF138">
            <v>0</v>
          </cell>
          <cell r="BG138">
            <v>0</v>
          </cell>
          <cell r="BH138">
            <v>0</v>
          </cell>
          <cell r="BI138">
            <v>96</v>
          </cell>
          <cell r="BJ138">
            <v>1</v>
          </cell>
          <cell r="BK138">
            <v>0</v>
          </cell>
          <cell r="BL138">
            <v>0</v>
          </cell>
          <cell r="BM138">
            <v>0</v>
          </cell>
          <cell r="BN138">
            <v>1752</v>
          </cell>
          <cell r="BO138">
            <v>875.4</v>
          </cell>
          <cell r="BP138">
            <v>876.6</v>
          </cell>
          <cell r="BQ138">
            <v>1752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X138">
            <v>0</v>
          </cell>
          <cell r="BY138">
            <v>5</v>
          </cell>
          <cell r="BZ138">
            <v>12.7</v>
          </cell>
          <cell r="CA138">
            <v>0</v>
          </cell>
        </row>
        <row r="139">
          <cell r="H139" t="str">
            <v>C223349</v>
          </cell>
          <cell r="I139" t="str">
            <v xml:space="preserve">INSTALLATION OF               </v>
          </cell>
          <cell r="J139" t="str">
            <v xml:space="preserve">                              </v>
          </cell>
          <cell r="K139" t="str">
            <v xml:space="preserve">CORPORATE AIRCRAFT SA </v>
          </cell>
          <cell r="L139" t="str">
            <v>BAZ</v>
          </cell>
          <cell r="M139">
            <v>44630</v>
          </cell>
          <cell r="N139">
            <v>45051</v>
          </cell>
          <cell r="O139">
            <v>438294.24</v>
          </cell>
          <cell r="P139">
            <v>0</v>
          </cell>
          <cell r="Q139">
            <v>423922.31</v>
          </cell>
          <cell r="R139">
            <v>423922.31</v>
          </cell>
          <cell r="S139">
            <v>3.2790597476252459E-2</v>
          </cell>
          <cell r="T139">
            <v>0.2</v>
          </cell>
          <cell r="U139">
            <v>0</v>
          </cell>
          <cell r="V139">
            <v>260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10660</v>
          </cell>
          <cell r="AC139">
            <v>0</v>
          </cell>
          <cell r="AD139">
            <v>0</v>
          </cell>
          <cell r="AE139">
            <v>438294.24</v>
          </cell>
          <cell r="AF139">
            <v>413094.24</v>
          </cell>
          <cell r="AG139">
            <v>413094.24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5.7495622119058676E-2</v>
          </cell>
          <cell r="AS139">
            <v>0</v>
          </cell>
          <cell r="AT139">
            <v>168.07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438294.24</v>
          </cell>
          <cell r="AZ139">
            <v>438293.72298516374</v>
          </cell>
          <cell r="BA139">
            <v>0.51701483625220135</v>
          </cell>
          <cell r="BB139">
            <v>423922.31</v>
          </cell>
          <cell r="BC139">
            <v>0</v>
          </cell>
          <cell r="BD139">
            <v>1</v>
          </cell>
          <cell r="BE139">
            <v>1</v>
          </cell>
          <cell r="BF139">
            <v>0</v>
          </cell>
          <cell r="BG139">
            <v>0</v>
          </cell>
          <cell r="BH139">
            <v>0</v>
          </cell>
          <cell r="BI139">
            <v>96</v>
          </cell>
          <cell r="BJ139">
            <v>1</v>
          </cell>
          <cell r="BK139">
            <v>0</v>
          </cell>
          <cell r="BL139">
            <v>0</v>
          </cell>
          <cell r="BM139">
            <v>0</v>
          </cell>
          <cell r="BN139">
            <v>0.51701483625220135</v>
          </cell>
          <cell r="BO139">
            <v>52.729999999981374</v>
          </cell>
          <cell r="BP139">
            <v>-52.212985163729172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52.729999999981374</v>
          </cell>
        </row>
        <row r="140">
          <cell r="H140" t="str">
            <v>C223389</v>
          </cell>
          <cell r="I140" t="str">
            <v xml:space="preserve">NRC FOR LRU QUALIFACATION     </v>
          </cell>
          <cell r="J140" t="str">
            <v xml:space="preserve">                              </v>
          </cell>
          <cell r="K140" t="str">
            <v xml:space="preserve">ASTRONICS CSC </v>
          </cell>
          <cell r="L140" t="str">
            <v>VSE</v>
          </cell>
          <cell r="M140">
            <v>44677</v>
          </cell>
          <cell r="N140">
            <v>44952</v>
          </cell>
          <cell r="O140">
            <v>10500</v>
          </cell>
          <cell r="P140">
            <v>0</v>
          </cell>
          <cell r="Q140">
            <v>3977</v>
          </cell>
          <cell r="R140">
            <v>3977</v>
          </cell>
          <cell r="S140">
            <v>0.62123809523809526</v>
          </cell>
          <cell r="T140">
            <v>0.59</v>
          </cell>
          <cell r="U140">
            <v>109.375</v>
          </cell>
          <cell r="V140">
            <v>97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10500</v>
          </cell>
          <cell r="AB140">
            <v>3977</v>
          </cell>
          <cell r="AC140">
            <v>0</v>
          </cell>
          <cell r="AD140">
            <v>0.62123809523809526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10500</v>
          </cell>
          <cell r="AZ140">
            <v>10500</v>
          </cell>
          <cell r="BA140">
            <v>0</v>
          </cell>
          <cell r="BB140">
            <v>3977</v>
          </cell>
          <cell r="BC140">
            <v>0</v>
          </cell>
          <cell r="BD140">
            <v>1</v>
          </cell>
          <cell r="BE140">
            <v>1</v>
          </cell>
          <cell r="BF140">
            <v>0</v>
          </cell>
          <cell r="BG140">
            <v>0</v>
          </cell>
          <cell r="BH140">
            <v>0</v>
          </cell>
          <cell r="BI140">
            <v>96</v>
          </cell>
          <cell r="BJ140">
            <v>1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5250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</row>
        <row r="141">
          <cell r="H141" t="str">
            <v>C233628</v>
          </cell>
          <cell r="I141" t="str">
            <v>Survey Turquie Egypte</v>
          </cell>
          <cell r="J141" t="str">
            <v xml:space="preserve">                              </v>
          </cell>
          <cell r="K141" t="str">
            <v>SECAMIC</v>
          </cell>
          <cell r="L141" t="str">
            <v>LJA</v>
          </cell>
          <cell r="M141">
            <v>44927</v>
          </cell>
          <cell r="N141">
            <v>45014</v>
          </cell>
          <cell r="O141">
            <v>5780.91</v>
          </cell>
          <cell r="P141">
            <v>0</v>
          </cell>
          <cell r="Q141">
            <v>3893.01</v>
          </cell>
          <cell r="R141">
            <v>3893.01</v>
          </cell>
          <cell r="S141">
            <v>0.3265748818092653</v>
          </cell>
          <cell r="T141">
            <v>0.52382444978385756</v>
          </cell>
          <cell r="U141">
            <v>50</v>
          </cell>
          <cell r="V141">
            <v>69.5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4800</v>
          </cell>
          <cell r="AB141">
            <v>2988.5</v>
          </cell>
          <cell r="AC141">
            <v>0</v>
          </cell>
          <cell r="AD141">
            <v>0.37739583333333337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980.91</v>
          </cell>
          <cell r="AT141">
            <v>904.51</v>
          </cell>
          <cell r="AU141">
            <v>0</v>
          </cell>
          <cell r="AV141">
            <v>0</v>
          </cell>
          <cell r="AW141">
            <v>0</v>
          </cell>
          <cell r="AX141">
            <v>7.78868601604632E-2</v>
          </cell>
          <cell r="AY141">
            <v>5780.91</v>
          </cell>
          <cell r="AZ141">
            <v>0</v>
          </cell>
          <cell r="BA141">
            <v>5780.91</v>
          </cell>
          <cell r="BB141">
            <v>3893.01</v>
          </cell>
          <cell r="BC141">
            <v>0</v>
          </cell>
          <cell r="BD141">
            <v>1</v>
          </cell>
          <cell r="BE141">
            <v>1</v>
          </cell>
          <cell r="BF141">
            <v>0</v>
          </cell>
          <cell r="BG141">
            <v>0</v>
          </cell>
          <cell r="BH141">
            <v>0</v>
          </cell>
          <cell r="BI141">
            <v>96</v>
          </cell>
          <cell r="BJ141">
            <v>1</v>
          </cell>
          <cell r="BK141">
            <v>-1.1368683772161603E-13</v>
          </cell>
          <cell r="BL141">
            <v>0</v>
          </cell>
          <cell r="BM141">
            <v>0</v>
          </cell>
          <cell r="BN141">
            <v>5780.91</v>
          </cell>
          <cell r="BO141">
            <v>3893.01</v>
          </cell>
          <cell r="BP141">
            <v>1887.8999999999996</v>
          </cell>
          <cell r="BQ141">
            <v>5780.91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X141">
            <v>0</v>
          </cell>
          <cell r="BY141">
            <v>69.5</v>
          </cell>
          <cell r="BZ141">
            <v>0</v>
          </cell>
          <cell r="CA141">
            <v>904.51</v>
          </cell>
        </row>
        <row r="142">
          <cell r="H142" t="str">
            <v>C223474</v>
          </cell>
          <cell r="I142" t="str">
            <v xml:space="preserve">DEVELOPEMENT OF A SB COVERING </v>
          </cell>
          <cell r="J142" t="str">
            <v xml:space="preserve">                              </v>
          </cell>
          <cell r="K142" t="str">
            <v xml:space="preserve">DASSAULT AVIATION BUSINESS SERVICES </v>
          </cell>
          <cell r="L142" t="str">
            <v>VGA</v>
          </cell>
          <cell r="M142">
            <v>44797</v>
          </cell>
          <cell r="N142">
            <v>44868</v>
          </cell>
          <cell r="O142">
            <v>2500</v>
          </cell>
          <cell r="P142">
            <v>0</v>
          </cell>
          <cell r="Q142">
            <v>1066</v>
          </cell>
          <cell r="R142">
            <v>1066</v>
          </cell>
          <cell r="S142">
            <v>0.5736</v>
          </cell>
          <cell r="T142">
            <v>0.59</v>
          </cell>
          <cell r="U142">
            <v>26.041666666666668</v>
          </cell>
          <cell r="V142">
            <v>26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2500</v>
          </cell>
          <cell r="AB142">
            <v>1066</v>
          </cell>
          <cell r="AC142">
            <v>0</v>
          </cell>
          <cell r="AD142">
            <v>0.5736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2500</v>
          </cell>
          <cell r="AZ142">
            <v>2495.1236638839041</v>
          </cell>
          <cell r="BA142">
            <v>4.8763361160958993</v>
          </cell>
          <cell r="BB142">
            <v>1066</v>
          </cell>
          <cell r="BC142">
            <v>0</v>
          </cell>
          <cell r="BD142">
            <v>1</v>
          </cell>
          <cell r="BE142">
            <v>1</v>
          </cell>
          <cell r="BF142">
            <v>0</v>
          </cell>
          <cell r="BG142">
            <v>0</v>
          </cell>
          <cell r="BH142">
            <v>0</v>
          </cell>
          <cell r="BI142">
            <v>96</v>
          </cell>
          <cell r="BJ142">
            <v>1</v>
          </cell>
          <cell r="BK142">
            <v>0</v>
          </cell>
          <cell r="BL142">
            <v>0</v>
          </cell>
          <cell r="BM142">
            <v>0</v>
          </cell>
          <cell r="BN142">
            <v>4.8763361160958993</v>
          </cell>
          <cell r="BO142">
            <v>0</v>
          </cell>
          <cell r="BP142">
            <v>4.8763361160958993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</row>
        <row r="143">
          <cell r="H143" t="str">
            <v>C223591</v>
          </cell>
          <cell r="I143" t="str">
            <v xml:space="preserve">SERVICE BULLETIN A320-214     </v>
          </cell>
          <cell r="J143" t="str">
            <v xml:space="preserve">                              </v>
          </cell>
          <cell r="K143" t="str">
            <v>AERO CABIN SOLUTIONS</v>
          </cell>
          <cell r="L143" t="str">
            <v>VGA</v>
          </cell>
          <cell r="M143">
            <v>44963</v>
          </cell>
          <cell r="N143">
            <v>45134</v>
          </cell>
          <cell r="O143">
            <v>74900</v>
          </cell>
          <cell r="P143">
            <v>-8666.6666666666715</v>
          </cell>
          <cell r="Q143">
            <v>29611.5</v>
          </cell>
          <cell r="R143">
            <v>29611.5</v>
          </cell>
          <cell r="S143">
            <v>0.60465287049399197</v>
          </cell>
          <cell r="T143">
            <v>0.50148197596795729</v>
          </cell>
          <cell r="U143">
            <v>551.42857142857144</v>
          </cell>
          <cell r="V143">
            <v>430.5</v>
          </cell>
          <cell r="W143">
            <v>45</v>
          </cell>
          <cell r="X143">
            <v>0</v>
          </cell>
          <cell r="Y143">
            <v>0</v>
          </cell>
          <cell r="Z143">
            <v>0</v>
          </cell>
          <cell r="AA143">
            <v>57900</v>
          </cell>
          <cell r="AB143">
            <v>20851.5</v>
          </cell>
          <cell r="AC143">
            <v>0</v>
          </cell>
          <cell r="AD143">
            <v>0.63987046632124356</v>
          </cell>
          <cell r="AE143">
            <v>17000</v>
          </cell>
          <cell r="AF143">
            <v>8760</v>
          </cell>
          <cell r="AG143">
            <v>8760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0.48470588235294121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74900</v>
          </cell>
          <cell r="BB143">
            <v>29611.5</v>
          </cell>
          <cell r="BC143">
            <v>0</v>
          </cell>
          <cell r="BD143">
            <v>1</v>
          </cell>
          <cell r="BE143">
            <v>0</v>
          </cell>
          <cell r="BF143">
            <v>0</v>
          </cell>
          <cell r="BG143">
            <v>74900</v>
          </cell>
          <cell r="BH143">
            <v>0</v>
          </cell>
          <cell r="BI143">
            <v>100</v>
          </cell>
          <cell r="BJ143">
            <v>1</v>
          </cell>
          <cell r="BK143">
            <v>0</v>
          </cell>
          <cell r="BL143">
            <v>0</v>
          </cell>
          <cell r="BM143">
            <v>0</v>
          </cell>
          <cell r="BN143">
            <v>74900</v>
          </cell>
          <cell r="BO143">
            <v>29611.5</v>
          </cell>
          <cell r="BP143">
            <v>45288.5</v>
          </cell>
          <cell r="BQ143">
            <v>0</v>
          </cell>
          <cell r="BR143">
            <v>-8666.6666666666715</v>
          </cell>
          <cell r="BS143">
            <v>0</v>
          </cell>
          <cell r="BT143">
            <v>-8666.6666666666715</v>
          </cell>
          <cell r="BU143">
            <v>0</v>
          </cell>
          <cell r="BV143">
            <v>0</v>
          </cell>
          <cell r="BX143">
            <v>0</v>
          </cell>
          <cell r="BY143">
            <v>430.5</v>
          </cell>
          <cell r="BZ143">
            <v>45</v>
          </cell>
          <cell r="CA143">
            <v>8760</v>
          </cell>
        </row>
        <row r="144">
          <cell r="H144" t="str">
            <v>C233636</v>
          </cell>
          <cell r="I144" t="str">
            <v xml:space="preserve">DOSSIER D'APPROBATION ZONES   </v>
          </cell>
          <cell r="J144" t="str">
            <v xml:space="preserve">                              </v>
          </cell>
          <cell r="K144" t="str">
            <v>HBG FRANCE</v>
          </cell>
          <cell r="L144" t="str">
            <v>LJA</v>
          </cell>
          <cell r="M144">
            <v>44965</v>
          </cell>
          <cell r="N144">
            <v>44977</v>
          </cell>
          <cell r="O144">
            <v>3700</v>
          </cell>
          <cell r="P144">
            <v>0</v>
          </cell>
          <cell r="Q144">
            <v>1739.8</v>
          </cell>
          <cell r="R144">
            <v>1739.8</v>
          </cell>
          <cell r="S144">
            <v>0.52978378378378377</v>
          </cell>
          <cell r="T144">
            <v>0.59</v>
          </cell>
          <cell r="U144">
            <v>37.5</v>
          </cell>
          <cell r="V144">
            <v>17</v>
          </cell>
          <cell r="W144">
            <v>19.399999999999999</v>
          </cell>
          <cell r="X144">
            <v>0</v>
          </cell>
          <cell r="Y144">
            <v>0</v>
          </cell>
          <cell r="Z144">
            <v>0</v>
          </cell>
          <cell r="AA144">
            <v>3700</v>
          </cell>
          <cell r="AB144">
            <v>1739.8</v>
          </cell>
          <cell r="AC144">
            <v>0</v>
          </cell>
          <cell r="AD144">
            <v>0.52978378378378377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3700</v>
          </cell>
          <cell r="AZ144">
            <v>0</v>
          </cell>
          <cell r="BA144">
            <v>3700</v>
          </cell>
          <cell r="BB144">
            <v>1739.8</v>
          </cell>
          <cell r="BC144">
            <v>0</v>
          </cell>
          <cell r="BD144">
            <v>1</v>
          </cell>
          <cell r="BE144">
            <v>1</v>
          </cell>
          <cell r="BF144">
            <v>0</v>
          </cell>
          <cell r="BG144">
            <v>0</v>
          </cell>
          <cell r="BH144">
            <v>0</v>
          </cell>
          <cell r="BI144">
            <v>100</v>
          </cell>
          <cell r="BJ144">
            <v>1</v>
          </cell>
          <cell r="BK144">
            <v>0</v>
          </cell>
          <cell r="BL144">
            <v>0</v>
          </cell>
          <cell r="BM144">
            <v>0</v>
          </cell>
          <cell r="BN144">
            <v>3700</v>
          </cell>
          <cell r="BO144">
            <v>1739.8</v>
          </cell>
          <cell r="BP144">
            <v>1960.2</v>
          </cell>
          <cell r="BQ144">
            <v>3700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X144">
            <v>0</v>
          </cell>
          <cell r="BY144">
            <v>17</v>
          </cell>
          <cell r="BZ144">
            <v>19.399999999999999</v>
          </cell>
          <cell r="CA144">
            <v>0</v>
          </cell>
        </row>
        <row r="145">
          <cell r="H145" t="str">
            <v>C233649</v>
          </cell>
          <cell r="I145" t="str">
            <v xml:space="preserve">MODIFICATION DOSSIER          </v>
          </cell>
          <cell r="J145" t="str">
            <v xml:space="preserve">                              </v>
          </cell>
          <cell r="K145" t="str">
            <v xml:space="preserve">RESEAUX TRANSPORT ELECTRICITE </v>
          </cell>
          <cell r="L145" t="str">
            <v>LJA</v>
          </cell>
          <cell r="M145">
            <v>44964</v>
          </cell>
          <cell r="N145">
            <v>45022</v>
          </cell>
          <cell r="O145">
            <v>2092</v>
          </cell>
          <cell r="P145">
            <v>0</v>
          </cell>
          <cell r="Q145">
            <v>850.8</v>
          </cell>
          <cell r="R145">
            <v>850.8</v>
          </cell>
          <cell r="S145">
            <v>0.59330783938814535</v>
          </cell>
          <cell r="T145">
            <v>0.59</v>
          </cell>
          <cell r="U145">
            <v>22</v>
          </cell>
          <cell r="V145">
            <v>5.9999999999999982</v>
          </cell>
          <cell r="W145">
            <v>11.4</v>
          </cell>
          <cell r="X145">
            <v>0</v>
          </cell>
          <cell r="Y145">
            <v>0</v>
          </cell>
          <cell r="Z145">
            <v>0</v>
          </cell>
          <cell r="AA145">
            <v>2092</v>
          </cell>
          <cell r="AB145">
            <v>850.8</v>
          </cell>
          <cell r="AC145">
            <v>0</v>
          </cell>
          <cell r="AD145">
            <v>0.59330783938814535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2092</v>
          </cell>
          <cell r="AZ145">
            <v>0</v>
          </cell>
          <cell r="BA145">
            <v>2092</v>
          </cell>
          <cell r="BB145">
            <v>850.8</v>
          </cell>
          <cell r="BC145">
            <v>0</v>
          </cell>
          <cell r="BD145">
            <v>1</v>
          </cell>
          <cell r="BE145">
            <v>1</v>
          </cell>
          <cell r="BF145">
            <v>0</v>
          </cell>
          <cell r="BG145">
            <v>0</v>
          </cell>
          <cell r="BH145">
            <v>0</v>
          </cell>
          <cell r="BI145">
            <v>100</v>
          </cell>
          <cell r="BJ145">
            <v>1</v>
          </cell>
          <cell r="BK145">
            <v>0</v>
          </cell>
          <cell r="BL145">
            <v>0</v>
          </cell>
          <cell r="BM145">
            <v>0</v>
          </cell>
          <cell r="BN145">
            <v>2092</v>
          </cell>
          <cell r="BO145">
            <v>850.8</v>
          </cell>
          <cell r="BP145">
            <v>1241.2</v>
          </cell>
          <cell r="BQ145">
            <v>2092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X145">
            <v>0</v>
          </cell>
          <cell r="BY145">
            <v>5.9999999999999982</v>
          </cell>
          <cell r="BZ145">
            <v>11.4</v>
          </cell>
          <cell r="CA145">
            <v>0</v>
          </cell>
        </row>
        <row r="146">
          <cell r="H146" t="str">
            <v>C233655</v>
          </cell>
          <cell r="I146" t="str">
            <v xml:space="preserve">PRE-STUDY COMPATIBILITY IFE   </v>
          </cell>
          <cell r="J146" t="str">
            <v xml:space="preserve">                              </v>
          </cell>
          <cell r="K146" t="str">
            <v>AERO CABIN SOLUTIONS</v>
          </cell>
          <cell r="L146" t="str">
            <v>VGA</v>
          </cell>
          <cell r="M146">
            <v>44970</v>
          </cell>
          <cell r="N146">
            <v>45014</v>
          </cell>
          <cell r="O146">
            <v>2000</v>
          </cell>
          <cell r="P146">
            <v>0</v>
          </cell>
          <cell r="Q146">
            <v>1360.5</v>
          </cell>
          <cell r="R146">
            <v>1360.5</v>
          </cell>
          <cell r="S146">
            <v>0.31974999999999998</v>
          </cell>
          <cell r="T146">
            <v>0.59</v>
          </cell>
          <cell r="U146">
            <v>20</v>
          </cell>
          <cell r="V146">
            <v>13.5</v>
          </cell>
          <cell r="W146">
            <v>15</v>
          </cell>
          <cell r="X146">
            <v>0</v>
          </cell>
          <cell r="Y146">
            <v>0</v>
          </cell>
          <cell r="Z146">
            <v>0</v>
          </cell>
          <cell r="AA146">
            <v>2000</v>
          </cell>
          <cell r="AB146">
            <v>1360.5</v>
          </cell>
          <cell r="AC146">
            <v>0</v>
          </cell>
          <cell r="AD146">
            <v>0.31974999999999998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2000</v>
          </cell>
          <cell r="AZ146">
            <v>0</v>
          </cell>
          <cell r="BA146">
            <v>2000</v>
          </cell>
          <cell r="BB146">
            <v>1360.5</v>
          </cell>
          <cell r="BC146">
            <v>0</v>
          </cell>
          <cell r="BD146">
            <v>1</v>
          </cell>
          <cell r="BE146">
            <v>1</v>
          </cell>
          <cell r="BF146">
            <v>0</v>
          </cell>
          <cell r="BG146">
            <v>0</v>
          </cell>
          <cell r="BH146">
            <v>0</v>
          </cell>
          <cell r="BI146">
            <v>100</v>
          </cell>
          <cell r="BJ146">
            <v>1</v>
          </cell>
          <cell r="BK146">
            <v>0</v>
          </cell>
          <cell r="BL146">
            <v>0</v>
          </cell>
          <cell r="BM146">
            <v>0</v>
          </cell>
          <cell r="BN146">
            <v>2000</v>
          </cell>
          <cell r="BO146">
            <v>1360.5</v>
          </cell>
          <cell r="BP146">
            <v>639.5</v>
          </cell>
          <cell r="BQ146">
            <v>2000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X146">
            <v>0</v>
          </cell>
          <cell r="BY146">
            <v>13.5</v>
          </cell>
          <cell r="BZ146">
            <v>15</v>
          </cell>
          <cell r="CA146">
            <v>0</v>
          </cell>
        </row>
        <row r="147">
          <cell r="H147" t="str">
            <v>C233648</v>
          </cell>
          <cell r="I147" t="str">
            <v>MODIFICATION CABLAGE BM EC120B</v>
          </cell>
          <cell r="J147">
            <v>23016</v>
          </cell>
          <cell r="K147" t="str">
            <v xml:space="preserve">HELIDAX </v>
          </cell>
          <cell r="L147" t="str">
            <v>LJA</v>
          </cell>
          <cell r="M147">
            <v>44970</v>
          </cell>
          <cell r="N147" t="str">
            <v/>
          </cell>
          <cell r="O147">
            <v>2900</v>
          </cell>
          <cell r="P147">
            <v>0</v>
          </cell>
          <cell r="Q147">
            <v>1174.4000000000001</v>
          </cell>
          <cell r="R147">
            <v>1174.4000000000001</v>
          </cell>
          <cell r="S147">
            <v>0.5233103448275862</v>
          </cell>
          <cell r="T147">
            <v>0.59</v>
          </cell>
          <cell r="U147">
            <v>30</v>
          </cell>
          <cell r="V147">
            <v>18</v>
          </cell>
          <cell r="W147">
            <v>7.7</v>
          </cell>
          <cell r="X147">
            <v>4</v>
          </cell>
          <cell r="Y147">
            <v>4</v>
          </cell>
          <cell r="Z147">
            <v>0</v>
          </cell>
          <cell r="AA147">
            <v>2900</v>
          </cell>
          <cell r="AB147">
            <v>1174.4000000000001</v>
          </cell>
          <cell r="AC147">
            <v>208</v>
          </cell>
          <cell r="AD147">
            <v>0.5233103448275862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2463.6574074074074</v>
          </cell>
          <cell r="BB147">
            <v>1174.4000000000001</v>
          </cell>
          <cell r="BC147">
            <v>208</v>
          </cell>
          <cell r="BD147">
            <v>0.84953703703703709</v>
          </cell>
          <cell r="BE147">
            <v>0</v>
          </cell>
          <cell r="BF147">
            <v>0</v>
          </cell>
          <cell r="BG147">
            <v>2463.6574074074074</v>
          </cell>
          <cell r="BH147">
            <v>0</v>
          </cell>
          <cell r="BI147">
            <v>100</v>
          </cell>
          <cell r="BJ147">
            <v>1</v>
          </cell>
          <cell r="BK147">
            <v>0</v>
          </cell>
          <cell r="BL147">
            <v>0</v>
          </cell>
          <cell r="BM147">
            <v>0</v>
          </cell>
          <cell r="BN147">
            <v>2463.6574074074074</v>
          </cell>
          <cell r="BO147">
            <v>1174.4000000000001</v>
          </cell>
          <cell r="BP147">
            <v>1289.2574074074073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436.34259259259261</v>
          </cell>
          <cell r="BX147">
            <v>0</v>
          </cell>
          <cell r="BY147">
            <v>18</v>
          </cell>
          <cell r="BZ147">
            <v>7.7</v>
          </cell>
          <cell r="CA147">
            <v>0</v>
          </cell>
        </row>
        <row r="148">
          <cell r="H148" t="str">
            <v>C233642</v>
          </cell>
          <cell r="I148" t="str">
            <v xml:space="preserve">DOSSIER PROTECTION PERCHES    </v>
          </cell>
          <cell r="J148" t="str">
            <v xml:space="preserve">                              </v>
          </cell>
          <cell r="K148" t="str">
            <v>AIRTELIS</v>
          </cell>
          <cell r="L148" t="str">
            <v>LJA</v>
          </cell>
          <cell r="M148">
            <v>44979</v>
          </cell>
          <cell r="N148">
            <v>45016</v>
          </cell>
          <cell r="O148">
            <v>10824.5</v>
          </cell>
          <cell r="P148">
            <v>0</v>
          </cell>
          <cell r="Q148">
            <v>7118</v>
          </cell>
          <cell r="R148">
            <v>7118</v>
          </cell>
          <cell r="S148">
            <v>0.34241766363342419</v>
          </cell>
          <cell r="T148">
            <v>0.35730426347637301</v>
          </cell>
          <cell r="U148">
            <v>45.5</v>
          </cell>
          <cell r="V148">
            <v>50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4366</v>
          </cell>
          <cell r="AB148">
            <v>2150</v>
          </cell>
          <cell r="AC148">
            <v>0</v>
          </cell>
          <cell r="AD148">
            <v>0.50755840586349055</v>
          </cell>
          <cell r="AE148">
            <v>6458.5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4968</v>
          </cell>
          <cell r="AN148">
            <v>4968</v>
          </cell>
          <cell r="AO148">
            <v>0</v>
          </cell>
          <cell r="AP148">
            <v>0</v>
          </cell>
          <cell r="AQ148">
            <v>0</v>
          </cell>
          <cell r="AR148">
            <v>0.23078114113184178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10824.5</v>
          </cell>
          <cell r="AZ148">
            <v>0</v>
          </cell>
          <cell r="BA148">
            <v>10824.5</v>
          </cell>
          <cell r="BB148">
            <v>7118</v>
          </cell>
          <cell r="BC148">
            <v>0</v>
          </cell>
          <cell r="BD148">
            <v>1</v>
          </cell>
          <cell r="BE148">
            <v>1</v>
          </cell>
          <cell r="BF148">
            <v>0</v>
          </cell>
          <cell r="BG148">
            <v>0</v>
          </cell>
          <cell r="BH148">
            <v>0</v>
          </cell>
          <cell r="BI148">
            <v>100</v>
          </cell>
          <cell r="BJ148">
            <v>1</v>
          </cell>
          <cell r="BK148">
            <v>0</v>
          </cell>
          <cell r="BL148">
            <v>0</v>
          </cell>
          <cell r="BM148">
            <v>0</v>
          </cell>
          <cell r="BN148">
            <v>10824.5</v>
          </cell>
          <cell r="BO148">
            <v>7118</v>
          </cell>
          <cell r="BP148">
            <v>3706.5</v>
          </cell>
          <cell r="BQ148">
            <v>10824.5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X148">
            <v>0</v>
          </cell>
          <cell r="BY148">
            <v>50</v>
          </cell>
          <cell r="BZ148">
            <v>0</v>
          </cell>
          <cell r="CA148">
            <v>0</v>
          </cell>
        </row>
        <row r="149">
          <cell r="H149" t="str">
            <v>B230025</v>
          </cell>
          <cell r="I149" t="str">
            <v xml:space="preserve">APPLICABILITÉ S/N BY-155      </v>
          </cell>
          <cell r="J149" t="str">
            <v xml:space="preserve">22094                         </v>
          </cell>
          <cell r="K149" t="str">
            <v xml:space="preserve">AEROTEC BLAGNAC </v>
          </cell>
          <cell r="L149" t="str">
            <v>LJA</v>
          </cell>
          <cell r="M149">
            <v>44974</v>
          </cell>
          <cell r="N149">
            <v>45014</v>
          </cell>
          <cell r="O149">
            <v>600</v>
          </cell>
          <cell r="P149">
            <v>0</v>
          </cell>
          <cell r="Q149">
            <v>258</v>
          </cell>
          <cell r="R149">
            <v>258</v>
          </cell>
          <cell r="S149">
            <v>0.57000000000000006</v>
          </cell>
          <cell r="T149">
            <v>0.59</v>
          </cell>
          <cell r="U149">
            <v>6</v>
          </cell>
          <cell r="V149">
            <v>6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600</v>
          </cell>
          <cell r="AB149">
            <v>258</v>
          </cell>
          <cell r="AC149">
            <v>0</v>
          </cell>
          <cell r="AD149">
            <v>0.57000000000000006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600</v>
          </cell>
          <cell r="AZ149">
            <v>0</v>
          </cell>
          <cell r="BA149">
            <v>600</v>
          </cell>
          <cell r="BB149">
            <v>258</v>
          </cell>
          <cell r="BC149">
            <v>0</v>
          </cell>
          <cell r="BD149">
            <v>1</v>
          </cell>
          <cell r="BE149">
            <v>1</v>
          </cell>
          <cell r="BF149">
            <v>0</v>
          </cell>
          <cell r="BG149">
            <v>0</v>
          </cell>
          <cell r="BH149">
            <v>0</v>
          </cell>
          <cell r="BI149">
            <v>100</v>
          </cell>
          <cell r="BJ149">
            <v>1</v>
          </cell>
          <cell r="BK149">
            <v>0</v>
          </cell>
          <cell r="BL149">
            <v>0</v>
          </cell>
          <cell r="BM149">
            <v>0</v>
          </cell>
          <cell r="BN149">
            <v>600</v>
          </cell>
          <cell r="BO149">
            <v>258</v>
          </cell>
          <cell r="BP149">
            <v>342</v>
          </cell>
          <cell r="BQ149">
            <v>600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X149">
            <v>0</v>
          </cell>
          <cell r="BY149">
            <v>6</v>
          </cell>
          <cell r="BZ149">
            <v>0</v>
          </cell>
          <cell r="CA149">
            <v>0</v>
          </cell>
        </row>
        <row r="150">
          <cell r="H150" t="str">
            <v>C233632</v>
          </cell>
          <cell r="I150" t="str">
            <v xml:space="preserve">UPDATE OF THE DATAPACKAGE     </v>
          </cell>
          <cell r="J150" t="str">
            <v xml:space="preserve">                              </v>
          </cell>
          <cell r="K150" t="str">
            <v xml:space="preserve">EQUILUX AERO IBERIA SLU </v>
          </cell>
          <cell r="L150" t="str">
            <v>PRO</v>
          </cell>
          <cell r="M150">
            <v>44958</v>
          </cell>
          <cell r="O150">
            <v>529996.69999999995</v>
          </cell>
          <cell r="P150">
            <v>34064.999999999942</v>
          </cell>
          <cell r="Q150">
            <v>286028.92</v>
          </cell>
          <cell r="R150">
            <v>104028.92</v>
          </cell>
          <cell r="S150">
            <v>0.381968000932836</v>
          </cell>
          <cell r="T150">
            <v>0.23651673680232349</v>
          </cell>
          <cell r="U150">
            <v>484.61</v>
          </cell>
          <cell r="V150">
            <v>414</v>
          </cell>
          <cell r="W150">
            <v>7</v>
          </cell>
          <cell r="X150">
            <v>63</v>
          </cell>
          <cell r="Y150">
            <v>108</v>
          </cell>
          <cell r="Z150">
            <v>45</v>
          </cell>
          <cell r="AA150">
            <v>49625</v>
          </cell>
          <cell r="AB150">
            <v>18166</v>
          </cell>
          <cell r="AC150">
            <v>3276</v>
          </cell>
          <cell r="AD150">
            <v>0.5679193954659949</v>
          </cell>
          <cell r="AE150">
            <v>480371.7</v>
          </cell>
          <cell r="AF150">
            <v>7115.4999999999709</v>
          </cell>
          <cell r="AG150">
            <v>7115.5</v>
          </cell>
          <cell r="AH150">
            <v>-2.9103830456733704E-11</v>
          </cell>
          <cell r="AI150">
            <v>0</v>
          </cell>
          <cell r="AK150">
            <v>0</v>
          </cell>
          <cell r="AL150">
            <v>-5.8207660913467407E-11</v>
          </cell>
          <cell r="AM150">
            <v>260747.42</v>
          </cell>
          <cell r="AN150">
            <v>78747.42</v>
          </cell>
          <cell r="AO150">
            <v>10750</v>
          </cell>
          <cell r="AP150">
            <v>0</v>
          </cell>
          <cell r="AQ150">
            <v>0</v>
          </cell>
          <cell r="AR150">
            <v>0.42000554986898697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118596.7</v>
          </cell>
          <cell r="AZ150">
            <v>0</v>
          </cell>
          <cell r="BA150">
            <v>168322.87026726388</v>
          </cell>
          <cell r="BB150">
            <v>104028.92</v>
          </cell>
          <cell r="BC150">
            <v>223526</v>
          </cell>
          <cell r="BD150">
            <v>0.31759229872047107</v>
          </cell>
          <cell r="BE150">
            <v>0.2237687517676997</v>
          </cell>
          <cell r="BF150">
            <v>0</v>
          </cell>
          <cell r="BG150">
            <v>49726.170267263878</v>
          </cell>
          <cell r="BH150">
            <v>27500</v>
          </cell>
          <cell r="BI150">
            <v>100</v>
          </cell>
          <cell r="BJ150">
            <v>1</v>
          </cell>
          <cell r="BK150">
            <v>-27500.000000000058</v>
          </cell>
          <cell r="BL150">
            <v>10344.999999999942</v>
          </cell>
          <cell r="BM150">
            <v>0.15967189068279056</v>
          </cell>
          <cell r="BN150">
            <v>168322.87026726388</v>
          </cell>
          <cell r="BO150">
            <v>104028.92</v>
          </cell>
          <cell r="BP150">
            <v>64293.950267263877</v>
          </cell>
          <cell r="BQ150">
            <v>118596.7</v>
          </cell>
          <cell r="BR150">
            <v>90005.13384444332</v>
          </cell>
          <cell r="BS150">
            <v>53935</v>
          </cell>
          <cell r="BT150">
            <v>36070.13384444332</v>
          </cell>
          <cell r="BU150">
            <v>14000</v>
          </cell>
          <cell r="BV150">
            <v>361673.82973273611</v>
          </cell>
          <cell r="BX150">
            <v>0</v>
          </cell>
          <cell r="BY150">
            <v>414</v>
          </cell>
          <cell r="BZ150">
            <v>7</v>
          </cell>
          <cell r="CA150">
            <v>7115.5</v>
          </cell>
        </row>
        <row r="151">
          <cell r="H151" t="str">
            <v>C233658</v>
          </cell>
          <cell r="I151" t="str">
            <v xml:space="preserve">AJOUT D'APPLICABILITÉ AE15101 </v>
          </cell>
          <cell r="J151" t="str">
            <v xml:space="preserve">15101                         </v>
          </cell>
          <cell r="K151" t="str">
            <v>ROTOR TEAM</v>
          </cell>
          <cell r="L151" t="str">
            <v>LJA</v>
          </cell>
          <cell r="M151">
            <v>44977</v>
          </cell>
          <cell r="N151">
            <v>44991</v>
          </cell>
          <cell r="O151">
            <v>600</v>
          </cell>
          <cell r="P151">
            <v>0</v>
          </cell>
          <cell r="Q151">
            <v>258</v>
          </cell>
          <cell r="R151">
            <v>258</v>
          </cell>
          <cell r="S151">
            <v>0.57000000000000006</v>
          </cell>
          <cell r="T151">
            <v>0.59</v>
          </cell>
          <cell r="U151">
            <v>6</v>
          </cell>
          <cell r="V151">
            <v>6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600</v>
          </cell>
          <cell r="AB151">
            <v>258</v>
          </cell>
          <cell r="AC151">
            <v>0</v>
          </cell>
          <cell r="AD151">
            <v>0.57000000000000006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600</v>
          </cell>
          <cell r="AZ151">
            <v>0</v>
          </cell>
          <cell r="BA151">
            <v>600</v>
          </cell>
          <cell r="BB151">
            <v>258</v>
          </cell>
          <cell r="BC151">
            <v>0</v>
          </cell>
          <cell r="BD151">
            <v>1</v>
          </cell>
          <cell r="BE151">
            <v>1</v>
          </cell>
          <cell r="BF151">
            <v>0</v>
          </cell>
          <cell r="BG151">
            <v>0</v>
          </cell>
          <cell r="BH151">
            <v>0</v>
          </cell>
          <cell r="BI151">
            <v>100</v>
          </cell>
          <cell r="BJ151">
            <v>1</v>
          </cell>
          <cell r="BK151">
            <v>0</v>
          </cell>
          <cell r="BL151">
            <v>0</v>
          </cell>
          <cell r="BM151">
            <v>0</v>
          </cell>
          <cell r="BN151">
            <v>600</v>
          </cell>
          <cell r="BO151">
            <v>258</v>
          </cell>
          <cell r="BP151">
            <v>342</v>
          </cell>
          <cell r="BQ151">
            <v>600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X151">
            <v>0</v>
          </cell>
          <cell r="BY151">
            <v>6</v>
          </cell>
          <cell r="BZ151">
            <v>0</v>
          </cell>
          <cell r="CA151">
            <v>0</v>
          </cell>
        </row>
        <row r="152">
          <cell r="H152" t="str">
            <v>C223549</v>
          </cell>
          <cell r="I152" t="str">
            <v xml:space="preserve">DEVELOPMENT OF A MINOR MOD    </v>
          </cell>
          <cell r="J152" t="str">
            <v xml:space="preserve">23019                         </v>
          </cell>
          <cell r="K152" t="str">
            <v xml:space="preserve">AIR CORSICA </v>
          </cell>
          <cell r="L152" t="str">
            <v>VGA</v>
          </cell>
          <cell r="M152">
            <v>44984</v>
          </cell>
          <cell r="N152">
            <v>45044</v>
          </cell>
          <cell r="O152">
            <v>8200</v>
          </cell>
          <cell r="P152">
            <v>0</v>
          </cell>
          <cell r="Q152">
            <v>3886</v>
          </cell>
          <cell r="R152">
            <v>3886</v>
          </cell>
          <cell r="S152">
            <v>0.52609756097560978</v>
          </cell>
          <cell r="T152">
            <v>0.59</v>
          </cell>
          <cell r="U152">
            <v>82</v>
          </cell>
          <cell r="V152">
            <v>42</v>
          </cell>
          <cell r="W152">
            <v>40</v>
          </cell>
          <cell r="X152">
            <v>0</v>
          </cell>
          <cell r="Y152">
            <v>0</v>
          </cell>
          <cell r="Z152">
            <v>0</v>
          </cell>
          <cell r="AA152">
            <v>8200</v>
          </cell>
          <cell r="AB152">
            <v>3886</v>
          </cell>
          <cell r="AC152">
            <v>0</v>
          </cell>
          <cell r="AD152">
            <v>0.52609756097560978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8200</v>
          </cell>
          <cell r="AZ152">
            <v>0</v>
          </cell>
          <cell r="BA152">
            <v>8200</v>
          </cell>
          <cell r="BB152">
            <v>3886</v>
          </cell>
          <cell r="BC152">
            <v>0</v>
          </cell>
          <cell r="BD152">
            <v>1</v>
          </cell>
          <cell r="BE152">
            <v>1</v>
          </cell>
          <cell r="BF152">
            <v>0</v>
          </cell>
          <cell r="BG152">
            <v>0</v>
          </cell>
          <cell r="BH152">
            <v>0</v>
          </cell>
          <cell r="BI152">
            <v>100</v>
          </cell>
          <cell r="BJ152">
            <v>1</v>
          </cell>
          <cell r="BK152">
            <v>0</v>
          </cell>
          <cell r="BL152">
            <v>0</v>
          </cell>
          <cell r="BM152">
            <v>0</v>
          </cell>
          <cell r="BN152">
            <v>8200</v>
          </cell>
          <cell r="BO152">
            <v>3886</v>
          </cell>
          <cell r="BP152">
            <v>4314</v>
          </cell>
          <cell r="BQ152">
            <v>8200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X152">
            <v>0</v>
          </cell>
          <cell r="BY152">
            <v>42</v>
          </cell>
          <cell r="BZ152">
            <v>40</v>
          </cell>
          <cell r="CA152">
            <v>0</v>
          </cell>
        </row>
        <row r="153">
          <cell r="H153" t="str">
            <v>C233674</v>
          </cell>
          <cell r="I153" t="str">
            <v xml:space="preserve">INSTALLATION ROUTEUR BELL 412 </v>
          </cell>
          <cell r="J153">
            <v>23022</v>
          </cell>
          <cell r="K153" t="str">
            <v>AIRWORKS HELICOPTERS</v>
          </cell>
          <cell r="L153" t="str">
            <v>LJA</v>
          </cell>
          <cell r="M153">
            <v>44992</v>
          </cell>
          <cell r="N153" t="str">
            <v/>
          </cell>
          <cell r="O153">
            <v>3200</v>
          </cell>
          <cell r="P153">
            <v>0</v>
          </cell>
          <cell r="Q153">
            <v>688</v>
          </cell>
          <cell r="R153">
            <v>688</v>
          </cell>
          <cell r="S153">
            <v>0.50062499999999999</v>
          </cell>
          <cell r="T153">
            <v>0.59</v>
          </cell>
          <cell r="U153">
            <v>33.5</v>
          </cell>
          <cell r="V153">
            <v>16</v>
          </cell>
          <cell r="W153">
            <v>0</v>
          </cell>
          <cell r="X153">
            <v>17.5</v>
          </cell>
          <cell r="Y153">
            <v>17.5</v>
          </cell>
          <cell r="Z153">
            <v>0</v>
          </cell>
          <cell r="AA153">
            <v>3200</v>
          </cell>
          <cell r="AB153">
            <v>688</v>
          </cell>
          <cell r="AC153">
            <v>910</v>
          </cell>
          <cell r="AD153">
            <v>0.50062499999999999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1377.7221526908636</v>
          </cell>
          <cell r="BB153">
            <v>688</v>
          </cell>
          <cell r="BC153">
            <v>910</v>
          </cell>
          <cell r="BD153">
            <v>0.4305381727158949</v>
          </cell>
          <cell r="BE153">
            <v>0</v>
          </cell>
          <cell r="BF153">
            <v>0</v>
          </cell>
          <cell r="BG153">
            <v>1377.7221526908636</v>
          </cell>
          <cell r="BH153">
            <v>0</v>
          </cell>
          <cell r="BI153">
            <v>100</v>
          </cell>
          <cell r="BJ153">
            <v>1</v>
          </cell>
          <cell r="BK153">
            <v>0</v>
          </cell>
          <cell r="BL153">
            <v>0</v>
          </cell>
          <cell r="BM153">
            <v>0</v>
          </cell>
          <cell r="BN153">
            <v>1377.7221526908636</v>
          </cell>
          <cell r="BO153">
            <v>688</v>
          </cell>
          <cell r="BP153">
            <v>689.7221526908636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1822.2778473091364</v>
          </cell>
          <cell r="BX153">
            <v>0</v>
          </cell>
          <cell r="BY153">
            <v>16</v>
          </cell>
          <cell r="BZ153">
            <v>0</v>
          </cell>
          <cell r="CA153">
            <v>0</v>
          </cell>
        </row>
        <row r="154">
          <cell r="H154" t="str">
            <v>C233673</v>
          </cell>
          <cell r="I154" t="str">
            <v xml:space="preserve">INSTALLATION ROUTEUR AS350B3  </v>
          </cell>
          <cell r="J154" t="str">
            <v xml:space="preserve">23021                         </v>
          </cell>
          <cell r="K154" t="str">
            <v>AIRWORKS HELICOPTERS</v>
          </cell>
          <cell r="L154" t="str">
            <v>LJA</v>
          </cell>
          <cell r="M154">
            <v>44992</v>
          </cell>
          <cell r="N154">
            <v>45120</v>
          </cell>
          <cell r="O154">
            <v>4750</v>
          </cell>
          <cell r="P154">
            <v>0</v>
          </cell>
          <cell r="Q154">
            <v>1720</v>
          </cell>
          <cell r="R154">
            <v>1720</v>
          </cell>
          <cell r="S154">
            <v>0.63789473684210529</v>
          </cell>
          <cell r="T154">
            <v>0.59</v>
          </cell>
          <cell r="U154">
            <v>49.5</v>
          </cell>
          <cell r="V154">
            <v>40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4750</v>
          </cell>
          <cell r="AB154">
            <v>1720</v>
          </cell>
          <cell r="AC154">
            <v>0</v>
          </cell>
          <cell r="AD154">
            <v>0.63789473684210529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4750</v>
          </cell>
          <cell r="AZ154">
            <v>0</v>
          </cell>
          <cell r="BA154">
            <v>4750</v>
          </cell>
          <cell r="BB154">
            <v>1720</v>
          </cell>
          <cell r="BC154">
            <v>0</v>
          </cell>
          <cell r="BD154">
            <v>1</v>
          </cell>
          <cell r="BE154">
            <v>1</v>
          </cell>
          <cell r="BF154">
            <v>0</v>
          </cell>
          <cell r="BG154">
            <v>0</v>
          </cell>
          <cell r="BH154">
            <v>0</v>
          </cell>
          <cell r="BI154">
            <v>100</v>
          </cell>
          <cell r="BJ154">
            <v>1</v>
          </cell>
          <cell r="BK154">
            <v>0</v>
          </cell>
          <cell r="BL154">
            <v>0</v>
          </cell>
          <cell r="BM154">
            <v>0</v>
          </cell>
          <cell r="BN154">
            <v>4750</v>
          </cell>
          <cell r="BO154">
            <v>1720</v>
          </cell>
          <cell r="BP154">
            <v>3030</v>
          </cell>
          <cell r="BQ154">
            <v>4750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X154">
            <v>0</v>
          </cell>
          <cell r="BY154">
            <v>40</v>
          </cell>
          <cell r="BZ154">
            <v>0</v>
          </cell>
          <cell r="CA154">
            <v>0</v>
          </cell>
        </row>
        <row r="155">
          <cell r="H155" t="str">
            <v>C233681</v>
          </cell>
          <cell r="I155" t="str">
            <v xml:space="preserve">NRC - SB WHITE LIVERY         </v>
          </cell>
          <cell r="J155" t="str">
            <v xml:space="preserve">                              </v>
          </cell>
          <cell r="K155" t="str">
            <v xml:space="preserve">REGIO LEASE </v>
          </cell>
          <cell r="L155" t="str">
            <v>VGA</v>
          </cell>
          <cell r="M155">
            <v>44995</v>
          </cell>
          <cell r="N155">
            <v>45044</v>
          </cell>
          <cell r="O155">
            <v>6200</v>
          </cell>
          <cell r="P155">
            <v>0</v>
          </cell>
          <cell r="Q155">
            <v>4450.5</v>
          </cell>
          <cell r="R155">
            <v>4450.5</v>
          </cell>
          <cell r="S155">
            <v>0.28217741935483875</v>
          </cell>
          <cell r="T155">
            <v>0.59</v>
          </cell>
          <cell r="U155">
            <v>62</v>
          </cell>
          <cell r="V155">
            <v>103.5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6200</v>
          </cell>
          <cell r="AB155">
            <v>4450.5</v>
          </cell>
          <cell r="AC155">
            <v>0</v>
          </cell>
          <cell r="AD155">
            <v>0.28217741935483875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6200</v>
          </cell>
          <cell r="AZ155">
            <v>0</v>
          </cell>
          <cell r="BA155">
            <v>6200</v>
          </cell>
          <cell r="BB155">
            <v>4450.5</v>
          </cell>
          <cell r="BC155">
            <v>0</v>
          </cell>
          <cell r="BD155">
            <v>1</v>
          </cell>
          <cell r="BE155">
            <v>1</v>
          </cell>
          <cell r="BF155">
            <v>0</v>
          </cell>
          <cell r="BG155">
            <v>0</v>
          </cell>
          <cell r="BH155">
            <v>0</v>
          </cell>
          <cell r="BI155">
            <v>100</v>
          </cell>
          <cell r="BJ155">
            <v>1</v>
          </cell>
          <cell r="BK155">
            <v>0</v>
          </cell>
          <cell r="BL155">
            <v>0</v>
          </cell>
          <cell r="BM155">
            <v>0</v>
          </cell>
          <cell r="BN155">
            <v>6200</v>
          </cell>
          <cell r="BO155">
            <v>4450.5</v>
          </cell>
          <cell r="BP155">
            <v>1749.5</v>
          </cell>
          <cell r="BQ155">
            <v>6200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X155">
            <v>0</v>
          </cell>
          <cell r="BY155">
            <v>103.5</v>
          </cell>
          <cell r="BZ155">
            <v>0</v>
          </cell>
          <cell r="CA155">
            <v>0</v>
          </cell>
        </row>
        <row r="156">
          <cell r="H156" t="str">
            <v>C223614</v>
          </cell>
          <cell r="I156" t="str">
            <v xml:space="preserve">SUPPORT CONCEPTION            </v>
          </cell>
          <cell r="J156" t="str">
            <v xml:space="preserve">                              </v>
          </cell>
          <cell r="K156" t="str">
            <v xml:space="preserve">AXYAL </v>
          </cell>
          <cell r="L156" t="str">
            <v>PLAQPO</v>
          </cell>
          <cell r="M156">
            <v>44994</v>
          </cell>
          <cell r="N156">
            <v>45044</v>
          </cell>
          <cell r="O156">
            <v>8924.5</v>
          </cell>
          <cell r="P156">
            <v>0</v>
          </cell>
          <cell r="Q156">
            <v>7746</v>
          </cell>
          <cell r="R156">
            <v>7746</v>
          </cell>
          <cell r="S156">
            <v>0.1320522158104096</v>
          </cell>
          <cell r="T156">
            <v>0.2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7746</v>
          </cell>
          <cell r="AG156">
            <v>7746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1990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1</v>
          </cell>
          <cell r="AY156">
            <v>8924.5</v>
          </cell>
          <cell r="AZ156">
            <v>0</v>
          </cell>
          <cell r="BA156">
            <v>8924.5</v>
          </cell>
          <cell r="BB156">
            <v>7746</v>
          </cell>
          <cell r="BC156">
            <v>0</v>
          </cell>
          <cell r="BD156">
            <v>1</v>
          </cell>
          <cell r="BE156">
            <v>1</v>
          </cell>
          <cell r="BF156">
            <v>0</v>
          </cell>
          <cell r="BG156">
            <v>0</v>
          </cell>
          <cell r="BH156">
            <v>0</v>
          </cell>
          <cell r="BI156">
            <v>100</v>
          </cell>
          <cell r="BJ156">
            <v>1</v>
          </cell>
          <cell r="BK156">
            <v>6934.5</v>
          </cell>
          <cell r="BL156">
            <v>0</v>
          </cell>
          <cell r="BM156">
            <v>0</v>
          </cell>
          <cell r="BN156">
            <v>8924.5</v>
          </cell>
          <cell r="BO156">
            <v>7746</v>
          </cell>
          <cell r="BP156">
            <v>1178.5</v>
          </cell>
          <cell r="BQ156">
            <v>8924.5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7746</v>
          </cell>
        </row>
        <row r="157">
          <cell r="H157" t="str">
            <v>C233685</v>
          </cell>
          <cell r="I157" t="str">
            <v xml:space="preserve">EVOLUTION OF AE21087SB        </v>
          </cell>
          <cell r="J157" t="str">
            <v xml:space="preserve">                              </v>
          </cell>
          <cell r="K157" t="str">
            <v xml:space="preserve">AIR CARAIBES ATLANTIQUE </v>
          </cell>
          <cell r="L157" t="str">
            <v>VGA</v>
          </cell>
          <cell r="M157">
            <v>44999</v>
          </cell>
          <cell r="N157">
            <v>45044</v>
          </cell>
          <cell r="O157">
            <v>1300</v>
          </cell>
          <cell r="P157">
            <v>0</v>
          </cell>
          <cell r="Q157">
            <v>559</v>
          </cell>
          <cell r="R157">
            <v>559</v>
          </cell>
          <cell r="S157">
            <v>0.57000000000000006</v>
          </cell>
          <cell r="T157">
            <v>0.59</v>
          </cell>
          <cell r="U157">
            <v>13</v>
          </cell>
          <cell r="V157">
            <v>13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1300</v>
          </cell>
          <cell r="AB157">
            <v>559</v>
          </cell>
          <cell r="AC157">
            <v>0</v>
          </cell>
          <cell r="AD157">
            <v>0.57000000000000006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1300</v>
          </cell>
          <cell r="AZ157">
            <v>0</v>
          </cell>
          <cell r="BA157">
            <v>1300</v>
          </cell>
          <cell r="BB157">
            <v>559</v>
          </cell>
          <cell r="BC157">
            <v>0</v>
          </cell>
          <cell r="BD157">
            <v>1</v>
          </cell>
          <cell r="BE157">
            <v>1</v>
          </cell>
          <cell r="BF157">
            <v>0</v>
          </cell>
          <cell r="BG157">
            <v>0</v>
          </cell>
          <cell r="BH157">
            <v>0</v>
          </cell>
          <cell r="BI157">
            <v>100</v>
          </cell>
          <cell r="BJ157">
            <v>1</v>
          </cell>
          <cell r="BK157">
            <v>0</v>
          </cell>
          <cell r="BL157">
            <v>0</v>
          </cell>
          <cell r="BM157">
            <v>0</v>
          </cell>
          <cell r="BN157">
            <v>1300</v>
          </cell>
          <cell r="BO157">
            <v>559</v>
          </cell>
          <cell r="BP157">
            <v>741</v>
          </cell>
          <cell r="BQ157">
            <v>1300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X157">
            <v>0</v>
          </cell>
          <cell r="BY157">
            <v>13</v>
          </cell>
          <cell r="BZ157">
            <v>0</v>
          </cell>
          <cell r="CA157">
            <v>0</v>
          </cell>
        </row>
        <row r="158">
          <cell r="H158" t="str">
            <v>C233619</v>
          </cell>
          <cell r="I158" t="str">
            <v xml:space="preserve">NTF CHANGE ON LEGACY 600      </v>
          </cell>
          <cell r="J158" t="str">
            <v xml:space="preserve">                              </v>
          </cell>
          <cell r="K158" t="str">
            <v xml:space="preserve">CABIN CONCEPT </v>
          </cell>
          <cell r="L158" t="str">
            <v>VGA</v>
          </cell>
          <cell r="M158">
            <v>45000</v>
          </cell>
          <cell r="N158">
            <v>45044</v>
          </cell>
          <cell r="O158">
            <v>2100</v>
          </cell>
          <cell r="P158">
            <v>0</v>
          </cell>
          <cell r="Q158">
            <v>860</v>
          </cell>
          <cell r="R158">
            <v>860</v>
          </cell>
          <cell r="S158">
            <v>0.59047619047619049</v>
          </cell>
          <cell r="T158">
            <v>0.59</v>
          </cell>
          <cell r="U158">
            <v>21</v>
          </cell>
          <cell r="V158">
            <v>20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2100</v>
          </cell>
          <cell r="AB158">
            <v>860</v>
          </cell>
          <cell r="AC158">
            <v>0</v>
          </cell>
          <cell r="AD158">
            <v>0.59047619047619049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2100</v>
          </cell>
          <cell r="AZ158">
            <v>0</v>
          </cell>
          <cell r="BA158">
            <v>2100</v>
          </cell>
          <cell r="BB158">
            <v>860</v>
          </cell>
          <cell r="BC158">
            <v>0</v>
          </cell>
          <cell r="BD158">
            <v>1</v>
          </cell>
          <cell r="BE158">
            <v>1</v>
          </cell>
          <cell r="BF158">
            <v>0</v>
          </cell>
          <cell r="BG158">
            <v>0</v>
          </cell>
          <cell r="BH158">
            <v>0</v>
          </cell>
          <cell r="BI158">
            <v>100</v>
          </cell>
          <cell r="BJ158">
            <v>1</v>
          </cell>
          <cell r="BK158">
            <v>0</v>
          </cell>
          <cell r="BL158">
            <v>0</v>
          </cell>
          <cell r="BM158">
            <v>0</v>
          </cell>
          <cell r="BN158">
            <v>2100</v>
          </cell>
          <cell r="BO158">
            <v>860</v>
          </cell>
          <cell r="BP158">
            <v>1240</v>
          </cell>
          <cell r="BQ158">
            <v>2100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X158">
            <v>0</v>
          </cell>
          <cell r="BY158">
            <v>20</v>
          </cell>
          <cell r="BZ158">
            <v>0</v>
          </cell>
          <cell r="CA158">
            <v>0</v>
          </cell>
        </row>
        <row r="159">
          <cell r="H159" t="str">
            <v>C233669</v>
          </cell>
          <cell r="I159" t="str">
            <v xml:space="preserve">NRC - SB ON CIRRUS SF50       </v>
          </cell>
          <cell r="J159" t="str">
            <v xml:space="preserve">                              </v>
          </cell>
          <cell r="K159" t="str">
            <v xml:space="preserve">JG AVIATION </v>
          </cell>
          <cell r="L159" t="str">
            <v>VGA</v>
          </cell>
          <cell r="M159">
            <v>45001</v>
          </cell>
          <cell r="N159">
            <v>45107</v>
          </cell>
          <cell r="O159">
            <v>13865</v>
          </cell>
          <cell r="P159">
            <v>0</v>
          </cell>
          <cell r="Q159">
            <v>5611.5</v>
          </cell>
          <cell r="R159">
            <v>5611.5</v>
          </cell>
          <cell r="S159">
            <v>0.5952758745041471</v>
          </cell>
          <cell r="T159">
            <v>0.59</v>
          </cell>
          <cell r="U159">
            <v>138</v>
          </cell>
          <cell r="V159">
            <v>130.5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13865</v>
          </cell>
          <cell r="AB159">
            <v>5611.5</v>
          </cell>
          <cell r="AC159">
            <v>0</v>
          </cell>
          <cell r="AD159">
            <v>0.5952758745041471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13865</v>
          </cell>
          <cell r="AZ159">
            <v>0</v>
          </cell>
          <cell r="BA159">
            <v>13865</v>
          </cell>
          <cell r="BB159">
            <v>5611.5</v>
          </cell>
          <cell r="BC159">
            <v>0</v>
          </cell>
          <cell r="BD159">
            <v>1</v>
          </cell>
          <cell r="BE159">
            <v>1</v>
          </cell>
          <cell r="BF159">
            <v>0</v>
          </cell>
          <cell r="BG159">
            <v>0</v>
          </cell>
          <cell r="BH159">
            <v>0</v>
          </cell>
          <cell r="BI159">
            <v>100</v>
          </cell>
          <cell r="BJ159">
            <v>1</v>
          </cell>
          <cell r="BK159">
            <v>0</v>
          </cell>
          <cell r="BL159">
            <v>0</v>
          </cell>
          <cell r="BM159">
            <v>0</v>
          </cell>
          <cell r="BN159">
            <v>13865</v>
          </cell>
          <cell r="BO159">
            <v>5611.5</v>
          </cell>
          <cell r="BP159">
            <v>8253.5</v>
          </cell>
          <cell r="BQ159">
            <v>13865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X159">
            <v>0</v>
          </cell>
          <cell r="BY159">
            <v>130.5</v>
          </cell>
          <cell r="BZ159">
            <v>0</v>
          </cell>
          <cell r="CA159">
            <v>0</v>
          </cell>
        </row>
        <row r="160">
          <cell r="H160" t="str">
            <v>C233678</v>
          </cell>
          <cell r="I160" t="str">
            <v xml:space="preserve">PROVISION BAMBI BUCKET        </v>
          </cell>
          <cell r="J160" t="str">
            <v xml:space="preserve">21170                         </v>
          </cell>
          <cell r="K160" t="str">
            <v>AIRTELIS</v>
          </cell>
          <cell r="L160" t="str">
            <v>LJA</v>
          </cell>
          <cell r="M160">
            <v>45020</v>
          </cell>
          <cell r="N160">
            <v>45044</v>
          </cell>
          <cell r="O160">
            <v>8904.7999999999993</v>
          </cell>
          <cell r="P160">
            <v>0</v>
          </cell>
          <cell r="Q160">
            <v>4968.1000000000004</v>
          </cell>
          <cell r="R160">
            <v>4968.1000000000004</v>
          </cell>
          <cell r="S160">
            <v>0.44208741352978165</v>
          </cell>
          <cell r="T160">
            <v>0.38136173748989305</v>
          </cell>
          <cell r="U160">
            <v>46.5</v>
          </cell>
          <cell r="V160">
            <v>31.5</v>
          </cell>
          <cell r="W160">
            <v>12</v>
          </cell>
          <cell r="X160">
            <v>0</v>
          </cell>
          <cell r="Y160">
            <v>0</v>
          </cell>
          <cell r="Z160">
            <v>0</v>
          </cell>
          <cell r="AA160">
            <v>4140.9999999999991</v>
          </cell>
          <cell r="AB160">
            <v>1978.5</v>
          </cell>
          <cell r="AC160">
            <v>0</v>
          </cell>
          <cell r="AD160">
            <v>0.52221685583192456</v>
          </cell>
          <cell r="AE160">
            <v>4763.8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2989.6</v>
          </cell>
          <cell r="AN160">
            <v>2989.6</v>
          </cell>
          <cell r="AO160">
            <v>0</v>
          </cell>
          <cell r="AP160">
            <v>0</v>
          </cell>
          <cell r="AQ160">
            <v>0</v>
          </cell>
          <cell r="AR160">
            <v>0.37243377135899913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8904.7999999999993</v>
          </cell>
          <cell r="AZ160">
            <v>0</v>
          </cell>
          <cell r="BA160">
            <v>8904.7999999999993</v>
          </cell>
          <cell r="BB160">
            <v>4968.1000000000004</v>
          </cell>
          <cell r="BC160">
            <v>0</v>
          </cell>
          <cell r="BD160">
            <v>1</v>
          </cell>
          <cell r="BE160">
            <v>1</v>
          </cell>
          <cell r="BF160">
            <v>0</v>
          </cell>
          <cell r="BG160">
            <v>0</v>
          </cell>
          <cell r="BH160">
            <v>0</v>
          </cell>
          <cell r="BI160">
            <v>100</v>
          </cell>
          <cell r="BJ160">
            <v>1</v>
          </cell>
          <cell r="BK160">
            <v>0</v>
          </cell>
          <cell r="BL160">
            <v>0</v>
          </cell>
          <cell r="BM160">
            <v>0</v>
          </cell>
          <cell r="BN160">
            <v>8904.7999999999993</v>
          </cell>
          <cell r="BO160">
            <v>4968.1000000000004</v>
          </cell>
          <cell r="BP160">
            <v>3936.6999999999989</v>
          </cell>
          <cell r="BQ160">
            <v>8904.7999999999993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X160">
            <v>0</v>
          </cell>
          <cell r="BY160">
            <v>31.5</v>
          </cell>
          <cell r="BZ160">
            <v>12</v>
          </cell>
          <cell r="CA160">
            <v>0</v>
          </cell>
        </row>
        <row r="161">
          <cell r="H161" t="str">
            <v>C233693</v>
          </cell>
          <cell r="I161" t="str">
            <v xml:space="preserve">AJOUT D'APPLICABILITÉ         </v>
          </cell>
          <cell r="J161" t="str">
            <v xml:space="preserve">20077                         </v>
          </cell>
          <cell r="K161" t="str">
            <v xml:space="preserve">HELILAGON </v>
          </cell>
          <cell r="L161" t="str">
            <v>LJA</v>
          </cell>
          <cell r="M161">
            <v>45007</v>
          </cell>
          <cell r="N161">
            <v>45030</v>
          </cell>
          <cell r="O161">
            <v>750</v>
          </cell>
          <cell r="P161">
            <v>0</v>
          </cell>
          <cell r="Q161">
            <v>258</v>
          </cell>
          <cell r="R161">
            <v>258</v>
          </cell>
          <cell r="S161">
            <v>0.65600000000000003</v>
          </cell>
          <cell r="T161">
            <v>0.59</v>
          </cell>
          <cell r="U161">
            <v>7.5</v>
          </cell>
          <cell r="V161">
            <v>6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750</v>
          </cell>
          <cell r="AB161">
            <v>258</v>
          </cell>
          <cell r="AC161">
            <v>0</v>
          </cell>
          <cell r="AD161">
            <v>0.65600000000000003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750</v>
          </cell>
          <cell r="AZ161">
            <v>0</v>
          </cell>
          <cell r="BA161">
            <v>750</v>
          </cell>
          <cell r="BB161">
            <v>258</v>
          </cell>
          <cell r="BC161">
            <v>0</v>
          </cell>
          <cell r="BD161">
            <v>1</v>
          </cell>
          <cell r="BE161">
            <v>1</v>
          </cell>
          <cell r="BF161">
            <v>0</v>
          </cell>
          <cell r="BG161">
            <v>0</v>
          </cell>
          <cell r="BH161">
            <v>0</v>
          </cell>
          <cell r="BI161">
            <v>100</v>
          </cell>
          <cell r="BJ161">
            <v>1</v>
          </cell>
          <cell r="BK161">
            <v>0</v>
          </cell>
          <cell r="BL161">
            <v>0</v>
          </cell>
          <cell r="BM161">
            <v>0</v>
          </cell>
          <cell r="BN161">
            <v>750</v>
          </cell>
          <cell r="BO161">
            <v>258</v>
          </cell>
          <cell r="BP161">
            <v>492</v>
          </cell>
          <cell r="BQ161">
            <v>750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X161">
            <v>0</v>
          </cell>
          <cell r="BY161">
            <v>6</v>
          </cell>
          <cell r="BZ161">
            <v>0</v>
          </cell>
          <cell r="CA161">
            <v>0</v>
          </cell>
        </row>
        <row r="162">
          <cell r="H162" t="str">
            <v>C233694</v>
          </cell>
          <cell r="I162" t="str">
            <v xml:space="preserve">MODIFICATION DOSSIER          </v>
          </cell>
          <cell r="J162" t="str">
            <v xml:space="preserve">21124                         </v>
          </cell>
          <cell r="K162" t="str">
            <v xml:space="preserve">HELILAGON </v>
          </cell>
          <cell r="L162" t="str">
            <v>LJA</v>
          </cell>
          <cell r="M162">
            <v>45007</v>
          </cell>
          <cell r="N162">
            <v>45030</v>
          </cell>
          <cell r="O162">
            <v>1350</v>
          </cell>
          <cell r="P162">
            <v>0</v>
          </cell>
          <cell r="Q162">
            <v>688</v>
          </cell>
          <cell r="R162">
            <v>688</v>
          </cell>
          <cell r="S162">
            <v>0.49037037037037035</v>
          </cell>
          <cell r="T162">
            <v>0.59</v>
          </cell>
          <cell r="U162">
            <v>14</v>
          </cell>
          <cell r="V162">
            <v>16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1350</v>
          </cell>
          <cell r="AB162">
            <v>688</v>
          </cell>
          <cell r="AC162">
            <v>0</v>
          </cell>
          <cell r="AD162">
            <v>0.49037037037037035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1350</v>
          </cell>
          <cell r="AZ162">
            <v>0</v>
          </cell>
          <cell r="BA162">
            <v>1350</v>
          </cell>
          <cell r="BB162">
            <v>688</v>
          </cell>
          <cell r="BC162">
            <v>0</v>
          </cell>
          <cell r="BD162">
            <v>1</v>
          </cell>
          <cell r="BE162">
            <v>1</v>
          </cell>
          <cell r="BF162">
            <v>0</v>
          </cell>
          <cell r="BG162">
            <v>0</v>
          </cell>
          <cell r="BH162">
            <v>0</v>
          </cell>
          <cell r="BI162">
            <v>100</v>
          </cell>
          <cell r="BJ162">
            <v>1</v>
          </cell>
          <cell r="BK162">
            <v>0</v>
          </cell>
          <cell r="BL162">
            <v>0</v>
          </cell>
          <cell r="BM162">
            <v>0</v>
          </cell>
          <cell r="BN162">
            <v>1350</v>
          </cell>
          <cell r="BO162">
            <v>688</v>
          </cell>
          <cell r="BP162">
            <v>662</v>
          </cell>
          <cell r="BQ162">
            <v>1350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X162">
            <v>0</v>
          </cell>
          <cell r="BY162">
            <v>16</v>
          </cell>
          <cell r="BZ162">
            <v>0</v>
          </cell>
          <cell r="CA162">
            <v>0</v>
          </cell>
        </row>
        <row r="163">
          <cell r="H163" t="str">
            <v>C223566</v>
          </cell>
          <cell r="I163" t="str">
            <v xml:space="preserve">MOD AE20060 EFFECTIVITY       </v>
          </cell>
          <cell r="J163" t="str">
            <v xml:space="preserve">20060                         </v>
          </cell>
          <cell r="K163" t="str">
            <v xml:space="preserve">DASSAULT AVIATION BUSINESS SERVICES </v>
          </cell>
          <cell r="L163" t="str">
            <v>VGA</v>
          </cell>
          <cell r="M163">
            <v>45008</v>
          </cell>
          <cell r="N163">
            <v>45016</v>
          </cell>
          <cell r="O163">
            <v>800</v>
          </cell>
          <cell r="P163">
            <v>0</v>
          </cell>
          <cell r="Q163">
            <v>344</v>
          </cell>
          <cell r="R163">
            <v>344</v>
          </cell>
          <cell r="S163">
            <v>0.57000000000000006</v>
          </cell>
          <cell r="T163">
            <v>0.59</v>
          </cell>
          <cell r="U163">
            <v>8</v>
          </cell>
          <cell r="V163">
            <v>8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800</v>
          </cell>
          <cell r="AB163">
            <v>344</v>
          </cell>
          <cell r="AC163">
            <v>0</v>
          </cell>
          <cell r="AD163">
            <v>0.57000000000000006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800</v>
          </cell>
          <cell r="AZ163">
            <v>0</v>
          </cell>
          <cell r="BA163">
            <v>800</v>
          </cell>
          <cell r="BB163">
            <v>344</v>
          </cell>
          <cell r="BC163">
            <v>0</v>
          </cell>
          <cell r="BD163">
            <v>1</v>
          </cell>
          <cell r="BE163">
            <v>1</v>
          </cell>
          <cell r="BF163">
            <v>0</v>
          </cell>
          <cell r="BG163">
            <v>0</v>
          </cell>
          <cell r="BH163">
            <v>0</v>
          </cell>
          <cell r="BI163">
            <v>100</v>
          </cell>
          <cell r="BJ163">
            <v>1</v>
          </cell>
          <cell r="BK163">
            <v>0</v>
          </cell>
          <cell r="BL163">
            <v>0</v>
          </cell>
          <cell r="BM163">
            <v>0</v>
          </cell>
          <cell r="BN163">
            <v>800</v>
          </cell>
          <cell r="BO163">
            <v>344</v>
          </cell>
          <cell r="BP163">
            <v>456</v>
          </cell>
          <cell r="BQ163">
            <v>800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X163">
            <v>0</v>
          </cell>
          <cell r="BY163">
            <v>8</v>
          </cell>
          <cell r="BZ163">
            <v>0</v>
          </cell>
          <cell r="CA163">
            <v>0</v>
          </cell>
        </row>
        <row r="164">
          <cell r="H164" t="str">
            <v>C233702</v>
          </cell>
          <cell r="I164" t="str">
            <v xml:space="preserve">C223472                       </v>
          </cell>
          <cell r="J164" t="str">
            <v xml:space="preserve">                              </v>
          </cell>
          <cell r="K164" t="str">
            <v xml:space="preserve">BABCOCK INTERNATIONAL FRANCE AVIATION </v>
          </cell>
          <cell r="L164" t="str">
            <v>PMI</v>
          </cell>
          <cell r="M164">
            <v>45014</v>
          </cell>
          <cell r="N164">
            <v>45051</v>
          </cell>
          <cell r="O164">
            <v>1300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>
            <v>0.2</v>
          </cell>
          <cell r="U164">
            <v>10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1300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185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1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1300</v>
          </cell>
          <cell r="AZ164">
            <v>0</v>
          </cell>
          <cell r="BA164">
            <v>1300</v>
          </cell>
          <cell r="BB164">
            <v>0</v>
          </cell>
          <cell r="BC164">
            <v>0</v>
          </cell>
          <cell r="BD164">
            <v>1</v>
          </cell>
          <cell r="BE164">
            <v>1</v>
          </cell>
          <cell r="BF164">
            <v>0</v>
          </cell>
          <cell r="BG164">
            <v>0</v>
          </cell>
          <cell r="BH164">
            <v>0</v>
          </cell>
          <cell r="BI164">
            <v>100</v>
          </cell>
          <cell r="BJ164">
            <v>1</v>
          </cell>
          <cell r="BK164">
            <v>0</v>
          </cell>
          <cell r="BL164">
            <v>-185</v>
          </cell>
          <cell r="BM164">
            <v>1</v>
          </cell>
          <cell r="BN164">
            <v>1300</v>
          </cell>
          <cell r="BO164">
            <v>0</v>
          </cell>
          <cell r="BP164">
            <v>1300</v>
          </cell>
          <cell r="BQ164">
            <v>1300</v>
          </cell>
          <cell r="BR164">
            <v>1300</v>
          </cell>
          <cell r="BS164">
            <v>0</v>
          </cell>
          <cell r="BT164">
            <v>1300</v>
          </cell>
          <cell r="BU164">
            <v>0</v>
          </cell>
          <cell r="BV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</row>
        <row r="165">
          <cell r="H165" t="str">
            <v>C233692</v>
          </cell>
          <cell r="I165" t="str">
            <v>AJOUT D'APPLICABILITE AS350 B3</v>
          </cell>
          <cell r="J165" t="str">
            <v xml:space="preserve">22062                         </v>
          </cell>
          <cell r="K165" t="str">
            <v>ROTOR TEAM</v>
          </cell>
          <cell r="L165" t="str">
            <v>LJA</v>
          </cell>
          <cell r="M165">
            <v>45013</v>
          </cell>
          <cell r="N165">
            <v>45044</v>
          </cell>
          <cell r="O165">
            <v>2700</v>
          </cell>
          <cell r="P165">
            <v>0</v>
          </cell>
          <cell r="Q165">
            <v>1333</v>
          </cell>
          <cell r="R165">
            <v>1333</v>
          </cell>
          <cell r="S165">
            <v>0.50629629629629624</v>
          </cell>
          <cell r="T165">
            <v>0.59</v>
          </cell>
          <cell r="U165">
            <v>27.5</v>
          </cell>
          <cell r="V165">
            <v>31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2700</v>
          </cell>
          <cell r="AB165">
            <v>1333</v>
          </cell>
          <cell r="AC165">
            <v>0</v>
          </cell>
          <cell r="AD165">
            <v>0.50629629629629624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2700</v>
          </cell>
          <cell r="AZ165">
            <v>0</v>
          </cell>
          <cell r="BA165">
            <v>2700</v>
          </cell>
          <cell r="BB165">
            <v>1333</v>
          </cell>
          <cell r="BC165">
            <v>0</v>
          </cell>
          <cell r="BD165">
            <v>1</v>
          </cell>
          <cell r="BE165">
            <v>1</v>
          </cell>
          <cell r="BF165">
            <v>0</v>
          </cell>
          <cell r="BG165">
            <v>0</v>
          </cell>
          <cell r="BH165">
            <v>0</v>
          </cell>
          <cell r="BI165">
            <v>100</v>
          </cell>
          <cell r="BJ165">
            <v>1</v>
          </cell>
          <cell r="BK165">
            <v>0</v>
          </cell>
          <cell r="BL165">
            <v>0</v>
          </cell>
          <cell r="BM165">
            <v>0</v>
          </cell>
          <cell r="BN165">
            <v>2700</v>
          </cell>
          <cell r="BO165">
            <v>1333</v>
          </cell>
          <cell r="BP165">
            <v>1367</v>
          </cell>
          <cell r="BQ165">
            <v>2700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X165">
            <v>0</v>
          </cell>
          <cell r="BY165">
            <v>31</v>
          </cell>
          <cell r="BZ165">
            <v>0</v>
          </cell>
          <cell r="CA165">
            <v>0</v>
          </cell>
        </row>
        <row r="166">
          <cell r="H166" t="str">
            <v>C212894</v>
          </cell>
          <cell r="I166" t="str">
            <v xml:space="preserve">B737 Windshield Certification </v>
          </cell>
          <cell r="J166" t="str">
            <v xml:space="preserve">21108                         </v>
          </cell>
          <cell r="K166" t="str">
            <v>SAINT GOBAIN SULLY</v>
          </cell>
          <cell r="L166" t="str">
            <v>PDA</v>
          </cell>
          <cell r="M166">
            <v>44256</v>
          </cell>
          <cell r="N166">
            <v>44592</v>
          </cell>
          <cell r="O166">
            <v>53680.25</v>
          </cell>
          <cell r="P166">
            <v>0</v>
          </cell>
          <cell r="Q166">
            <v>67028.25</v>
          </cell>
          <cell r="R166">
            <v>67028.25</v>
          </cell>
          <cell r="S166">
            <v>-0.24865756027589292</v>
          </cell>
          <cell r="T166">
            <v>0.45196040443179752</v>
          </cell>
          <cell r="U166">
            <v>368</v>
          </cell>
          <cell r="V166">
            <v>635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34680.25</v>
          </cell>
          <cell r="AB166">
            <v>24765</v>
          </cell>
          <cell r="AC166">
            <v>0</v>
          </cell>
          <cell r="AD166">
            <v>0.28590480172432431</v>
          </cell>
          <cell r="AE166">
            <v>19000</v>
          </cell>
          <cell r="AF166">
            <v>41047.58</v>
          </cell>
          <cell r="AG166">
            <v>41047.58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-1.1603989473684213</v>
          </cell>
          <cell r="AS166">
            <v>0</v>
          </cell>
          <cell r="AT166">
            <v>1215.67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53680.25</v>
          </cell>
          <cell r="AZ166">
            <v>53680.25</v>
          </cell>
          <cell r="BA166">
            <v>0</v>
          </cell>
          <cell r="BB166">
            <v>67028.25</v>
          </cell>
          <cell r="BC166">
            <v>0</v>
          </cell>
          <cell r="BD166">
            <v>1</v>
          </cell>
          <cell r="BE166">
            <v>1</v>
          </cell>
          <cell r="BF166">
            <v>0</v>
          </cell>
          <cell r="BG166">
            <v>0</v>
          </cell>
          <cell r="BH166">
            <v>0</v>
          </cell>
          <cell r="BI166">
            <v>100</v>
          </cell>
          <cell r="BJ166">
            <v>1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14444.36</v>
          </cell>
          <cell r="BP166">
            <v>-14444.36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14444.36</v>
          </cell>
        </row>
        <row r="167">
          <cell r="H167" t="str">
            <v>C233710</v>
          </cell>
          <cell r="I167" t="str">
            <v>CAA LIVERY ON A330-300 MSN 805</v>
          </cell>
          <cell r="J167" t="str">
            <v xml:space="preserve">                              </v>
          </cell>
          <cell r="K167" t="str">
            <v xml:space="preserve">CAA </v>
          </cell>
          <cell r="L167" t="str">
            <v>VGA</v>
          </cell>
          <cell r="M167">
            <v>45016</v>
          </cell>
          <cell r="N167">
            <v>45044</v>
          </cell>
          <cell r="O167">
            <v>8000</v>
          </cell>
          <cell r="P167">
            <v>0</v>
          </cell>
          <cell r="Q167">
            <v>4142.45</v>
          </cell>
          <cell r="R167">
            <v>4142.45</v>
          </cell>
          <cell r="S167">
            <v>0.48219374999999998</v>
          </cell>
          <cell r="T167">
            <v>0.59</v>
          </cell>
          <cell r="U167">
            <v>79</v>
          </cell>
          <cell r="V167">
            <v>95.5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8000</v>
          </cell>
          <cell r="AB167">
            <v>4106.5</v>
          </cell>
          <cell r="AC167">
            <v>0</v>
          </cell>
          <cell r="AD167">
            <v>0.48668750000000005</v>
          </cell>
          <cell r="AE167">
            <v>0</v>
          </cell>
          <cell r="AF167">
            <v>35.950000000000003</v>
          </cell>
          <cell r="AG167">
            <v>35.950000000000003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8000</v>
          </cell>
          <cell r="AZ167">
            <v>0</v>
          </cell>
          <cell r="BA167">
            <v>8000</v>
          </cell>
          <cell r="BB167">
            <v>4142.45</v>
          </cell>
          <cell r="BC167">
            <v>0</v>
          </cell>
          <cell r="BD167">
            <v>1</v>
          </cell>
          <cell r="BE167">
            <v>1</v>
          </cell>
          <cell r="BF167">
            <v>0</v>
          </cell>
          <cell r="BG167">
            <v>0</v>
          </cell>
          <cell r="BH167">
            <v>0</v>
          </cell>
          <cell r="BI167">
            <v>105</v>
          </cell>
          <cell r="BJ167">
            <v>1</v>
          </cell>
          <cell r="BK167">
            <v>0</v>
          </cell>
          <cell r="BL167">
            <v>0</v>
          </cell>
          <cell r="BM167">
            <v>0</v>
          </cell>
          <cell r="BN167">
            <v>8000</v>
          </cell>
          <cell r="BO167">
            <v>4142.45</v>
          </cell>
          <cell r="BP167">
            <v>3857.55</v>
          </cell>
          <cell r="BQ167">
            <v>8000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X167">
            <v>0</v>
          </cell>
          <cell r="BY167">
            <v>95.5</v>
          </cell>
          <cell r="BZ167">
            <v>0</v>
          </cell>
          <cell r="CA167">
            <v>35.950000000000003</v>
          </cell>
        </row>
        <row r="168">
          <cell r="H168" t="str">
            <v>C233690</v>
          </cell>
          <cell r="I168" t="str">
            <v>Permit to fly</v>
          </cell>
          <cell r="J168" t="str">
            <v xml:space="preserve">                              </v>
          </cell>
          <cell r="K168" t="str">
            <v xml:space="preserve">BABCOCK INTERNATIONAL FRANCE AVIATION </v>
          </cell>
          <cell r="L168" t="str">
            <v>LUD</v>
          </cell>
          <cell r="M168">
            <v>45016</v>
          </cell>
          <cell r="N168">
            <v>45077</v>
          </cell>
          <cell r="O168">
            <v>18500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0.59</v>
          </cell>
          <cell r="U168">
            <v>135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18500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18500</v>
          </cell>
          <cell r="AZ168">
            <v>0</v>
          </cell>
          <cell r="BA168">
            <v>18500</v>
          </cell>
          <cell r="BB168">
            <v>0</v>
          </cell>
          <cell r="BC168">
            <v>0</v>
          </cell>
          <cell r="BD168">
            <v>1</v>
          </cell>
          <cell r="BE168">
            <v>1</v>
          </cell>
          <cell r="BF168">
            <v>0</v>
          </cell>
          <cell r="BG168">
            <v>0</v>
          </cell>
          <cell r="BH168">
            <v>0</v>
          </cell>
          <cell r="BI168">
            <v>105</v>
          </cell>
          <cell r="BJ168">
            <v>1</v>
          </cell>
          <cell r="BK168">
            <v>0</v>
          </cell>
          <cell r="BL168">
            <v>0</v>
          </cell>
          <cell r="BM168">
            <v>0</v>
          </cell>
          <cell r="BN168">
            <v>18500</v>
          </cell>
          <cell r="BO168">
            <v>0</v>
          </cell>
          <cell r="BP168">
            <v>18500</v>
          </cell>
          <cell r="BQ168">
            <v>18500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</row>
        <row r="169">
          <cell r="H169" t="str">
            <v>C233701</v>
          </cell>
          <cell r="I169" t="str">
            <v xml:space="preserve">C212809                       </v>
          </cell>
          <cell r="J169" t="str">
            <v xml:space="preserve">                              </v>
          </cell>
          <cell r="K169" t="str">
            <v xml:space="preserve">BABCOCK INTERNATIONAL FRANCE AVIATION </v>
          </cell>
          <cell r="L169" t="str">
            <v>LUD</v>
          </cell>
          <cell r="M169">
            <v>45019</v>
          </cell>
          <cell r="N169">
            <v>45078</v>
          </cell>
          <cell r="O169">
            <v>3450</v>
          </cell>
          <cell r="P169">
            <v>0</v>
          </cell>
          <cell r="Q169">
            <v>179.4</v>
          </cell>
          <cell r="R169">
            <v>179.4</v>
          </cell>
          <cell r="S169">
            <v>0.94799999999999995</v>
          </cell>
          <cell r="T169">
            <v>0.22826086956521741</v>
          </cell>
          <cell r="U169">
            <v>43.5</v>
          </cell>
          <cell r="V169">
            <v>3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250</v>
          </cell>
          <cell r="AB169">
            <v>129</v>
          </cell>
          <cell r="AC169">
            <v>0</v>
          </cell>
          <cell r="AD169">
            <v>0.48399999999999999</v>
          </cell>
          <cell r="AE169">
            <v>3200</v>
          </cell>
          <cell r="AF169">
            <v>50.400000000000006</v>
          </cell>
          <cell r="AG169">
            <v>50.400000000000006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0.98424999999999996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3450</v>
          </cell>
          <cell r="AZ169">
            <v>0</v>
          </cell>
          <cell r="BA169">
            <v>3450</v>
          </cell>
          <cell r="BB169">
            <v>179.4</v>
          </cell>
          <cell r="BC169">
            <v>0</v>
          </cell>
          <cell r="BD169">
            <v>1</v>
          </cell>
          <cell r="BE169">
            <v>1</v>
          </cell>
          <cell r="BF169">
            <v>0</v>
          </cell>
          <cell r="BG169">
            <v>0</v>
          </cell>
          <cell r="BH169">
            <v>0</v>
          </cell>
          <cell r="BI169">
            <v>105</v>
          </cell>
          <cell r="BJ169">
            <v>1</v>
          </cell>
          <cell r="BK169">
            <v>0</v>
          </cell>
          <cell r="BL169">
            <v>0</v>
          </cell>
          <cell r="BM169">
            <v>0</v>
          </cell>
          <cell r="BN169">
            <v>3450</v>
          </cell>
          <cell r="BO169">
            <v>179.4</v>
          </cell>
          <cell r="BP169">
            <v>3270.6</v>
          </cell>
          <cell r="BQ169">
            <v>3450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X169">
            <v>0</v>
          </cell>
          <cell r="BY169">
            <v>3</v>
          </cell>
          <cell r="BZ169">
            <v>0</v>
          </cell>
          <cell r="CA169">
            <v>50.400000000000006</v>
          </cell>
        </row>
        <row r="170">
          <cell r="H170" t="str">
            <v>C233718</v>
          </cell>
          <cell r="I170" t="str">
            <v>A320 MSN3743 SEATS REPLACEMENT</v>
          </cell>
          <cell r="J170" t="str">
            <v xml:space="preserve">                              </v>
          </cell>
          <cell r="K170" t="str">
            <v>AERO CABIN SOLUTIONS</v>
          </cell>
          <cell r="L170" t="str">
            <v>FDE</v>
          </cell>
          <cell r="M170">
            <v>45021</v>
          </cell>
          <cell r="N170">
            <v>45077</v>
          </cell>
          <cell r="O170">
            <v>12500</v>
          </cell>
          <cell r="P170">
            <v>0</v>
          </cell>
          <cell r="Q170">
            <v>7166</v>
          </cell>
          <cell r="R170">
            <v>7166</v>
          </cell>
          <cell r="S170">
            <v>0.42671999999999999</v>
          </cell>
          <cell r="T170">
            <v>0.59</v>
          </cell>
          <cell r="U170">
            <v>69</v>
          </cell>
          <cell r="V170">
            <v>62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12500</v>
          </cell>
          <cell r="AB170">
            <v>2666</v>
          </cell>
          <cell r="AC170">
            <v>0</v>
          </cell>
          <cell r="AD170">
            <v>0.78671999999999997</v>
          </cell>
          <cell r="AE170">
            <v>0</v>
          </cell>
          <cell r="AF170">
            <v>4500</v>
          </cell>
          <cell r="AG170">
            <v>4500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12500</v>
          </cell>
          <cell r="AZ170">
            <v>0</v>
          </cell>
          <cell r="BA170">
            <v>12500</v>
          </cell>
          <cell r="BB170">
            <v>7166</v>
          </cell>
          <cell r="BC170">
            <v>0</v>
          </cell>
          <cell r="BD170">
            <v>1</v>
          </cell>
          <cell r="BE170">
            <v>1</v>
          </cell>
          <cell r="BF170">
            <v>0</v>
          </cell>
          <cell r="BG170">
            <v>0</v>
          </cell>
          <cell r="BH170">
            <v>0</v>
          </cell>
          <cell r="BI170">
            <v>105</v>
          </cell>
          <cell r="BJ170">
            <v>1</v>
          </cell>
          <cell r="BK170">
            <v>0</v>
          </cell>
          <cell r="BL170">
            <v>0</v>
          </cell>
          <cell r="BM170">
            <v>0</v>
          </cell>
          <cell r="BN170">
            <v>12500</v>
          </cell>
          <cell r="BO170">
            <v>7166</v>
          </cell>
          <cell r="BP170">
            <v>5334</v>
          </cell>
          <cell r="BQ170">
            <v>12500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X170">
            <v>0</v>
          </cell>
          <cell r="BY170">
            <v>62</v>
          </cell>
          <cell r="BZ170">
            <v>0</v>
          </cell>
          <cell r="CA170">
            <v>4500</v>
          </cell>
        </row>
        <row r="171">
          <cell r="H171" t="str">
            <v>C233714</v>
          </cell>
          <cell r="I171" t="str">
            <v>DOSSIER MODIFICATION PARK LIGH</v>
          </cell>
          <cell r="J171">
            <v>23036</v>
          </cell>
          <cell r="K171" t="str">
            <v>HBG FRANCE</v>
          </cell>
          <cell r="L171" t="str">
            <v>LJA</v>
          </cell>
          <cell r="M171">
            <v>45027</v>
          </cell>
          <cell r="N171">
            <v>45142</v>
          </cell>
          <cell r="O171">
            <v>2880</v>
          </cell>
          <cell r="P171">
            <v>0</v>
          </cell>
          <cell r="Q171">
            <v>1290</v>
          </cell>
          <cell r="R171">
            <v>1290</v>
          </cell>
          <cell r="S171">
            <v>0.55208333333333326</v>
          </cell>
          <cell r="T171">
            <v>0.59</v>
          </cell>
          <cell r="U171">
            <v>30</v>
          </cell>
          <cell r="V171">
            <v>30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2880</v>
          </cell>
          <cell r="AB171">
            <v>1290</v>
          </cell>
          <cell r="AC171">
            <v>0</v>
          </cell>
          <cell r="AD171">
            <v>0.55208333333333326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2880</v>
          </cell>
          <cell r="AZ171">
            <v>0</v>
          </cell>
          <cell r="BA171">
            <v>2880</v>
          </cell>
          <cell r="BB171">
            <v>1290</v>
          </cell>
          <cell r="BC171">
            <v>0</v>
          </cell>
          <cell r="BD171">
            <v>1</v>
          </cell>
          <cell r="BE171">
            <v>1</v>
          </cell>
          <cell r="BF171">
            <v>0</v>
          </cell>
          <cell r="BG171">
            <v>0</v>
          </cell>
          <cell r="BH171">
            <v>0</v>
          </cell>
          <cell r="BI171">
            <v>105</v>
          </cell>
          <cell r="BJ171">
            <v>1</v>
          </cell>
          <cell r="BK171">
            <v>0</v>
          </cell>
          <cell r="BL171">
            <v>0</v>
          </cell>
          <cell r="BM171">
            <v>0</v>
          </cell>
          <cell r="BN171">
            <v>2880</v>
          </cell>
          <cell r="BO171">
            <v>1290</v>
          </cell>
          <cell r="BP171">
            <v>1590</v>
          </cell>
          <cell r="BQ171">
            <v>2880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X171">
            <v>0</v>
          </cell>
          <cell r="BY171">
            <v>30</v>
          </cell>
          <cell r="BZ171">
            <v>0</v>
          </cell>
          <cell r="CA171">
            <v>0</v>
          </cell>
        </row>
        <row r="172">
          <cell r="H172" t="str">
            <v>C233726</v>
          </cell>
          <cell r="I172" t="str">
            <v xml:space="preserve">DOSSIER LIVREE SUR EC225      </v>
          </cell>
          <cell r="J172">
            <v>23037</v>
          </cell>
          <cell r="K172" t="str">
            <v xml:space="preserve">ROTORTRADE SASU </v>
          </cell>
          <cell r="L172" t="str">
            <v>LJA</v>
          </cell>
          <cell r="M172">
            <v>45028</v>
          </cell>
          <cell r="N172">
            <v>45100</v>
          </cell>
          <cell r="O172">
            <v>2950</v>
          </cell>
          <cell r="P172">
            <v>0</v>
          </cell>
          <cell r="Q172">
            <v>1376</v>
          </cell>
          <cell r="R172">
            <v>1376</v>
          </cell>
          <cell r="S172">
            <v>0.53355932203389833</v>
          </cell>
          <cell r="T172">
            <v>0.59</v>
          </cell>
          <cell r="U172">
            <v>31</v>
          </cell>
          <cell r="V172">
            <v>32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2950</v>
          </cell>
          <cell r="AB172">
            <v>1376</v>
          </cell>
          <cell r="AC172">
            <v>0</v>
          </cell>
          <cell r="AD172">
            <v>0.53355932203389833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2950</v>
          </cell>
          <cell r="AZ172">
            <v>0</v>
          </cell>
          <cell r="BA172">
            <v>2950</v>
          </cell>
          <cell r="BB172">
            <v>1376</v>
          </cell>
          <cell r="BC172">
            <v>0</v>
          </cell>
          <cell r="BD172">
            <v>1</v>
          </cell>
          <cell r="BE172">
            <v>1</v>
          </cell>
          <cell r="BF172">
            <v>0</v>
          </cell>
          <cell r="BG172">
            <v>0</v>
          </cell>
          <cell r="BH172">
            <v>0</v>
          </cell>
          <cell r="BI172">
            <v>105</v>
          </cell>
          <cell r="BJ172">
            <v>1</v>
          </cell>
          <cell r="BK172">
            <v>0</v>
          </cell>
          <cell r="BL172">
            <v>0</v>
          </cell>
          <cell r="BM172">
            <v>0</v>
          </cell>
          <cell r="BN172">
            <v>2950</v>
          </cell>
          <cell r="BO172">
            <v>1376</v>
          </cell>
          <cell r="BP172">
            <v>1574</v>
          </cell>
          <cell r="BQ172">
            <v>2950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X172">
            <v>0</v>
          </cell>
          <cell r="BY172">
            <v>32</v>
          </cell>
          <cell r="BZ172">
            <v>0</v>
          </cell>
          <cell r="CA172">
            <v>0</v>
          </cell>
        </row>
        <row r="173">
          <cell r="H173" t="str">
            <v>C233722</v>
          </cell>
          <cell r="I173" t="str">
            <v xml:space="preserve">INSTALLATION FM 80MHZ         </v>
          </cell>
          <cell r="J173" t="str">
            <v xml:space="preserve">                              </v>
          </cell>
          <cell r="K173" t="str">
            <v xml:space="preserve">SAF INTERNATIONAL </v>
          </cell>
          <cell r="L173" t="str">
            <v>LJA</v>
          </cell>
          <cell r="M173">
            <v>45040</v>
          </cell>
          <cell r="N173">
            <v>45100</v>
          </cell>
          <cell r="O173">
            <v>7900</v>
          </cell>
          <cell r="P173">
            <v>0</v>
          </cell>
          <cell r="Q173">
            <v>3483</v>
          </cell>
          <cell r="R173">
            <v>3483</v>
          </cell>
          <cell r="S173">
            <v>0.55911392405063287</v>
          </cell>
          <cell r="T173">
            <v>0.59</v>
          </cell>
          <cell r="U173">
            <v>82</v>
          </cell>
          <cell r="V173">
            <v>81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7900</v>
          </cell>
          <cell r="AB173">
            <v>3483</v>
          </cell>
          <cell r="AC173">
            <v>0</v>
          </cell>
          <cell r="AD173">
            <v>0.55911392405063287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7900</v>
          </cell>
          <cell r="AZ173">
            <v>0</v>
          </cell>
          <cell r="BA173">
            <v>7900</v>
          </cell>
          <cell r="BB173">
            <v>3483</v>
          </cell>
          <cell r="BC173">
            <v>0</v>
          </cell>
          <cell r="BD173">
            <v>1</v>
          </cell>
          <cell r="BE173">
            <v>1</v>
          </cell>
          <cell r="BF173">
            <v>0</v>
          </cell>
          <cell r="BG173">
            <v>0</v>
          </cell>
          <cell r="BH173">
            <v>0</v>
          </cell>
          <cell r="BI173">
            <v>105</v>
          </cell>
          <cell r="BJ173">
            <v>1</v>
          </cell>
          <cell r="BK173">
            <v>0</v>
          </cell>
          <cell r="BL173">
            <v>0</v>
          </cell>
          <cell r="BM173">
            <v>0</v>
          </cell>
          <cell r="BN173">
            <v>7900</v>
          </cell>
          <cell r="BO173">
            <v>3483</v>
          </cell>
          <cell r="BP173">
            <v>4417</v>
          </cell>
          <cell r="BQ173">
            <v>7900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X173">
            <v>0</v>
          </cell>
          <cell r="BY173">
            <v>81</v>
          </cell>
          <cell r="BZ173">
            <v>0</v>
          </cell>
          <cell r="CA173">
            <v>0</v>
          </cell>
        </row>
        <row r="174">
          <cell r="H174" t="str">
            <v>C233721</v>
          </cell>
          <cell r="I174" t="str">
            <v xml:space="preserve">MODIFICATION COMMANDE CROCHET </v>
          </cell>
          <cell r="J174" t="str">
            <v xml:space="preserve">                              </v>
          </cell>
          <cell r="K174" t="str">
            <v xml:space="preserve">SAF INTERNATIONAL </v>
          </cell>
          <cell r="L174" t="str">
            <v>LJA</v>
          </cell>
          <cell r="M174">
            <v>45040</v>
          </cell>
          <cell r="N174">
            <v>45120</v>
          </cell>
          <cell r="O174">
            <v>4500</v>
          </cell>
          <cell r="P174">
            <v>0</v>
          </cell>
          <cell r="Q174">
            <v>1806</v>
          </cell>
          <cell r="R174">
            <v>1806</v>
          </cell>
          <cell r="S174">
            <v>0.59866666666666668</v>
          </cell>
          <cell r="T174">
            <v>0.59</v>
          </cell>
          <cell r="U174">
            <v>46</v>
          </cell>
          <cell r="V174">
            <v>42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4500</v>
          </cell>
          <cell r="AB174">
            <v>1806</v>
          </cell>
          <cell r="AC174">
            <v>0</v>
          </cell>
          <cell r="AD174">
            <v>0.59866666666666668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4500</v>
          </cell>
          <cell r="AZ174">
            <v>0</v>
          </cell>
          <cell r="BA174">
            <v>4500</v>
          </cell>
          <cell r="BB174">
            <v>1806</v>
          </cell>
          <cell r="BC174">
            <v>0</v>
          </cell>
          <cell r="BD174">
            <v>1</v>
          </cell>
          <cell r="BE174">
            <v>1</v>
          </cell>
          <cell r="BF174">
            <v>0</v>
          </cell>
          <cell r="BG174">
            <v>0</v>
          </cell>
          <cell r="BH174">
            <v>0</v>
          </cell>
          <cell r="BI174">
            <v>105</v>
          </cell>
          <cell r="BJ174">
            <v>1</v>
          </cell>
          <cell r="BK174">
            <v>0</v>
          </cell>
          <cell r="BL174">
            <v>0</v>
          </cell>
          <cell r="BM174">
            <v>0</v>
          </cell>
          <cell r="BN174">
            <v>4500</v>
          </cell>
          <cell r="BO174">
            <v>1806</v>
          </cell>
          <cell r="BP174">
            <v>2694</v>
          </cell>
          <cell r="BQ174">
            <v>4500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X174">
            <v>0</v>
          </cell>
          <cell r="BY174">
            <v>42</v>
          </cell>
          <cell r="BZ174">
            <v>0</v>
          </cell>
          <cell r="CA174">
            <v>0</v>
          </cell>
        </row>
        <row r="175">
          <cell r="H175" t="str">
            <v>C233719</v>
          </cell>
          <cell r="I175" t="str">
            <v xml:space="preserve">DOSSIER INSTALLATION SIRENE   </v>
          </cell>
          <cell r="J175" t="str">
            <v xml:space="preserve">                              </v>
          </cell>
          <cell r="K175" t="str">
            <v>SAF HELICOPTERES</v>
          </cell>
          <cell r="L175" t="str">
            <v>LJA</v>
          </cell>
          <cell r="M175">
            <v>45040</v>
          </cell>
          <cell r="N175" t="str">
            <v/>
          </cell>
          <cell r="O175">
            <v>7900</v>
          </cell>
          <cell r="P175">
            <v>0</v>
          </cell>
          <cell r="Q175">
            <v>2623</v>
          </cell>
          <cell r="R175">
            <v>2623</v>
          </cell>
          <cell r="S175">
            <v>0.52974683544303791</v>
          </cell>
          <cell r="T175">
            <v>0.59</v>
          </cell>
          <cell r="U175">
            <v>82</v>
          </cell>
          <cell r="V175">
            <v>61</v>
          </cell>
          <cell r="W175">
            <v>0</v>
          </cell>
          <cell r="X175">
            <v>21</v>
          </cell>
          <cell r="Y175">
            <v>21</v>
          </cell>
          <cell r="Z175">
            <v>0</v>
          </cell>
          <cell r="AA175">
            <v>7900</v>
          </cell>
          <cell r="AB175">
            <v>2623</v>
          </cell>
          <cell r="AC175">
            <v>1092</v>
          </cell>
          <cell r="AD175">
            <v>0.52974683544303791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5577.8465679676983</v>
          </cell>
          <cell r="BB175">
            <v>2623</v>
          </cell>
          <cell r="BC175">
            <v>1092</v>
          </cell>
          <cell r="BD175">
            <v>0.70605652759084792</v>
          </cell>
          <cell r="BE175">
            <v>0</v>
          </cell>
          <cell r="BF175">
            <v>0</v>
          </cell>
          <cell r="BG175">
            <v>5577.8465679676983</v>
          </cell>
          <cell r="BH175">
            <v>0</v>
          </cell>
          <cell r="BI175">
            <v>105</v>
          </cell>
          <cell r="BJ175">
            <v>0.70605652759084792</v>
          </cell>
          <cell r="BK175">
            <v>0</v>
          </cell>
          <cell r="BL175">
            <v>0</v>
          </cell>
          <cell r="BM175">
            <v>0</v>
          </cell>
          <cell r="BN175">
            <v>5577.8465679676983</v>
          </cell>
          <cell r="BO175">
            <v>2623</v>
          </cell>
          <cell r="BP175">
            <v>2954.8465679676983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X175">
            <v>2322.1534320323017</v>
          </cell>
          <cell r="BY175">
            <v>61</v>
          </cell>
          <cell r="BZ175">
            <v>0</v>
          </cell>
          <cell r="CA175">
            <v>0</v>
          </cell>
        </row>
        <row r="176">
          <cell r="H176" t="str">
            <v>C233716</v>
          </cell>
          <cell r="I176" t="str">
            <v xml:space="preserve">FL1007 FERRY FLIGHT           </v>
          </cell>
          <cell r="J176" t="str">
            <v xml:space="preserve">                              </v>
          </cell>
          <cell r="K176" t="str">
            <v>LEONARDO S.P.A</v>
          </cell>
          <cell r="L176" t="str">
            <v>PDA</v>
          </cell>
          <cell r="M176">
            <v>45033</v>
          </cell>
          <cell r="N176">
            <v>45107</v>
          </cell>
          <cell r="O176">
            <v>2500</v>
          </cell>
          <cell r="P176">
            <v>0</v>
          </cell>
          <cell r="Q176">
            <v>0</v>
          </cell>
          <cell r="R176">
            <v>0</v>
          </cell>
          <cell r="S176">
            <v>1</v>
          </cell>
          <cell r="T176">
            <v>0.2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2500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1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2500</v>
          </cell>
          <cell r="AZ176">
            <v>0</v>
          </cell>
          <cell r="BA176">
            <v>2500</v>
          </cell>
          <cell r="BB176">
            <v>0</v>
          </cell>
          <cell r="BC176">
            <v>0</v>
          </cell>
          <cell r="BD176">
            <v>1</v>
          </cell>
          <cell r="BE176">
            <v>1</v>
          </cell>
          <cell r="BF176">
            <v>0</v>
          </cell>
          <cell r="BG176">
            <v>0</v>
          </cell>
          <cell r="BH176">
            <v>0</v>
          </cell>
          <cell r="BI176">
            <v>105</v>
          </cell>
          <cell r="BJ176">
            <v>1</v>
          </cell>
          <cell r="BK176">
            <v>0</v>
          </cell>
          <cell r="BL176">
            <v>0</v>
          </cell>
          <cell r="BM176">
            <v>0</v>
          </cell>
          <cell r="BN176">
            <v>2500</v>
          </cell>
          <cell r="BO176">
            <v>0</v>
          </cell>
          <cell r="BP176">
            <v>2500</v>
          </cell>
          <cell r="BQ176">
            <v>2500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</row>
        <row r="177">
          <cell r="H177" t="str">
            <v>C233728</v>
          </cell>
          <cell r="I177" t="str">
            <v xml:space="preserve">PHASE 1                       </v>
          </cell>
          <cell r="J177" t="str">
            <v xml:space="preserve">                              </v>
          </cell>
          <cell r="K177" t="str">
            <v>APG AIRLINES</v>
          </cell>
          <cell r="L177" t="str">
            <v>VGA</v>
          </cell>
          <cell r="M177">
            <v>45033</v>
          </cell>
          <cell r="N177">
            <v>45174</v>
          </cell>
          <cell r="O177">
            <v>16000</v>
          </cell>
          <cell r="P177">
            <v>0</v>
          </cell>
          <cell r="Q177">
            <v>10118.58</v>
          </cell>
          <cell r="R177">
            <v>10118.58</v>
          </cell>
          <cell r="S177">
            <v>0.36758875000000002</v>
          </cell>
          <cell r="T177">
            <v>0.59</v>
          </cell>
          <cell r="U177">
            <v>152</v>
          </cell>
          <cell r="V177">
            <v>189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16000</v>
          </cell>
          <cell r="AB177">
            <v>8127</v>
          </cell>
          <cell r="AC177">
            <v>0</v>
          </cell>
          <cell r="AD177">
            <v>0.49206249999999996</v>
          </cell>
          <cell r="AE177">
            <v>0</v>
          </cell>
          <cell r="AF177">
            <v>1950</v>
          </cell>
          <cell r="AG177">
            <v>1950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41.58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16000</v>
          </cell>
          <cell r="AZ177">
            <v>0</v>
          </cell>
          <cell r="BA177">
            <v>16000</v>
          </cell>
          <cell r="BB177">
            <v>10118.58</v>
          </cell>
          <cell r="BC177">
            <v>0</v>
          </cell>
          <cell r="BD177">
            <v>1</v>
          </cell>
          <cell r="BE177">
            <v>1</v>
          </cell>
          <cell r="BF177">
            <v>0</v>
          </cell>
          <cell r="BG177">
            <v>0</v>
          </cell>
          <cell r="BH177">
            <v>0</v>
          </cell>
          <cell r="BI177">
            <v>105</v>
          </cell>
          <cell r="BJ177">
            <v>1</v>
          </cell>
          <cell r="BK177">
            <v>0</v>
          </cell>
          <cell r="BL177">
            <v>0</v>
          </cell>
          <cell r="BM177">
            <v>0</v>
          </cell>
          <cell r="BN177">
            <v>16000</v>
          </cell>
          <cell r="BO177">
            <v>10118.58</v>
          </cell>
          <cell r="BP177">
            <v>5881.42</v>
          </cell>
          <cell r="BQ177">
            <v>16000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X177">
            <v>0</v>
          </cell>
          <cell r="BY177">
            <v>189</v>
          </cell>
          <cell r="BZ177">
            <v>0</v>
          </cell>
          <cell r="CA177">
            <v>1991.58</v>
          </cell>
        </row>
        <row r="178">
          <cell r="H178" t="str">
            <v>C233709</v>
          </cell>
          <cell r="I178" t="str">
            <v xml:space="preserve">CABIN REFURBISHMENT           </v>
          </cell>
          <cell r="J178" t="str">
            <v xml:space="preserve">                              </v>
          </cell>
          <cell r="K178" t="str">
            <v xml:space="preserve">SDA </v>
          </cell>
          <cell r="L178" t="str">
            <v>VGA</v>
          </cell>
          <cell r="M178">
            <v>45036</v>
          </cell>
          <cell r="N178">
            <v>45107</v>
          </cell>
          <cell r="O178">
            <v>4000</v>
          </cell>
          <cell r="P178">
            <v>0</v>
          </cell>
          <cell r="Q178">
            <v>1376</v>
          </cell>
          <cell r="R178">
            <v>1376</v>
          </cell>
          <cell r="S178">
            <v>0.65600000000000003</v>
          </cell>
          <cell r="T178">
            <v>0.59</v>
          </cell>
          <cell r="U178">
            <v>38</v>
          </cell>
          <cell r="V178">
            <v>32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4000</v>
          </cell>
          <cell r="AB178">
            <v>1376</v>
          </cell>
          <cell r="AC178">
            <v>0</v>
          </cell>
          <cell r="AD178">
            <v>0.65600000000000003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4000</v>
          </cell>
          <cell r="AZ178">
            <v>0</v>
          </cell>
          <cell r="BA178">
            <v>4000</v>
          </cell>
          <cell r="BB178">
            <v>1376</v>
          </cell>
          <cell r="BC178">
            <v>0</v>
          </cell>
          <cell r="BD178">
            <v>1</v>
          </cell>
          <cell r="BE178">
            <v>1</v>
          </cell>
          <cell r="BF178">
            <v>0</v>
          </cell>
          <cell r="BG178">
            <v>0</v>
          </cell>
          <cell r="BH178">
            <v>0</v>
          </cell>
          <cell r="BI178">
            <v>105</v>
          </cell>
          <cell r="BJ178">
            <v>1</v>
          </cell>
          <cell r="BK178">
            <v>0</v>
          </cell>
          <cell r="BL178">
            <v>0</v>
          </cell>
          <cell r="BM178">
            <v>0</v>
          </cell>
          <cell r="BN178">
            <v>4000</v>
          </cell>
          <cell r="BO178">
            <v>1376</v>
          </cell>
          <cell r="BP178">
            <v>2624</v>
          </cell>
          <cell r="BQ178">
            <v>4000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X178">
            <v>0</v>
          </cell>
          <cell r="BY178">
            <v>32</v>
          </cell>
          <cell r="BZ178">
            <v>0</v>
          </cell>
          <cell r="CA178">
            <v>0</v>
          </cell>
        </row>
        <row r="179">
          <cell r="H179" t="str">
            <v>C233730</v>
          </cell>
          <cell r="I179" t="str">
            <v xml:space="preserve">REMPLACEMENT VHF 22C AS332    </v>
          </cell>
          <cell r="J179" t="str">
            <v xml:space="preserve">23043                         </v>
          </cell>
          <cell r="K179" t="str">
            <v>SAF HELICOPTERES</v>
          </cell>
          <cell r="L179" t="str">
            <v>LJA</v>
          </cell>
          <cell r="M179">
            <v>45036</v>
          </cell>
          <cell r="N179">
            <v>45093</v>
          </cell>
          <cell r="O179">
            <v>3800</v>
          </cell>
          <cell r="P179">
            <v>0</v>
          </cell>
          <cell r="Q179">
            <v>1870.5</v>
          </cell>
          <cell r="R179">
            <v>1870.5</v>
          </cell>
          <cell r="S179">
            <v>0.50776315789473681</v>
          </cell>
          <cell r="T179">
            <v>0.59</v>
          </cell>
          <cell r="U179">
            <v>38</v>
          </cell>
          <cell r="V179">
            <v>43.5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3800</v>
          </cell>
          <cell r="AB179">
            <v>1870.5</v>
          </cell>
          <cell r="AC179">
            <v>0</v>
          </cell>
          <cell r="AD179">
            <v>0.50776315789473681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3800</v>
          </cell>
          <cell r="AZ179">
            <v>0</v>
          </cell>
          <cell r="BA179">
            <v>3800</v>
          </cell>
          <cell r="BB179">
            <v>1870.5</v>
          </cell>
          <cell r="BC179">
            <v>0</v>
          </cell>
          <cell r="BD179">
            <v>1</v>
          </cell>
          <cell r="BE179">
            <v>1</v>
          </cell>
          <cell r="BF179">
            <v>0</v>
          </cell>
          <cell r="BG179">
            <v>0</v>
          </cell>
          <cell r="BH179">
            <v>0</v>
          </cell>
          <cell r="BI179">
            <v>105</v>
          </cell>
          <cell r="BJ179">
            <v>1</v>
          </cell>
          <cell r="BK179">
            <v>0</v>
          </cell>
          <cell r="BL179">
            <v>0</v>
          </cell>
          <cell r="BM179">
            <v>0</v>
          </cell>
          <cell r="BN179">
            <v>3800</v>
          </cell>
          <cell r="BO179">
            <v>1870.5</v>
          </cell>
          <cell r="BP179">
            <v>1929.5</v>
          </cell>
          <cell r="BQ179">
            <v>3800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X179">
            <v>0</v>
          </cell>
          <cell r="BY179">
            <v>43.5</v>
          </cell>
          <cell r="BZ179">
            <v>0</v>
          </cell>
          <cell r="CA179">
            <v>0</v>
          </cell>
        </row>
        <row r="180">
          <cell r="H180" t="str">
            <v>C233720</v>
          </cell>
          <cell r="I180" t="str">
            <v xml:space="preserve">COMMANDE CROCHET BAS AS332    </v>
          </cell>
          <cell r="J180">
            <v>23044</v>
          </cell>
          <cell r="K180" t="str">
            <v xml:space="preserve">SAF INTERNATIONAL </v>
          </cell>
          <cell r="L180" t="str">
            <v>LJA</v>
          </cell>
          <cell r="M180">
            <v>45040</v>
          </cell>
          <cell r="N180">
            <v>45107</v>
          </cell>
          <cell r="O180">
            <v>5500</v>
          </cell>
          <cell r="P180">
            <v>0</v>
          </cell>
          <cell r="Q180">
            <v>2322</v>
          </cell>
          <cell r="R180">
            <v>2322</v>
          </cell>
          <cell r="S180">
            <v>0.57781818181818179</v>
          </cell>
          <cell r="T180">
            <v>0.59</v>
          </cell>
          <cell r="U180">
            <v>56</v>
          </cell>
          <cell r="V180">
            <v>54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5500</v>
          </cell>
          <cell r="AB180">
            <v>2322</v>
          </cell>
          <cell r="AC180">
            <v>0</v>
          </cell>
          <cell r="AD180">
            <v>0.57781818181818179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5500</v>
          </cell>
          <cell r="AZ180">
            <v>0</v>
          </cell>
          <cell r="BA180">
            <v>5500</v>
          </cell>
          <cell r="BB180">
            <v>2322</v>
          </cell>
          <cell r="BC180">
            <v>0</v>
          </cell>
          <cell r="BD180">
            <v>1</v>
          </cell>
          <cell r="BE180">
            <v>1</v>
          </cell>
          <cell r="BF180">
            <v>0</v>
          </cell>
          <cell r="BG180">
            <v>0</v>
          </cell>
          <cell r="BH180">
            <v>0</v>
          </cell>
          <cell r="BI180">
            <v>105</v>
          </cell>
          <cell r="BJ180">
            <v>1</v>
          </cell>
          <cell r="BK180">
            <v>0</v>
          </cell>
          <cell r="BL180">
            <v>0</v>
          </cell>
          <cell r="BM180">
            <v>0</v>
          </cell>
          <cell r="BN180">
            <v>5500</v>
          </cell>
          <cell r="BO180">
            <v>2322</v>
          </cell>
          <cell r="BP180">
            <v>3178</v>
          </cell>
          <cell r="BQ180">
            <v>5500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X180">
            <v>0</v>
          </cell>
          <cell r="BY180">
            <v>54</v>
          </cell>
          <cell r="BZ180">
            <v>0</v>
          </cell>
          <cell r="CA180">
            <v>0</v>
          </cell>
        </row>
        <row r="181">
          <cell r="H181" t="str">
            <v>C233703</v>
          </cell>
          <cell r="I181" t="str">
            <v xml:space="preserve">FRAIS EASA                    </v>
          </cell>
          <cell r="J181" t="str">
            <v xml:space="preserve">                              </v>
          </cell>
          <cell r="K181" t="str">
            <v>SAINT GOBAIN SULLY</v>
          </cell>
          <cell r="L181" t="str">
            <v>PDA</v>
          </cell>
          <cell r="M181">
            <v>45022</v>
          </cell>
          <cell r="N181">
            <v>45044</v>
          </cell>
          <cell r="O181">
            <v>15114</v>
          </cell>
          <cell r="P181">
            <v>0</v>
          </cell>
          <cell r="Q181">
            <v>0</v>
          </cell>
          <cell r="R181">
            <v>0</v>
          </cell>
          <cell r="S181">
            <v>1</v>
          </cell>
          <cell r="T181">
            <v>0.2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15114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1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15114</v>
          </cell>
          <cell r="AZ181">
            <v>0</v>
          </cell>
          <cell r="BA181">
            <v>15114</v>
          </cell>
          <cell r="BB181">
            <v>0</v>
          </cell>
          <cell r="BC181">
            <v>0</v>
          </cell>
          <cell r="BD181">
            <v>1</v>
          </cell>
          <cell r="BE181">
            <v>1</v>
          </cell>
          <cell r="BF181">
            <v>0</v>
          </cell>
          <cell r="BG181">
            <v>0</v>
          </cell>
          <cell r="BH181">
            <v>0</v>
          </cell>
          <cell r="BI181">
            <v>105</v>
          </cell>
          <cell r="BJ181">
            <v>1</v>
          </cell>
          <cell r="BK181">
            <v>0</v>
          </cell>
          <cell r="BL181">
            <v>0</v>
          </cell>
          <cell r="BM181">
            <v>0</v>
          </cell>
          <cell r="BN181">
            <v>15114</v>
          </cell>
          <cell r="BO181">
            <v>0</v>
          </cell>
          <cell r="BP181">
            <v>15114</v>
          </cell>
          <cell r="BQ181">
            <v>15114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</row>
        <row r="182">
          <cell r="H182" t="str">
            <v>C233734</v>
          </cell>
          <cell r="I182" t="str">
            <v xml:space="preserve">SUPPORT TO PTF                </v>
          </cell>
          <cell r="J182" t="str">
            <v xml:space="preserve">                              </v>
          </cell>
          <cell r="K182" t="str">
            <v xml:space="preserve">JETSTREAM AVIATION CAPITAL, LLC </v>
          </cell>
          <cell r="L182" t="str">
            <v>TBI</v>
          </cell>
          <cell r="M182">
            <v>45041</v>
          </cell>
          <cell r="N182">
            <v>45199</v>
          </cell>
          <cell r="O182">
            <v>8800</v>
          </cell>
          <cell r="P182">
            <v>0</v>
          </cell>
          <cell r="Q182">
            <v>1348</v>
          </cell>
          <cell r="R182">
            <v>1348</v>
          </cell>
          <cell r="S182">
            <v>0.8468181818181818</v>
          </cell>
          <cell r="T182">
            <v>0.59</v>
          </cell>
          <cell r="U182">
            <v>10</v>
          </cell>
          <cell r="V182">
            <v>4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8800</v>
          </cell>
          <cell r="AB182">
            <v>172</v>
          </cell>
          <cell r="AC182">
            <v>0</v>
          </cell>
          <cell r="AD182">
            <v>0.98045454545454547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1176</v>
          </cell>
          <cell r="AN182">
            <v>1176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8800</v>
          </cell>
          <cell r="AZ182">
            <v>0</v>
          </cell>
          <cell r="BA182">
            <v>8800</v>
          </cell>
          <cell r="BB182">
            <v>1348</v>
          </cell>
          <cell r="BC182">
            <v>0</v>
          </cell>
          <cell r="BD182">
            <v>1</v>
          </cell>
          <cell r="BE182">
            <v>1</v>
          </cell>
          <cell r="BF182">
            <v>0</v>
          </cell>
          <cell r="BG182">
            <v>0</v>
          </cell>
          <cell r="BH182">
            <v>0</v>
          </cell>
          <cell r="BI182">
            <v>105</v>
          </cell>
          <cell r="BJ182">
            <v>1</v>
          </cell>
          <cell r="BK182">
            <v>0</v>
          </cell>
          <cell r="BL182">
            <v>0</v>
          </cell>
          <cell r="BM182">
            <v>0</v>
          </cell>
          <cell r="BN182">
            <v>8800</v>
          </cell>
          <cell r="BO182">
            <v>1348</v>
          </cell>
          <cell r="BP182">
            <v>7452</v>
          </cell>
          <cell r="BQ182">
            <v>8800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X182">
            <v>0</v>
          </cell>
          <cell r="BY182">
            <v>4</v>
          </cell>
          <cell r="BZ182">
            <v>0</v>
          </cell>
          <cell r="CA182">
            <v>0</v>
          </cell>
        </row>
        <row r="183">
          <cell r="H183" t="str">
            <v>C233729</v>
          </cell>
          <cell r="I183" t="str">
            <v xml:space="preserve">DEVELOPPEMENT                 </v>
          </cell>
          <cell r="J183" t="str">
            <v xml:space="preserve">                              </v>
          </cell>
          <cell r="K183" t="str">
            <v>FTL AIRLINES</v>
          </cell>
          <cell r="L183" t="str">
            <v>VGA</v>
          </cell>
          <cell r="M183">
            <v>45034</v>
          </cell>
          <cell r="N183">
            <v>45174</v>
          </cell>
          <cell r="O183">
            <v>17300</v>
          </cell>
          <cell r="P183">
            <v>0</v>
          </cell>
          <cell r="Q183">
            <v>6447.25</v>
          </cell>
          <cell r="R183">
            <v>6447.25</v>
          </cell>
          <cell r="S183">
            <v>0.62732658959537568</v>
          </cell>
          <cell r="T183">
            <v>0.59</v>
          </cell>
          <cell r="U183">
            <v>166.04</v>
          </cell>
          <cell r="V183">
            <v>125.75</v>
          </cell>
          <cell r="W183">
            <v>20</v>
          </cell>
          <cell r="X183">
            <v>0</v>
          </cell>
          <cell r="Y183">
            <v>0</v>
          </cell>
          <cell r="Z183">
            <v>0</v>
          </cell>
          <cell r="AA183">
            <v>17300</v>
          </cell>
          <cell r="AB183">
            <v>6447.25</v>
          </cell>
          <cell r="AC183">
            <v>0</v>
          </cell>
          <cell r="AD183">
            <v>0.62732658959537568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14300</v>
          </cell>
          <cell r="AZ183">
            <v>0</v>
          </cell>
          <cell r="BA183">
            <v>17300</v>
          </cell>
          <cell r="BB183">
            <v>6447.25</v>
          </cell>
          <cell r="BC183">
            <v>0</v>
          </cell>
          <cell r="BD183">
            <v>1</v>
          </cell>
          <cell r="BE183">
            <v>0.82658959537572252</v>
          </cell>
          <cell r="BF183">
            <v>0</v>
          </cell>
          <cell r="BG183">
            <v>3000.0000000000005</v>
          </cell>
          <cell r="BH183">
            <v>0</v>
          </cell>
          <cell r="BI183">
            <v>105</v>
          </cell>
          <cell r="BJ183">
            <v>1</v>
          </cell>
          <cell r="BK183">
            <v>0</v>
          </cell>
          <cell r="BL183">
            <v>0</v>
          </cell>
          <cell r="BM183">
            <v>0</v>
          </cell>
          <cell r="BN183">
            <v>17300</v>
          </cell>
          <cell r="BO183">
            <v>6447.25</v>
          </cell>
          <cell r="BP183">
            <v>10852.75</v>
          </cell>
          <cell r="BQ183">
            <v>14300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X183">
            <v>0</v>
          </cell>
          <cell r="BY183">
            <v>125.75</v>
          </cell>
          <cell r="BZ183">
            <v>20</v>
          </cell>
          <cell r="CA183">
            <v>0</v>
          </cell>
        </row>
        <row r="184">
          <cell r="H184" t="str">
            <v>C233742</v>
          </cell>
          <cell r="I184" t="str">
            <v xml:space="preserve">MINOR CHANGE FOR RECARO       </v>
          </cell>
          <cell r="J184" t="str">
            <v xml:space="preserve">                              </v>
          </cell>
          <cell r="K184" t="str">
            <v>AERO CABIN SOLUTIONS</v>
          </cell>
          <cell r="L184" t="str">
            <v>FDE</v>
          </cell>
          <cell r="M184">
            <v>45048</v>
          </cell>
          <cell r="N184">
            <v>45107</v>
          </cell>
          <cell r="O184">
            <v>945</v>
          </cell>
          <cell r="P184">
            <v>0</v>
          </cell>
          <cell r="Q184">
            <v>731</v>
          </cell>
          <cell r="R184">
            <v>731</v>
          </cell>
          <cell r="S184">
            <v>0.22645502645502646</v>
          </cell>
          <cell r="T184">
            <v>0.59</v>
          </cell>
          <cell r="U184">
            <v>9</v>
          </cell>
          <cell r="V184">
            <v>17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945</v>
          </cell>
          <cell r="AB184">
            <v>731</v>
          </cell>
          <cell r="AC184">
            <v>0</v>
          </cell>
          <cell r="AD184">
            <v>0.22645502645502646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945</v>
          </cell>
          <cell r="AZ184">
            <v>0</v>
          </cell>
          <cell r="BA184">
            <v>945</v>
          </cell>
          <cell r="BB184">
            <v>731</v>
          </cell>
          <cell r="BC184">
            <v>0</v>
          </cell>
          <cell r="BD184">
            <v>1</v>
          </cell>
          <cell r="BE184">
            <v>1</v>
          </cell>
          <cell r="BF184">
            <v>0</v>
          </cell>
          <cell r="BG184">
            <v>0</v>
          </cell>
          <cell r="BH184">
            <v>0</v>
          </cell>
          <cell r="BI184">
            <v>105</v>
          </cell>
          <cell r="BJ184">
            <v>1</v>
          </cell>
          <cell r="BK184">
            <v>0</v>
          </cell>
          <cell r="BL184">
            <v>0</v>
          </cell>
          <cell r="BM184">
            <v>0</v>
          </cell>
          <cell r="BN184">
            <v>945</v>
          </cell>
          <cell r="BO184">
            <v>731</v>
          </cell>
          <cell r="BP184">
            <v>214</v>
          </cell>
          <cell r="BQ184">
            <v>945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X184">
            <v>0</v>
          </cell>
          <cell r="BY184">
            <v>17</v>
          </cell>
          <cell r="BZ184">
            <v>0</v>
          </cell>
          <cell r="CA184">
            <v>0</v>
          </cell>
        </row>
        <row r="185">
          <cell r="H185" t="str">
            <v>C233749</v>
          </cell>
          <cell r="I185" t="str">
            <v xml:space="preserve">DEVELOPMENT OF SB A350-900    </v>
          </cell>
          <cell r="J185" t="str">
            <v xml:space="preserve">                              </v>
          </cell>
          <cell r="K185" t="str">
            <v xml:space="preserve">AIR CARAIBES ATLANTIQUE </v>
          </cell>
          <cell r="L185" t="str">
            <v>VGA</v>
          </cell>
          <cell r="M185">
            <v>45050</v>
          </cell>
          <cell r="N185">
            <v>45107</v>
          </cell>
          <cell r="O185">
            <v>1800</v>
          </cell>
          <cell r="P185">
            <v>0</v>
          </cell>
          <cell r="Q185">
            <v>1161</v>
          </cell>
          <cell r="R185">
            <v>1161</v>
          </cell>
          <cell r="S185">
            <v>0.35499999999999998</v>
          </cell>
          <cell r="T185">
            <v>0.59</v>
          </cell>
          <cell r="U185">
            <v>14.5</v>
          </cell>
          <cell r="V185">
            <v>27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1800</v>
          </cell>
          <cell r="AB185">
            <v>1161</v>
          </cell>
          <cell r="AC185">
            <v>0</v>
          </cell>
          <cell r="AD185">
            <v>0.35499999999999998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1800</v>
          </cell>
          <cell r="AZ185">
            <v>0</v>
          </cell>
          <cell r="BA185">
            <v>1800</v>
          </cell>
          <cell r="BB185">
            <v>1161</v>
          </cell>
          <cell r="BC185">
            <v>0</v>
          </cell>
          <cell r="BD185">
            <v>1</v>
          </cell>
          <cell r="BE185">
            <v>1</v>
          </cell>
          <cell r="BF185">
            <v>0</v>
          </cell>
          <cell r="BG185">
            <v>0</v>
          </cell>
          <cell r="BH185">
            <v>0</v>
          </cell>
          <cell r="BI185">
            <v>105</v>
          </cell>
          <cell r="BJ185">
            <v>1</v>
          </cell>
          <cell r="BK185">
            <v>0</v>
          </cell>
          <cell r="BL185">
            <v>0</v>
          </cell>
          <cell r="BM185">
            <v>0</v>
          </cell>
          <cell r="BN185">
            <v>1800</v>
          </cell>
          <cell r="BO185">
            <v>1161</v>
          </cell>
          <cell r="BP185">
            <v>639</v>
          </cell>
          <cell r="BQ185">
            <v>1800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X185">
            <v>0</v>
          </cell>
          <cell r="BY185">
            <v>27</v>
          </cell>
          <cell r="BZ185">
            <v>0</v>
          </cell>
          <cell r="CA185">
            <v>0</v>
          </cell>
        </row>
        <row r="186">
          <cell r="H186" t="str">
            <v>C233750</v>
          </cell>
          <cell r="I186" t="str">
            <v xml:space="preserve">NOUVEAU DOSSIER LIDAR/TIR     </v>
          </cell>
          <cell r="J186" t="str">
            <v xml:space="preserve">                              </v>
          </cell>
          <cell r="K186" t="str">
            <v xml:space="preserve">RESEAUX TRANSPORT ELECTRICITE </v>
          </cell>
          <cell r="L186" t="str">
            <v>LJA</v>
          </cell>
          <cell r="M186">
            <v>45056</v>
          </cell>
          <cell r="N186">
            <v>45107</v>
          </cell>
          <cell r="O186">
            <v>14960</v>
          </cell>
          <cell r="P186">
            <v>0</v>
          </cell>
          <cell r="Q186">
            <v>10348</v>
          </cell>
          <cell r="R186">
            <v>10348</v>
          </cell>
          <cell r="S186">
            <v>0.30828877005347599</v>
          </cell>
          <cell r="T186">
            <v>0.29020053475935825</v>
          </cell>
          <cell r="U186">
            <v>33</v>
          </cell>
          <cell r="V186">
            <v>36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3460</v>
          </cell>
          <cell r="AB186">
            <v>1548</v>
          </cell>
          <cell r="AC186">
            <v>0</v>
          </cell>
          <cell r="AD186">
            <v>0.55260115606936422</v>
          </cell>
          <cell r="AE186">
            <v>11500</v>
          </cell>
          <cell r="AF186">
            <v>8800</v>
          </cell>
          <cell r="AG186">
            <v>8800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0.23478260869565215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14960</v>
          </cell>
          <cell r="AZ186">
            <v>0</v>
          </cell>
          <cell r="BA186">
            <v>14960</v>
          </cell>
          <cell r="BB186">
            <v>10348</v>
          </cell>
          <cell r="BC186">
            <v>0</v>
          </cell>
          <cell r="BD186">
            <v>1</v>
          </cell>
          <cell r="BE186">
            <v>1</v>
          </cell>
          <cell r="BF186">
            <v>0</v>
          </cell>
          <cell r="BG186">
            <v>0</v>
          </cell>
          <cell r="BH186">
            <v>0</v>
          </cell>
          <cell r="BI186">
            <v>105</v>
          </cell>
          <cell r="BJ186">
            <v>1</v>
          </cell>
          <cell r="BK186">
            <v>0</v>
          </cell>
          <cell r="BL186">
            <v>0</v>
          </cell>
          <cell r="BM186">
            <v>0</v>
          </cell>
          <cell r="BN186">
            <v>14960</v>
          </cell>
          <cell r="BO186">
            <v>10348</v>
          </cell>
          <cell r="BP186">
            <v>4612</v>
          </cell>
          <cell r="BQ186">
            <v>14960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X186">
            <v>0</v>
          </cell>
          <cell r="BY186">
            <v>36</v>
          </cell>
          <cell r="BZ186">
            <v>0</v>
          </cell>
          <cell r="CA186">
            <v>8800</v>
          </cell>
        </row>
        <row r="187">
          <cell r="H187" t="str">
            <v>C233727</v>
          </cell>
          <cell r="I187" t="str">
            <v xml:space="preserve">MODIFICATION DOSSIER          </v>
          </cell>
          <cell r="J187" t="str">
            <v xml:space="preserve">17070                         </v>
          </cell>
          <cell r="K187" t="str">
            <v>AIRTELIS</v>
          </cell>
          <cell r="L187" t="str">
            <v>LJA</v>
          </cell>
          <cell r="M187">
            <v>45043</v>
          </cell>
          <cell r="N187">
            <v>45093</v>
          </cell>
          <cell r="O187">
            <v>2200</v>
          </cell>
          <cell r="P187">
            <v>0</v>
          </cell>
          <cell r="Q187">
            <v>817</v>
          </cell>
          <cell r="R187">
            <v>817</v>
          </cell>
          <cell r="S187">
            <v>0.60499999999999998</v>
          </cell>
          <cell r="T187">
            <v>0.59</v>
          </cell>
          <cell r="U187">
            <v>20</v>
          </cell>
          <cell r="V187">
            <v>19</v>
          </cell>
          <cell r="W187">
            <v>0</v>
          </cell>
          <cell r="X187">
            <v>1</v>
          </cell>
          <cell r="Y187">
            <v>1</v>
          </cell>
          <cell r="Z187">
            <v>0</v>
          </cell>
          <cell r="AA187">
            <v>2200</v>
          </cell>
          <cell r="AB187">
            <v>817</v>
          </cell>
          <cell r="AC187">
            <v>52</v>
          </cell>
          <cell r="AD187">
            <v>0.60499999999999998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2200</v>
          </cell>
          <cell r="AZ187">
            <v>0</v>
          </cell>
          <cell r="BA187">
            <v>2068.3544303797471</v>
          </cell>
          <cell r="BB187">
            <v>817</v>
          </cell>
          <cell r="BC187">
            <v>52</v>
          </cell>
          <cell r="BD187">
            <v>0.9401611047180668</v>
          </cell>
          <cell r="BE187">
            <v>1</v>
          </cell>
          <cell r="BF187">
            <v>-131.64556962025304</v>
          </cell>
          <cell r="BG187">
            <v>0</v>
          </cell>
          <cell r="BH187">
            <v>0</v>
          </cell>
          <cell r="BI187">
            <v>105</v>
          </cell>
          <cell r="BJ187">
            <v>1</v>
          </cell>
          <cell r="BK187">
            <v>0</v>
          </cell>
          <cell r="BL187">
            <v>0</v>
          </cell>
          <cell r="BM187">
            <v>0</v>
          </cell>
          <cell r="BN187">
            <v>2068.3544303797471</v>
          </cell>
          <cell r="BO187">
            <v>817</v>
          </cell>
          <cell r="BP187">
            <v>1251.3544303797471</v>
          </cell>
          <cell r="BQ187">
            <v>2200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131.6455696202529</v>
          </cell>
          <cell r="BX187">
            <v>0</v>
          </cell>
          <cell r="BY187">
            <v>19</v>
          </cell>
          <cell r="BZ187">
            <v>0</v>
          </cell>
          <cell r="CA187">
            <v>0</v>
          </cell>
        </row>
        <row r="188">
          <cell r="H188" t="str">
            <v>C233765</v>
          </cell>
          <cell r="I188" t="str">
            <v xml:space="preserve">RTU POB FWI &amp; FBU FLEET       </v>
          </cell>
          <cell r="J188" t="str">
            <v xml:space="preserve">                              </v>
          </cell>
          <cell r="K188" t="str">
            <v xml:space="preserve">AIR CARAIBES ATLANTIQUE </v>
          </cell>
          <cell r="L188" t="str">
            <v>VGA</v>
          </cell>
          <cell r="M188">
            <v>45062</v>
          </cell>
          <cell r="N188">
            <v>45134</v>
          </cell>
          <cell r="O188">
            <v>7000</v>
          </cell>
          <cell r="P188">
            <v>0</v>
          </cell>
          <cell r="Q188">
            <v>3311</v>
          </cell>
          <cell r="R188">
            <v>3311</v>
          </cell>
          <cell r="S188">
            <v>0.52700000000000002</v>
          </cell>
          <cell r="T188">
            <v>0.59</v>
          </cell>
          <cell r="U188">
            <v>66</v>
          </cell>
          <cell r="V188">
            <v>77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7000</v>
          </cell>
          <cell r="AB188">
            <v>3311</v>
          </cell>
          <cell r="AC188">
            <v>0</v>
          </cell>
          <cell r="AD188">
            <v>0.52700000000000002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7000</v>
          </cell>
          <cell r="AZ188">
            <v>0</v>
          </cell>
          <cell r="BA188">
            <v>7000</v>
          </cell>
          <cell r="BB188">
            <v>3311</v>
          </cell>
          <cell r="BC188">
            <v>0</v>
          </cell>
          <cell r="BD188">
            <v>1</v>
          </cell>
          <cell r="BE188">
            <v>1</v>
          </cell>
          <cell r="BF188">
            <v>0</v>
          </cell>
          <cell r="BG188">
            <v>0</v>
          </cell>
          <cell r="BH188">
            <v>0</v>
          </cell>
          <cell r="BI188">
            <v>105</v>
          </cell>
          <cell r="BJ188">
            <v>1</v>
          </cell>
          <cell r="BK188">
            <v>0</v>
          </cell>
          <cell r="BL188">
            <v>0</v>
          </cell>
          <cell r="BM188">
            <v>0</v>
          </cell>
          <cell r="BN188">
            <v>7000</v>
          </cell>
          <cell r="BO188">
            <v>3311</v>
          </cell>
          <cell r="BP188">
            <v>3689</v>
          </cell>
          <cell r="BQ188">
            <v>7000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X188">
            <v>0</v>
          </cell>
          <cell r="BY188">
            <v>77</v>
          </cell>
          <cell r="BZ188">
            <v>0</v>
          </cell>
          <cell r="CA188">
            <v>0</v>
          </cell>
        </row>
        <row r="189">
          <cell r="H189" t="str">
            <v>C233717</v>
          </cell>
          <cell r="I189" t="str">
            <v xml:space="preserve">EXPERTISE &amp; PM AEROTEC        </v>
          </cell>
          <cell r="J189" t="str">
            <v xml:space="preserve">                              </v>
          </cell>
          <cell r="K189" t="str">
            <v>AIRBUS SAS</v>
          </cell>
          <cell r="L189" t="str">
            <v>PDA</v>
          </cell>
          <cell r="M189">
            <v>45058</v>
          </cell>
          <cell r="N189">
            <v>45199</v>
          </cell>
          <cell r="O189">
            <v>62292.068742999996</v>
          </cell>
          <cell r="P189">
            <v>0</v>
          </cell>
          <cell r="Q189">
            <v>46711.899136000007</v>
          </cell>
          <cell r="R189">
            <v>46711.899999999994</v>
          </cell>
          <cell r="S189">
            <v>0.25011482073712299</v>
          </cell>
          <cell r="T189">
            <v>0.24453813809228753</v>
          </cell>
          <cell r="U189">
            <v>67.750250542857145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7113.7763070000001</v>
          </cell>
          <cell r="AB189">
            <v>0</v>
          </cell>
          <cell r="AC189">
            <v>0</v>
          </cell>
          <cell r="AD189">
            <v>1</v>
          </cell>
          <cell r="AE189">
            <v>40178.292435999996</v>
          </cell>
          <cell r="AF189">
            <v>35254.489136000004</v>
          </cell>
          <cell r="AG189">
            <v>35254.489999999991</v>
          </cell>
          <cell r="AH189">
            <v>-8.6399998690467328E-4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0.12254884420096046</v>
          </cell>
          <cell r="AS189">
            <v>15000</v>
          </cell>
          <cell r="AT189">
            <v>11457.41</v>
          </cell>
          <cell r="AU189">
            <v>0</v>
          </cell>
          <cell r="AV189">
            <v>0</v>
          </cell>
          <cell r="AW189">
            <v>0</v>
          </cell>
          <cell r="AX189">
            <v>0.2361726666666667</v>
          </cell>
          <cell r="AY189">
            <v>62525.074000000001</v>
          </cell>
          <cell r="AZ189">
            <v>0</v>
          </cell>
          <cell r="BA189">
            <v>62292.06989517637</v>
          </cell>
          <cell r="BB189">
            <v>46711.899999999994</v>
          </cell>
          <cell r="BC189">
            <v>-8.6399998690467328E-4</v>
          </cell>
          <cell r="BD189">
            <v>1.0000000184963576</v>
          </cell>
          <cell r="BE189">
            <v>1.0037405284766079</v>
          </cell>
          <cell r="BF189">
            <v>-233.004104823631</v>
          </cell>
          <cell r="BG189">
            <v>0</v>
          </cell>
          <cell r="BH189">
            <v>0</v>
          </cell>
          <cell r="BI189">
            <v>105</v>
          </cell>
          <cell r="BJ189">
            <v>1</v>
          </cell>
          <cell r="BK189">
            <v>0</v>
          </cell>
          <cell r="BL189">
            <v>0</v>
          </cell>
          <cell r="BM189">
            <v>0</v>
          </cell>
          <cell r="BN189">
            <v>62292.06989517637</v>
          </cell>
          <cell r="BO189">
            <v>46711.899999999994</v>
          </cell>
          <cell r="BP189">
            <v>15580.169895176376</v>
          </cell>
          <cell r="BQ189">
            <v>62525.074000000001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-1.152176373580005E-3</v>
          </cell>
          <cell r="BX189">
            <v>0</v>
          </cell>
          <cell r="BY189">
            <v>0</v>
          </cell>
          <cell r="BZ189">
            <v>0</v>
          </cell>
          <cell r="CA189">
            <v>46711.899999999994</v>
          </cell>
        </row>
        <row r="190">
          <cell r="H190" t="str">
            <v>C233755</v>
          </cell>
          <cell r="I190" t="str">
            <v xml:space="preserve">B777 SAFRAN HBCS+ IFEC SYSTEM </v>
          </cell>
          <cell r="J190" t="str">
            <v xml:space="preserve">                              </v>
          </cell>
          <cell r="K190" t="str">
            <v xml:space="preserve">ASTRONICS CSC </v>
          </cell>
          <cell r="L190" t="str">
            <v>PRO</v>
          </cell>
          <cell r="M190">
            <v>45061</v>
          </cell>
          <cell r="N190" t="str">
            <v/>
          </cell>
          <cell r="O190">
            <v>77000</v>
          </cell>
          <cell r="P190">
            <v>53500</v>
          </cell>
          <cell r="Q190">
            <v>17393</v>
          </cell>
          <cell r="R190">
            <v>17393</v>
          </cell>
          <cell r="S190">
            <v>0.52334632034632034</v>
          </cell>
          <cell r="T190">
            <v>0.59</v>
          </cell>
          <cell r="U190">
            <v>733.33333333333337</v>
          </cell>
          <cell r="V190">
            <v>159</v>
          </cell>
          <cell r="W190">
            <v>203</v>
          </cell>
          <cell r="X190">
            <v>371.33333333333337</v>
          </cell>
          <cell r="Y190">
            <v>2</v>
          </cell>
          <cell r="Z190">
            <v>141</v>
          </cell>
          <cell r="AA190">
            <v>77000</v>
          </cell>
          <cell r="AB190">
            <v>17393</v>
          </cell>
          <cell r="AC190">
            <v>19309.333333333336</v>
          </cell>
          <cell r="AD190">
            <v>0.52334632034632034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44500</v>
          </cell>
          <cell r="AZ190">
            <v>0</v>
          </cell>
          <cell r="BA190">
            <v>36489.80537113898</v>
          </cell>
          <cell r="BB190">
            <v>17393</v>
          </cell>
          <cell r="BC190">
            <v>19309.333333333336</v>
          </cell>
          <cell r="BD190">
            <v>0.47389357624855821</v>
          </cell>
          <cell r="BE190">
            <v>0.57792207792207795</v>
          </cell>
          <cell r="BF190">
            <v>-8010.1946288610197</v>
          </cell>
          <cell r="BG190">
            <v>0</v>
          </cell>
          <cell r="BH190">
            <v>0</v>
          </cell>
          <cell r="BI190">
            <v>105</v>
          </cell>
          <cell r="BJ190">
            <v>1</v>
          </cell>
          <cell r="BK190">
            <v>0</v>
          </cell>
          <cell r="BL190">
            <v>26177.333333333336</v>
          </cell>
          <cell r="BM190">
            <v>-0.51622518859704747</v>
          </cell>
          <cell r="BN190">
            <v>36489.80537113898</v>
          </cell>
          <cell r="BO190">
            <v>17393</v>
          </cell>
          <cell r="BP190">
            <v>19096.80537113898</v>
          </cell>
          <cell r="BQ190">
            <v>44500</v>
          </cell>
          <cell r="BR190">
            <v>13222.014397267249</v>
          </cell>
          <cell r="BS190">
            <v>6972</v>
          </cell>
          <cell r="BT190">
            <v>6250.0143972672486</v>
          </cell>
          <cell r="BU190">
            <v>39250</v>
          </cell>
          <cell r="BV190">
            <v>40510.19462886102</v>
          </cell>
          <cell r="BX190">
            <v>0</v>
          </cell>
          <cell r="BY190">
            <v>159</v>
          </cell>
          <cell r="BZ190">
            <v>203</v>
          </cell>
          <cell r="CA190">
            <v>0</v>
          </cell>
        </row>
        <row r="191">
          <cell r="H191" t="str">
            <v>C233759</v>
          </cell>
          <cell r="I191" t="str">
            <v xml:space="preserve">FL1007 FERRY FLIGHT           </v>
          </cell>
          <cell r="J191" t="str">
            <v xml:space="preserve">                              </v>
          </cell>
          <cell r="K191" t="str">
            <v>LEONARDO S.P.A</v>
          </cell>
          <cell r="L191" t="str">
            <v>PDA</v>
          </cell>
          <cell r="M191">
            <v>45065</v>
          </cell>
          <cell r="N191">
            <v>45107</v>
          </cell>
          <cell r="O191">
            <v>1000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0.2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1000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1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1000</v>
          </cell>
          <cell r="AZ191">
            <v>0</v>
          </cell>
          <cell r="BA191">
            <v>1000</v>
          </cell>
          <cell r="BB191">
            <v>0</v>
          </cell>
          <cell r="BC191">
            <v>0</v>
          </cell>
          <cell r="BD191">
            <v>1</v>
          </cell>
          <cell r="BE191">
            <v>1</v>
          </cell>
          <cell r="BF191">
            <v>0</v>
          </cell>
          <cell r="BG191">
            <v>0</v>
          </cell>
          <cell r="BH191">
            <v>0</v>
          </cell>
          <cell r="BI191">
            <v>105</v>
          </cell>
          <cell r="BJ191">
            <v>1</v>
          </cell>
          <cell r="BK191">
            <v>0</v>
          </cell>
          <cell r="BL191">
            <v>0</v>
          </cell>
          <cell r="BM191">
            <v>0</v>
          </cell>
          <cell r="BN191">
            <v>1000</v>
          </cell>
          <cell r="BO191">
            <v>0</v>
          </cell>
          <cell r="BP191">
            <v>1000</v>
          </cell>
          <cell r="BQ191">
            <v>1000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</row>
        <row r="192">
          <cell r="H192" t="str">
            <v>C233633</v>
          </cell>
          <cell r="I192" t="str">
            <v xml:space="preserve">F900EX-073                    </v>
          </cell>
          <cell r="J192" t="str">
            <v xml:space="preserve">                              </v>
          </cell>
          <cell r="K192" t="str">
            <v>A.C.H.</v>
          </cell>
          <cell r="L192" t="str">
            <v>PNA</v>
          </cell>
          <cell r="M192">
            <v>45071</v>
          </cell>
          <cell r="N192">
            <v>45199</v>
          </cell>
          <cell r="O192">
            <v>2650</v>
          </cell>
          <cell r="P192">
            <v>850</v>
          </cell>
          <cell r="Q192">
            <v>903</v>
          </cell>
          <cell r="R192">
            <v>903</v>
          </cell>
          <cell r="S192">
            <v>0.65924528301886798</v>
          </cell>
          <cell r="T192">
            <v>0.59</v>
          </cell>
          <cell r="U192">
            <v>25.238095238095237</v>
          </cell>
          <cell r="V192">
            <v>21</v>
          </cell>
          <cell r="W192">
            <v>0</v>
          </cell>
          <cell r="X192">
            <v>0</v>
          </cell>
          <cell r="Y192">
            <v>0</v>
          </cell>
          <cell r="Z192">
            <v>9</v>
          </cell>
          <cell r="AA192">
            <v>2650</v>
          </cell>
          <cell r="AB192">
            <v>903</v>
          </cell>
          <cell r="AC192">
            <v>0</v>
          </cell>
          <cell r="AD192">
            <v>0.65924528301886798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2650</v>
          </cell>
          <cell r="AZ192">
            <v>0</v>
          </cell>
          <cell r="BA192">
            <v>2650</v>
          </cell>
          <cell r="BB192">
            <v>903</v>
          </cell>
          <cell r="BC192">
            <v>0</v>
          </cell>
          <cell r="BD192">
            <v>1</v>
          </cell>
          <cell r="BE192">
            <v>1</v>
          </cell>
          <cell r="BF192">
            <v>0</v>
          </cell>
          <cell r="BG192">
            <v>0</v>
          </cell>
          <cell r="BH192">
            <v>0</v>
          </cell>
          <cell r="BI192">
            <v>105</v>
          </cell>
          <cell r="BJ192">
            <v>1</v>
          </cell>
          <cell r="BK192">
            <v>0</v>
          </cell>
          <cell r="BL192">
            <v>387</v>
          </cell>
          <cell r="BM192">
            <v>0</v>
          </cell>
          <cell r="BN192">
            <v>2650</v>
          </cell>
          <cell r="BO192">
            <v>903</v>
          </cell>
          <cell r="BP192">
            <v>1747</v>
          </cell>
          <cell r="BQ192">
            <v>2650</v>
          </cell>
          <cell r="BR192">
            <v>850</v>
          </cell>
          <cell r="BS192">
            <v>387</v>
          </cell>
          <cell r="BT192">
            <v>463</v>
          </cell>
          <cell r="BU192">
            <v>1350</v>
          </cell>
          <cell r="BV192">
            <v>0</v>
          </cell>
          <cell r="BX192">
            <v>0</v>
          </cell>
          <cell r="BY192">
            <v>21</v>
          </cell>
          <cell r="BZ192">
            <v>0</v>
          </cell>
          <cell r="CA192">
            <v>0</v>
          </cell>
        </row>
        <row r="193">
          <cell r="H193" t="str">
            <v>C233770</v>
          </cell>
          <cell r="I193" t="str">
            <v xml:space="preserve">MODIFICATION DOSSIER AE20057  </v>
          </cell>
          <cell r="J193" t="str">
            <v xml:space="preserve">23058                         </v>
          </cell>
          <cell r="K193" t="str">
            <v xml:space="preserve">RESEAUX TRANSPORT ELECTRICITE </v>
          </cell>
          <cell r="L193" t="str">
            <v>LJA</v>
          </cell>
          <cell r="M193">
            <v>45103</v>
          </cell>
          <cell r="N193">
            <v>45120</v>
          </cell>
          <cell r="O193">
            <v>32848.5</v>
          </cell>
          <cell r="P193">
            <v>0</v>
          </cell>
          <cell r="Q193">
            <v>23490.34</v>
          </cell>
          <cell r="R193">
            <v>21978.34</v>
          </cell>
          <cell r="S193">
            <v>0.28488850328021065</v>
          </cell>
          <cell r="T193">
            <v>0.22503949952052607</v>
          </cell>
          <cell r="U193">
            <v>26.5</v>
          </cell>
          <cell r="V193">
            <v>28.5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2109</v>
          </cell>
          <cell r="AB193">
            <v>1225.5</v>
          </cell>
          <cell r="AC193">
            <v>0</v>
          </cell>
          <cell r="AD193">
            <v>0.41891891891891897</v>
          </cell>
          <cell r="AE193">
            <v>30739.5</v>
          </cell>
          <cell r="AF193">
            <v>17944.84</v>
          </cell>
          <cell r="AG193">
            <v>17944.84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494.25</v>
          </cell>
          <cell r="AM193">
            <v>4320</v>
          </cell>
          <cell r="AN193">
            <v>2808</v>
          </cell>
          <cell r="AO193">
            <v>0</v>
          </cell>
          <cell r="AP193">
            <v>0</v>
          </cell>
          <cell r="AQ193">
            <v>0</v>
          </cell>
          <cell r="AR193">
            <v>0.27569283820491552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27501</v>
          </cell>
          <cell r="AZ193">
            <v>0</v>
          </cell>
          <cell r="BA193">
            <v>30734.144396803113</v>
          </cell>
          <cell r="BB193">
            <v>21978.34</v>
          </cell>
          <cell r="BC193">
            <v>1512</v>
          </cell>
          <cell r="BD193">
            <v>0.9356331155700599</v>
          </cell>
          <cell r="BE193">
            <v>0.83720717840997305</v>
          </cell>
          <cell r="BF193">
            <v>0</v>
          </cell>
          <cell r="BG193">
            <v>3233.1443968031131</v>
          </cell>
          <cell r="BH193">
            <v>0</v>
          </cell>
          <cell r="BI193">
            <v>105</v>
          </cell>
          <cell r="BJ193">
            <v>1</v>
          </cell>
          <cell r="BK193">
            <v>0</v>
          </cell>
          <cell r="BL193">
            <v>494.25</v>
          </cell>
          <cell r="BM193">
            <v>6.043694091602092E-2</v>
          </cell>
          <cell r="BN193">
            <v>30734.144396803113</v>
          </cell>
          <cell r="BO193">
            <v>21978.34</v>
          </cell>
          <cell r="BP193">
            <v>8755.8043968031125</v>
          </cell>
          <cell r="BQ193">
            <v>27501</v>
          </cell>
          <cell r="BR193">
            <v>1985.262853679913</v>
          </cell>
          <cell r="BS193">
            <v>1852.25</v>
          </cell>
          <cell r="BT193">
            <v>133.01285367991295</v>
          </cell>
          <cell r="BU193">
            <v>12751.08</v>
          </cell>
          <cell r="BV193">
            <v>2114.3556031968874</v>
          </cell>
          <cell r="BX193">
            <v>0</v>
          </cell>
          <cell r="BY193">
            <v>28.5</v>
          </cell>
          <cell r="BZ193">
            <v>0</v>
          </cell>
          <cell r="CA193">
            <v>17944.84</v>
          </cell>
        </row>
        <row r="194">
          <cell r="H194" t="str">
            <v>C233783</v>
          </cell>
          <cell r="I194" t="str">
            <v>SERVICE BULLETIN B737 MSN TBD-</v>
          </cell>
          <cell r="J194" t="str">
            <v xml:space="preserve">                              </v>
          </cell>
          <cell r="K194" t="str">
            <v>AERO CABIN SOLUTIONS</v>
          </cell>
          <cell r="L194" t="str">
            <v>FDE</v>
          </cell>
          <cell r="M194">
            <v>45076</v>
          </cell>
          <cell r="N194">
            <v>45107</v>
          </cell>
          <cell r="O194">
            <v>4500</v>
          </cell>
          <cell r="P194">
            <v>0</v>
          </cell>
          <cell r="Q194">
            <v>1720</v>
          </cell>
          <cell r="R194">
            <v>1720</v>
          </cell>
          <cell r="S194">
            <v>0.61777777777777776</v>
          </cell>
          <cell r="T194">
            <v>0.59</v>
          </cell>
          <cell r="U194">
            <v>42.857142857142854</v>
          </cell>
          <cell r="V194">
            <v>40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4500</v>
          </cell>
          <cell r="AB194">
            <v>1720</v>
          </cell>
          <cell r="AC194">
            <v>0</v>
          </cell>
          <cell r="AD194">
            <v>0.61777777777777776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4500</v>
          </cell>
          <cell r="AZ194">
            <v>0</v>
          </cell>
          <cell r="BA194">
            <v>4500</v>
          </cell>
          <cell r="BB194">
            <v>1720</v>
          </cell>
          <cell r="BC194">
            <v>0</v>
          </cell>
          <cell r="BD194">
            <v>1</v>
          </cell>
          <cell r="BE194">
            <v>1</v>
          </cell>
          <cell r="BF194">
            <v>0</v>
          </cell>
          <cell r="BG194">
            <v>0</v>
          </cell>
          <cell r="BH194">
            <v>0</v>
          </cell>
          <cell r="BI194">
            <v>105</v>
          </cell>
          <cell r="BJ194">
            <v>1</v>
          </cell>
          <cell r="BK194">
            <v>0</v>
          </cell>
          <cell r="BL194">
            <v>0</v>
          </cell>
          <cell r="BM194">
            <v>0</v>
          </cell>
          <cell r="BN194">
            <v>4500</v>
          </cell>
          <cell r="BO194">
            <v>1720</v>
          </cell>
          <cell r="BP194">
            <v>2780</v>
          </cell>
          <cell r="BQ194">
            <v>4500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X194">
            <v>0</v>
          </cell>
          <cell r="BY194">
            <v>40</v>
          </cell>
          <cell r="BZ194">
            <v>0</v>
          </cell>
          <cell r="CA194">
            <v>0</v>
          </cell>
        </row>
        <row r="195">
          <cell r="H195" t="str">
            <v>C233786</v>
          </cell>
          <cell r="I195" t="str">
            <v>AJOUT D'APPLICABILITE S/N 9254</v>
          </cell>
          <cell r="J195" t="str">
            <v xml:space="preserve">14143                         </v>
          </cell>
          <cell r="K195" t="str">
            <v xml:space="preserve">HDF MAINTENANCE </v>
          </cell>
          <cell r="L195" t="str">
            <v>LJA</v>
          </cell>
          <cell r="M195">
            <v>45077</v>
          </cell>
          <cell r="N195" t="str">
            <v/>
          </cell>
          <cell r="O195">
            <v>2600</v>
          </cell>
          <cell r="P195">
            <v>0</v>
          </cell>
          <cell r="Q195">
            <v>0</v>
          </cell>
          <cell r="R195">
            <v>0</v>
          </cell>
          <cell r="S195">
            <v>0.6</v>
          </cell>
          <cell r="T195">
            <v>0.59</v>
          </cell>
          <cell r="U195">
            <v>24.761904761904763</v>
          </cell>
          <cell r="V195">
            <v>0</v>
          </cell>
          <cell r="W195">
            <v>0</v>
          </cell>
          <cell r="X195">
            <v>20</v>
          </cell>
          <cell r="Y195">
            <v>20</v>
          </cell>
          <cell r="Z195">
            <v>0</v>
          </cell>
          <cell r="AA195">
            <v>2600</v>
          </cell>
          <cell r="AB195">
            <v>0</v>
          </cell>
          <cell r="AC195">
            <v>1040</v>
          </cell>
          <cell r="AD195">
            <v>0.6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1040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105</v>
          </cell>
          <cell r="BJ195">
            <v>1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2600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</row>
        <row r="196">
          <cell r="H196" t="str">
            <v>C233738</v>
          </cell>
          <cell r="I196" t="str">
            <v xml:space="preserve">B787 WING REPAIR SOLUTION     </v>
          </cell>
          <cell r="J196" t="str">
            <v xml:space="preserve">                              </v>
          </cell>
          <cell r="K196" t="str">
            <v xml:space="preserve">ADHETEC SAS </v>
          </cell>
          <cell r="L196" t="str">
            <v>VGA</v>
          </cell>
          <cell r="M196">
            <v>45072</v>
          </cell>
          <cell r="N196">
            <v>45134</v>
          </cell>
          <cell r="O196">
            <v>5000</v>
          </cell>
          <cell r="P196">
            <v>0</v>
          </cell>
          <cell r="Q196">
            <v>1827.5</v>
          </cell>
          <cell r="R196">
            <v>1827.5</v>
          </cell>
          <cell r="S196">
            <v>0.63450000000000006</v>
          </cell>
          <cell r="T196">
            <v>0.59</v>
          </cell>
          <cell r="U196">
            <v>45.019999999999996</v>
          </cell>
          <cell r="V196">
            <v>42.5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5000</v>
          </cell>
          <cell r="AB196">
            <v>1827.5</v>
          </cell>
          <cell r="AC196">
            <v>0</v>
          </cell>
          <cell r="AD196">
            <v>0.63450000000000006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5000</v>
          </cell>
          <cell r="AZ196">
            <v>0</v>
          </cell>
          <cell r="BA196">
            <v>5000</v>
          </cell>
          <cell r="BB196">
            <v>1827.5</v>
          </cell>
          <cell r="BC196">
            <v>0</v>
          </cell>
          <cell r="BD196">
            <v>1</v>
          </cell>
          <cell r="BE196">
            <v>1</v>
          </cell>
          <cell r="BF196">
            <v>0</v>
          </cell>
          <cell r="BG196">
            <v>0</v>
          </cell>
          <cell r="BH196">
            <v>0</v>
          </cell>
          <cell r="BI196">
            <v>105</v>
          </cell>
          <cell r="BJ196">
            <v>1</v>
          </cell>
          <cell r="BK196">
            <v>0</v>
          </cell>
          <cell r="BL196">
            <v>0</v>
          </cell>
          <cell r="BM196">
            <v>0</v>
          </cell>
          <cell r="BN196">
            <v>5000</v>
          </cell>
          <cell r="BO196">
            <v>1827.5</v>
          </cell>
          <cell r="BP196">
            <v>3172.5</v>
          </cell>
          <cell r="BQ196">
            <v>5000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X196">
            <v>0</v>
          </cell>
          <cell r="BY196">
            <v>42.5</v>
          </cell>
          <cell r="BZ196">
            <v>0</v>
          </cell>
          <cell r="CA196">
            <v>0</v>
          </cell>
        </row>
        <row r="197">
          <cell r="H197" t="str">
            <v>C233763</v>
          </cell>
          <cell r="I197" t="str">
            <v xml:space="preserve">A380 FULL Y PROJECT           </v>
          </cell>
          <cell r="J197" t="str">
            <v xml:space="preserve">                              </v>
          </cell>
          <cell r="K197" t="str">
            <v>CHELSEA GREEN AIRCRAFT LTD</v>
          </cell>
          <cell r="L197" t="str">
            <v>JFA</v>
          </cell>
          <cell r="M197">
            <v>45078</v>
          </cell>
          <cell r="N197" t="str">
            <v/>
          </cell>
          <cell r="O197">
            <v>17710</v>
          </cell>
          <cell r="P197">
            <v>3400</v>
          </cell>
          <cell r="Q197">
            <v>6323.71</v>
          </cell>
          <cell r="R197">
            <v>6323.71</v>
          </cell>
          <cell r="S197">
            <v>0.64292998306041782</v>
          </cell>
          <cell r="T197">
            <v>0.59</v>
          </cell>
          <cell r="U197">
            <v>168.66666666666666</v>
          </cell>
          <cell r="V197">
            <v>146</v>
          </cell>
          <cell r="W197">
            <v>0</v>
          </cell>
          <cell r="X197">
            <v>0</v>
          </cell>
          <cell r="Y197">
            <v>3</v>
          </cell>
          <cell r="Z197">
            <v>13</v>
          </cell>
          <cell r="AA197">
            <v>17710</v>
          </cell>
          <cell r="AB197">
            <v>6278</v>
          </cell>
          <cell r="AC197">
            <v>0</v>
          </cell>
          <cell r="AD197">
            <v>0.64551101072840211</v>
          </cell>
          <cell r="AE197">
            <v>0</v>
          </cell>
          <cell r="AF197">
            <v>31.8</v>
          </cell>
          <cell r="AG197">
            <v>31.8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13.91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17710</v>
          </cell>
          <cell r="AZ197">
            <v>0</v>
          </cell>
          <cell r="BA197">
            <v>17710</v>
          </cell>
          <cell r="BB197">
            <v>6323.71</v>
          </cell>
          <cell r="BC197">
            <v>0</v>
          </cell>
          <cell r="BD197">
            <v>1</v>
          </cell>
          <cell r="BE197">
            <v>1</v>
          </cell>
          <cell r="BF197">
            <v>0</v>
          </cell>
          <cell r="BG197">
            <v>0</v>
          </cell>
          <cell r="BH197">
            <v>0</v>
          </cell>
          <cell r="BI197">
            <v>105</v>
          </cell>
          <cell r="BJ197">
            <v>1</v>
          </cell>
          <cell r="BK197">
            <v>0</v>
          </cell>
          <cell r="BL197">
            <v>403</v>
          </cell>
          <cell r="BM197">
            <v>2.6348191348672723E-2</v>
          </cell>
          <cell r="BN197">
            <v>17710</v>
          </cell>
          <cell r="BO197">
            <v>6323.71</v>
          </cell>
          <cell r="BP197">
            <v>11386.29</v>
          </cell>
          <cell r="BQ197">
            <v>17710</v>
          </cell>
          <cell r="BR197">
            <v>3777.0426181995063</v>
          </cell>
          <cell r="BS197">
            <v>559</v>
          </cell>
          <cell r="BT197">
            <v>3218.0426181995063</v>
          </cell>
          <cell r="BU197">
            <v>6400</v>
          </cell>
          <cell r="BV197">
            <v>0</v>
          </cell>
          <cell r="BX197">
            <v>0</v>
          </cell>
          <cell r="BY197">
            <v>146</v>
          </cell>
          <cell r="BZ197">
            <v>0</v>
          </cell>
          <cell r="CA197">
            <v>45.71</v>
          </cell>
        </row>
        <row r="198">
          <cell r="H198" t="str">
            <v>C233782</v>
          </cell>
          <cell r="I198" t="str">
            <v xml:space="preserve">REVISION AE18031SB            </v>
          </cell>
          <cell r="J198" t="str">
            <v xml:space="preserve">                              </v>
          </cell>
          <cell r="K198" t="str">
            <v xml:space="preserve">AIR CARAIBES ATLANTIQUE </v>
          </cell>
          <cell r="L198" t="str">
            <v>VGA</v>
          </cell>
          <cell r="M198">
            <v>45072</v>
          </cell>
          <cell r="N198">
            <v>45107</v>
          </cell>
          <cell r="O198">
            <v>4800</v>
          </cell>
          <cell r="P198">
            <v>0</v>
          </cell>
          <cell r="Q198">
            <v>1892</v>
          </cell>
          <cell r="R198">
            <v>1892</v>
          </cell>
          <cell r="S198">
            <v>0.60583333333333333</v>
          </cell>
          <cell r="T198">
            <v>0.59</v>
          </cell>
          <cell r="U198">
            <v>44</v>
          </cell>
          <cell r="V198">
            <v>44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4800</v>
          </cell>
          <cell r="AB198">
            <v>1892</v>
          </cell>
          <cell r="AC198">
            <v>0</v>
          </cell>
          <cell r="AD198">
            <v>0.60583333333333333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4800</v>
          </cell>
          <cell r="AZ198">
            <v>0</v>
          </cell>
          <cell r="BA198">
            <v>4800</v>
          </cell>
          <cell r="BB198">
            <v>1892</v>
          </cell>
          <cell r="BC198">
            <v>0</v>
          </cell>
          <cell r="BD198">
            <v>1</v>
          </cell>
          <cell r="BE198">
            <v>1</v>
          </cell>
          <cell r="BF198">
            <v>0</v>
          </cell>
          <cell r="BG198">
            <v>0</v>
          </cell>
          <cell r="BH198">
            <v>0</v>
          </cell>
          <cell r="BI198">
            <v>105</v>
          </cell>
          <cell r="BJ198">
            <v>1</v>
          </cell>
          <cell r="BK198">
            <v>0</v>
          </cell>
          <cell r="BL198">
            <v>0</v>
          </cell>
          <cell r="BM198">
            <v>0</v>
          </cell>
          <cell r="BN198">
            <v>4800</v>
          </cell>
          <cell r="BO198">
            <v>1892</v>
          </cell>
          <cell r="BP198">
            <v>2908</v>
          </cell>
          <cell r="BQ198">
            <v>4800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X198">
            <v>0</v>
          </cell>
          <cell r="BY198">
            <v>44</v>
          </cell>
          <cell r="BZ198">
            <v>0</v>
          </cell>
          <cell r="CA198">
            <v>0</v>
          </cell>
        </row>
        <row r="199">
          <cell r="H199" t="str">
            <v>C233776</v>
          </cell>
          <cell r="I199" t="str">
            <v xml:space="preserve">RTU STC 0²                    </v>
          </cell>
          <cell r="J199" t="str">
            <v xml:space="preserve">                              </v>
          </cell>
          <cell r="K199" t="str">
            <v xml:space="preserve">CORSAIR </v>
          </cell>
          <cell r="L199" t="str">
            <v>VGA</v>
          </cell>
          <cell r="M199">
            <v>45078</v>
          </cell>
          <cell r="N199">
            <v>45107</v>
          </cell>
          <cell r="O199">
            <v>7000</v>
          </cell>
          <cell r="P199">
            <v>0</v>
          </cell>
          <cell r="Q199">
            <v>2666</v>
          </cell>
          <cell r="R199">
            <v>2666</v>
          </cell>
          <cell r="S199">
            <v>0.61914285714285722</v>
          </cell>
          <cell r="T199">
            <v>0.59</v>
          </cell>
          <cell r="U199">
            <v>60.04</v>
          </cell>
          <cell r="V199">
            <v>62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7000</v>
          </cell>
          <cell r="AB199">
            <v>2666</v>
          </cell>
          <cell r="AC199">
            <v>0</v>
          </cell>
          <cell r="AD199">
            <v>0.61914285714285722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7000</v>
          </cell>
          <cell r="AZ199">
            <v>0</v>
          </cell>
          <cell r="BA199">
            <v>7000</v>
          </cell>
          <cell r="BB199">
            <v>2666</v>
          </cell>
          <cell r="BC199">
            <v>0</v>
          </cell>
          <cell r="BD199">
            <v>1</v>
          </cell>
          <cell r="BE199">
            <v>1</v>
          </cell>
          <cell r="BF199">
            <v>0</v>
          </cell>
          <cell r="BG199">
            <v>0</v>
          </cell>
          <cell r="BH199">
            <v>0</v>
          </cell>
          <cell r="BI199">
            <v>105</v>
          </cell>
          <cell r="BJ199">
            <v>1</v>
          </cell>
          <cell r="BK199">
            <v>0</v>
          </cell>
          <cell r="BL199">
            <v>0</v>
          </cell>
          <cell r="BM199">
            <v>0</v>
          </cell>
          <cell r="BN199">
            <v>7000</v>
          </cell>
          <cell r="BO199">
            <v>2666</v>
          </cell>
          <cell r="BP199">
            <v>4334</v>
          </cell>
          <cell r="BQ199">
            <v>7000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X199">
            <v>0</v>
          </cell>
          <cell r="BY199">
            <v>62</v>
          </cell>
          <cell r="BZ199">
            <v>0</v>
          </cell>
          <cell r="CA199">
            <v>0</v>
          </cell>
        </row>
        <row r="200">
          <cell r="H200" t="str">
            <v>C233788</v>
          </cell>
          <cell r="I200" t="str">
            <v xml:space="preserve">49331-01                      </v>
          </cell>
          <cell r="J200" t="str">
            <v xml:space="preserve">                              </v>
          </cell>
          <cell r="K200" t="str">
            <v xml:space="preserve">DAHER AEROSPACE MERPINS </v>
          </cell>
          <cell r="L200" t="str">
            <v>JFA</v>
          </cell>
          <cell r="M200">
            <v>45091</v>
          </cell>
          <cell r="N200" t="str">
            <v/>
          </cell>
          <cell r="O200">
            <v>1258.8399999999999</v>
          </cell>
          <cell r="P200">
            <v>138.83999999999992</v>
          </cell>
          <cell r="Q200">
            <v>762.58302400000002</v>
          </cell>
          <cell r="R200">
            <v>762.58</v>
          </cell>
          <cell r="S200">
            <v>0.36005924184169547</v>
          </cell>
          <cell r="T200">
            <v>0.33011979282514059</v>
          </cell>
          <cell r="U200">
            <v>4</v>
          </cell>
          <cell r="V200">
            <v>4</v>
          </cell>
          <cell r="W200">
            <v>0</v>
          </cell>
          <cell r="X200">
            <v>0</v>
          </cell>
          <cell r="Y200">
            <v>1</v>
          </cell>
          <cell r="Z200">
            <v>1</v>
          </cell>
          <cell r="AA200">
            <v>420</v>
          </cell>
          <cell r="AB200">
            <v>172</v>
          </cell>
          <cell r="AC200">
            <v>0</v>
          </cell>
          <cell r="AD200">
            <v>0.59047619047619049</v>
          </cell>
          <cell r="AE200">
            <v>838.83999999999992</v>
          </cell>
          <cell r="AF200">
            <v>590.58302400000002</v>
          </cell>
          <cell r="AG200">
            <v>590.58000000000004</v>
          </cell>
          <cell r="AH200">
            <v>3.0239999999821521E-3</v>
          </cell>
          <cell r="AI200">
            <v>0</v>
          </cell>
          <cell r="AJ200">
            <v>43</v>
          </cell>
          <cell r="AK200">
            <v>0</v>
          </cell>
          <cell r="AL200">
            <v>72.850000000000023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0.24469145009775395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1191.641554750538</v>
          </cell>
          <cell r="BB200">
            <v>762.58</v>
          </cell>
          <cell r="BC200">
            <v>43.003023999999982</v>
          </cell>
          <cell r="BD200">
            <v>0.94661875595829337</v>
          </cell>
          <cell r="BE200">
            <v>0</v>
          </cell>
          <cell r="BF200">
            <v>0</v>
          </cell>
          <cell r="BG200">
            <v>1191.641554750538</v>
          </cell>
          <cell r="BH200">
            <v>0</v>
          </cell>
          <cell r="BI200">
            <v>105</v>
          </cell>
          <cell r="BJ200">
            <v>1</v>
          </cell>
          <cell r="BK200">
            <v>0</v>
          </cell>
          <cell r="BL200">
            <v>106.85000000000002</v>
          </cell>
          <cell r="BM200">
            <v>0.41068268289893262</v>
          </cell>
          <cell r="BN200">
            <v>1191.641554750538</v>
          </cell>
          <cell r="BO200">
            <v>762.58</v>
          </cell>
          <cell r="BP200">
            <v>429.06155475053799</v>
          </cell>
          <cell r="BQ200">
            <v>0</v>
          </cell>
          <cell r="BR200">
            <v>591.39315292405399</v>
          </cell>
          <cell r="BS200">
            <v>115.85000000000002</v>
          </cell>
          <cell r="BT200">
            <v>475.54315292405397</v>
          </cell>
          <cell r="BU200">
            <v>0</v>
          </cell>
          <cell r="BV200">
            <v>67.198445249461884</v>
          </cell>
          <cell r="BX200">
            <v>0</v>
          </cell>
          <cell r="BY200">
            <v>4</v>
          </cell>
          <cell r="BZ200">
            <v>0</v>
          </cell>
          <cell r="CA200">
            <v>590.58000000000004</v>
          </cell>
        </row>
        <row r="201">
          <cell r="H201" t="str">
            <v>C233785</v>
          </cell>
          <cell r="I201" t="str">
            <v xml:space="preserve">AJOUT D'APPLICABILITÉ         </v>
          </cell>
          <cell r="J201" t="str">
            <v xml:space="preserve">14216                         </v>
          </cell>
          <cell r="K201" t="str">
            <v>ROTOR TEAM</v>
          </cell>
          <cell r="L201" t="str">
            <v>LJA</v>
          </cell>
          <cell r="M201">
            <v>45082</v>
          </cell>
          <cell r="N201">
            <v>45120</v>
          </cell>
          <cell r="O201">
            <v>700</v>
          </cell>
          <cell r="P201">
            <v>0</v>
          </cell>
          <cell r="Q201">
            <v>258</v>
          </cell>
          <cell r="R201">
            <v>258</v>
          </cell>
          <cell r="S201">
            <v>0.63142857142857145</v>
          </cell>
          <cell r="T201">
            <v>0.59</v>
          </cell>
          <cell r="U201">
            <v>6</v>
          </cell>
          <cell r="V201">
            <v>6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700</v>
          </cell>
          <cell r="AB201">
            <v>258</v>
          </cell>
          <cell r="AC201">
            <v>0</v>
          </cell>
          <cell r="AD201">
            <v>0.63142857142857145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700</v>
          </cell>
          <cell r="AZ201">
            <v>0</v>
          </cell>
          <cell r="BA201">
            <v>700</v>
          </cell>
          <cell r="BB201">
            <v>258</v>
          </cell>
          <cell r="BC201">
            <v>0</v>
          </cell>
          <cell r="BD201">
            <v>1</v>
          </cell>
          <cell r="BE201">
            <v>1</v>
          </cell>
          <cell r="BF201">
            <v>0</v>
          </cell>
          <cell r="BG201">
            <v>0</v>
          </cell>
          <cell r="BH201">
            <v>0</v>
          </cell>
          <cell r="BI201">
            <v>105</v>
          </cell>
          <cell r="BJ201">
            <v>1</v>
          </cell>
          <cell r="BK201">
            <v>0</v>
          </cell>
          <cell r="BL201">
            <v>0</v>
          </cell>
          <cell r="BM201">
            <v>0</v>
          </cell>
          <cell r="BN201">
            <v>700</v>
          </cell>
          <cell r="BO201">
            <v>258</v>
          </cell>
          <cell r="BP201">
            <v>442</v>
          </cell>
          <cell r="BQ201">
            <v>700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X201">
            <v>0</v>
          </cell>
          <cell r="BY201">
            <v>6</v>
          </cell>
          <cell r="BZ201">
            <v>0</v>
          </cell>
          <cell r="CA201">
            <v>0</v>
          </cell>
        </row>
        <row r="202">
          <cell r="H202" t="str">
            <v>C233787</v>
          </cell>
          <cell r="I202" t="str">
            <v xml:space="preserve">MODIFICATION DOSSIER AE23037  </v>
          </cell>
          <cell r="J202">
            <v>23037</v>
          </cell>
          <cell r="K202" t="str">
            <v xml:space="preserve">ROTORTRADE SASU </v>
          </cell>
          <cell r="L202" t="str">
            <v>LJA</v>
          </cell>
          <cell r="M202">
            <v>45082</v>
          </cell>
          <cell r="N202">
            <v>45107</v>
          </cell>
          <cell r="O202">
            <v>1450</v>
          </cell>
          <cell r="P202">
            <v>0</v>
          </cell>
          <cell r="Q202">
            <v>525</v>
          </cell>
          <cell r="R202">
            <v>525</v>
          </cell>
          <cell r="S202">
            <v>0.63793103448275867</v>
          </cell>
          <cell r="T202">
            <v>0.59</v>
          </cell>
          <cell r="U202">
            <v>14</v>
          </cell>
          <cell r="V202">
            <v>11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1450</v>
          </cell>
          <cell r="AB202">
            <v>525</v>
          </cell>
          <cell r="AC202">
            <v>0</v>
          </cell>
          <cell r="AD202">
            <v>0.63793103448275867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1450</v>
          </cell>
          <cell r="AZ202">
            <v>0</v>
          </cell>
          <cell r="BA202">
            <v>1450</v>
          </cell>
          <cell r="BB202">
            <v>525</v>
          </cell>
          <cell r="BC202">
            <v>0</v>
          </cell>
          <cell r="BD202">
            <v>1</v>
          </cell>
          <cell r="BE202">
            <v>1</v>
          </cell>
          <cell r="BF202">
            <v>0</v>
          </cell>
          <cell r="BG202">
            <v>0</v>
          </cell>
          <cell r="BH202">
            <v>0</v>
          </cell>
          <cell r="BI202">
            <v>105</v>
          </cell>
          <cell r="BJ202">
            <v>1</v>
          </cell>
          <cell r="BK202">
            <v>0</v>
          </cell>
          <cell r="BL202">
            <v>0</v>
          </cell>
          <cell r="BM202">
            <v>0</v>
          </cell>
          <cell r="BN202">
            <v>1450</v>
          </cell>
          <cell r="BO202">
            <v>525</v>
          </cell>
          <cell r="BP202">
            <v>925</v>
          </cell>
          <cell r="BQ202">
            <v>1450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X202">
            <v>0</v>
          </cell>
          <cell r="BY202">
            <v>11</v>
          </cell>
          <cell r="BZ202">
            <v>1</v>
          </cell>
          <cell r="CA202">
            <v>0</v>
          </cell>
        </row>
        <row r="203">
          <cell r="H203" t="str">
            <v>C233704</v>
          </cell>
          <cell r="I203" t="str">
            <v xml:space="preserve">FRAIS EASA                    </v>
          </cell>
          <cell r="J203" t="str">
            <v xml:space="preserve">                              </v>
          </cell>
          <cell r="K203" t="str">
            <v>SAINT GOBAIN SULLY</v>
          </cell>
          <cell r="L203" t="str">
            <v>PDA</v>
          </cell>
          <cell r="M203">
            <v>45077</v>
          </cell>
          <cell r="N203">
            <v>45107</v>
          </cell>
          <cell r="O203">
            <v>16611</v>
          </cell>
          <cell r="P203">
            <v>0</v>
          </cell>
          <cell r="Q203">
            <v>0</v>
          </cell>
          <cell r="R203">
            <v>0</v>
          </cell>
          <cell r="S203">
            <v>1</v>
          </cell>
          <cell r="T203">
            <v>0.2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16611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1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16611</v>
          </cell>
          <cell r="AZ203">
            <v>0</v>
          </cell>
          <cell r="BA203">
            <v>16611</v>
          </cell>
          <cell r="BB203">
            <v>0</v>
          </cell>
          <cell r="BC203">
            <v>0</v>
          </cell>
          <cell r="BD203">
            <v>1</v>
          </cell>
          <cell r="BE203">
            <v>1</v>
          </cell>
          <cell r="BF203">
            <v>0</v>
          </cell>
          <cell r="BG203">
            <v>0</v>
          </cell>
          <cell r="BH203">
            <v>0</v>
          </cell>
          <cell r="BI203">
            <v>105</v>
          </cell>
          <cell r="BJ203">
            <v>1</v>
          </cell>
          <cell r="BK203">
            <v>0</v>
          </cell>
          <cell r="BL203">
            <v>0</v>
          </cell>
          <cell r="BM203">
            <v>0</v>
          </cell>
          <cell r="BN203">
            <v>16611</v>
          </cell>
          <cell r="BO203">
            <v>0</v>
          </cell>
          <cell r="BP203">
            <v>16611</v>
          </cell>
          <cell r="BQ203">
            <v>16611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</row>
        <row r="204">
          <cell r="H204" t="str">
            <v>C233795</v>
          </cell>
          <cell r="I204" t="str">
            <v xml:space="preserve">622-9210-501                  </v>
          </cell>
          <cell r="J204" t="str">
            <v xml:space="preserve">                              </v>
          </cell>
          <cell r="K204" t="str">
            <v xml:space="preserve">SARAH AIRWAYS </v>
          </cell>
          <cell r="L204" t="str">
            <v>JFA</v>
          </cell>
          <cell r="M204">
            <v>45082</v>
          </cell>
          <cell r="N204">
            <v>45199</v>
          </cell>
          <cell r="O204">
            <v>0</v>
          </cell>
          <cell r="P204">
            <v>-98293</v>
          </cell>
          <cell r="Q204">
            <v>903</v>
          </cell>
          <cell r="R204">
            <v>903</v>
          </cell>
          <cell r="S204">
            <v>0</v>
          </cell>
          <cell r="T204">
            <v>0</v>
          </cell>
          <cell r="U204">
            <v>404.04</v>
          </cell>
          <cell r="V204">
            <v>21</v>
          </cell>
          <cell r="W204">
            <v>0</v>
          </cell>
          <cell r="X204">
            <v>0</v>
          </cell>
          <cell r="Y204">
            <v>383</v>
          </cell>
          <cell r="Z204">
            <v>0</v>
          </cell>
          <cell r="AA204">
            <v>0</v>
          </cell>
          <cell r="AB204">
            <v>903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76793</v>
          </cell>
          <cell r="AZ204">
            <v>0</v>
          </cell>
          <cell r="BA204">
            <v>0</v>
          </cell>
          <cell r="BB204">
            <v>903</v>
          </cell>
          <cell r="BC204">
            <v>0</v>
          </cell>
          <cell r="BD204">
            <v>1</v>
          </cell>
          <cell r="BE204">
            <v>0</v>
          </cell>
          <cell r="BF204">
            <v>-76793</v>
          </cell>
          <cell r="BG204">
            <v>0</v>
          </cell>
          <cell r="BH204">
            <v>0</v>
          </cell>
          <cell r="BI204">
            <v>105</v>
          </cell>
          <cell r="BJ204">
            <v>0</v>
          </cell>
          <cell r="BK204">
            <v>0</v>
          </cell>
          <cell r="BL204">
            <v>-64150.400000000001</v>
          </cell>
          <cell r="BM204">
            <v>0.98611909600420578</v>
          </cell>
          <cell r="BN204">
            <v>0</v>
          </cell>
          <cell r="BO204">
            <v>903</v>
          </cell>
          <cell r="BP204">
            <v>-903</v>
          </cell>
          <cell r="BQ204">
            <v>76793</v>
          </cell>
          <cell r="BR204">
            <v>-1364.3956964586018</v>
          </cell>
          <cell r="BS204">
            <v>0</v>
          </cell>
          <cell r="BT204">
            <v>-1364.3956964586018</v>
          </cell>
          <cell r="BU204">
            <v>0</v>
          </cell>
          <cell r="BV204">
            <v>0</v>
          </cell>
          <cell r="BX204">
            <v>0</v>
          </cell>
          <cell r="BY204">
            <v>21</v>
          </cell>
          <cell r="BZ204">
            <v>0</v>
          </cell>
          <cell r="CA204">
            <v>0</v>
          </cell>
        </row>
        <row r="205">
          <cell r="H205" t="str">
            <v>C233792</v>
          </cell>
          <cell r="I205" t="str">
            <v>AJOUT D'APPLICABILITÉ S/N 9229</v>
          </cell>
          <cell r="J205" t="str">
            <v xml:space="preserve">17174                         </v>
          </cell>
          <cell r="K205" t="str">
            <v>BABCOCK MCS FRANCE</v>
          </cell>
          <cell r="L205" t="str">
            <v>LJA</v>
          </cell>
          <cell r="M205">
            <v>45085</v>
          </cell>
          <cell r="N205">
            <v>45120</v>
          </cell>
          <cell r="O205">
            <v>9112.14</v>
          </cell>
          <cell r="P205">
            <v>0</v>
          </cell>
          <cell r="Q205">
            <v>5952</v>
          </cell>
          <cell r="R205">
            <v>5952</v>
          </cell>
          <cell r="S205">
            <v>0.34680547050418453</v>
          </cell>
          <cell r="T205">
            <v>0.27318807656598781</v>
          </cell>
          <cell r="U205">
            <v>8.5</v>
          </cell>
          <cell r="V205">
            <v>8.5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1710</v>
          </cell>
          <cell r="AB205">
            <v>365.5</v>
          </cell>
          <cell r="AC205">
            <v>0</v>
          </cell>
          <cell r="AD205">
            <v>0.78625730994152043</v>
          </cell>
          <cell r="AE205">
            <v>7402.14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5586.5</v>
          </cell>
          <cell r="AN205">
            <v>5586.5</v>
          </cell>
          <cell r="AO205">
            <v>0</v>
          </cell>
          <cell r="AP205">
            <v>0</v>
          </cell>
          <cell r="AQ205">
            <v>0</v>
          </cell>
          <cell r="AR205">
            <v>0.24528582274855648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9112.14</v>
          </cell>
          <cell r="AZ205">
            <v>0</v>
          </cell>
          <cell r="BA205">
            <v>9112.14</v>
          </cell>
          <cell r="BB205">
            <v>5952</v>
          </cell>
          <cell r="BC205">
            <v>0</v>
          </cell>
          <cell r="BD205">
            <v>1</v>
          </cell>
          <cell r="BE205">
            <v>1</v>
          </cell>
          <cell r="BF205">
            <v>0</v>
          </cell>
          <cell r="BG205">
            <v>0</v>
          </cell>
          <cell r="BH205">
            <v>0</v>
          </cell>
          <cell r="BI205">
            <v>105</v>
          </cell>
          <cell r="BJ205">
            <v>1</v>
          </cell>
          <cell r="BK205">
            <v>-9.0949470177292824E-13</v>
          </cell>
          <cell r="BL205">
            <v>0</v>
          </cell>
          <cell r="BM205">
            <v>0</v>
          </cell>
          <cell r="BN205">
            <v>9112.14</v>
          </cell>
          <cell r="BO205">
            <v>5952</v>
          </cell>
          <cell r="BP205">
            <v>3160.1399999999994</v>
          </cell>
          <cell r="BQ205">
            <v>9112.14</v>
          </cell>
          <cell r="BR205">
            <v>0</v>
          </cell>
          <cell r="BS205">
            <v>0</v>
          </cell>
          <cell r="BT205">
            <v>0</v>
          </cell>
          <cell r="BU205">
            <v>8212.14</v>
          </cell>
          <cell r="BV205">
            <v>0</v>
          </cell>
          <cell r="BX205">
            <v>0</v>
          </cell>
          <cell r="BY205">
            <v>8.5</v>
          </cell>
          <cell r="BZ205">
            <v>0</v>
          </cell>
          <cell r="CA205">
            <v>0</v>
          </cell>
        </row>
        <row r="206">
          <cell r="H206" t="str">
            <v>C233793</v>
          </cell>
          <cell r="I206" t="str">
            <v>AJOUT D'APPLICABILITÉ S/N 9229</v>
          </cell>
          <cell r="J206" t="str">
            <v xml:space="preserve">17175                         </v>
          </cell>
          <cell r="K206" t="str">
            <v>BABCOCK MCS FRANCE</v>
          </cell>
          <cell r="L206" t="str">
            <v>LJA</v>
          </cell>
          <cell r="M206">
            <v>45085</v>
          </cell>
          <cell r="N206">
            <v>45134</v>
          </cell>
          <cell r="O206">
            <v>900</v>
          </cell>
          <cell r="P206">
            <v>0</v>
          </cell>
          <cell r="Q206">
            <v>365.5</v>
          </cell>
          <cell r="R206">
            <v>365.5</v>
          </cell>
          <cell r="S206">
            <v>0.59388888888888891</v>
          </cell>
          <cell r="T206">
            <v>0.59</v>
          </cell>
          <cell r="U206">
            <v>8.5</v>
          </cell>
          <cell r="V206">
            <v>8.5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900</v>
          </cell>
          <cell r="AB206">
            <v>365.5</v>
          </cell>
          <cell r="AC206">
            <v>0</v>
          </cell>
          <cell r="AD206">
            <v>0.59388888888888891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900</v>
          </cell>
          <cell r="AZ206">
            <v>0</v>
          </cell>
          <cell r="BA206">
            <v>900</v>
          </cell>
          <cell r="BB206">
            <v>365.5</v>
          </cell>
          <cell r="BC206">
            <v>0</v>
          </cell>
          <cell r="BD206">
            <v>1</v>
          </cell>
          <cell r="BE206">
            <v>1</v>
          </cell>
          <cell r="BF206">
            <v>0</v>
          </cell>
          <cell r="BG206">
            <v>0</v>
          </cell>
          <cell r="BH206">
            <v>0</v>
          </cell>
          <cell r="BI206">
            <v>105</v>
          </cell>
          <cell r="BJ206">
            <v>1</v>
          </cell>
          <cell r="BK206">
            <v>0</v>
          </cell>
          <cell r="BL206">
            <v>0</v>
          </cell>
          <cell r="BM206">
            <v>0</v>
          </cell>
          <cell r="BN206">
            <v>900</v>
          </cell>
          <cell r="BO206">
            <v>365.5</v>
          </cell>
          <cell r="BP206">
            <v>534.5</v>
          </cell>
          <cell r="BQ206">
            <v>900</v>
          </cell>
          <cell r="BR206">
            <v>0</v>
          </cell>
          <cell r="BS206">
            <v>0</v>
          </cell>
          <cell r="BT206">
            <v>0</v>
          </cell>
          <cell r="BU206">
            <v>900</v>
          </cell>
          <cell r="BV206">
            <v>0</v>
          </cell>
          <cell r="BX206">
            <v>0</v>
          </cell>
          <cell r="BY206">
            <v>8.5</v>
          </cell>
          <cell r="BZ206">
            <v>0</v>
          </cell>
          <cell r="CA206">
            <v>0</v>
          </cell>
        </row>
        <row r="207">
          <cell r="H207" t="str">
            <v>C233796</v>
          </cell>
          <cell r="I207" t="str">
            <v xml:space="preserve">INSTALLATION USB SUR AS332    </v>
          </cell>
          <cell r="J207" t="str">
            <v xml:space="preserve">                              </v>
          </cell>
          <cell r="K207" t="str">
            <v>SAF HELICOPTERES</v>
          </cell>
          <cell r="L207" t="str">
            <v>LJA</v>
          </cell>
          <cell r="M207">
            <v>45090</v>
          </cell>
          <cell r="N207">
            <v>45120</v>
          </cell>
          <cell r="O207">
            <v>4200</v>
          </cell>
          <cell r="P207">
            <v>0</v>
          </cell>
          <cell r="Q207">
            <v>1763</v>
          </cell>
          <cell r="R207">
            <v>1763</v>
          </cell>
          <cell r="S207">
            <v>0.58023809523809522</v>
          </cell>
          <cell r="T207">
            <v>0.59</v>
          </cell>
          <cell r="U207">
            <v>40</v>
          </cell>
          <cell r="V207">
            <v>41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4200</v>
          </cell>
          <cell r="AB207">
            <v>1763</v>
          </cell>
          <cell r="AC207">
            <v>0</v>
          </cell>
          <cell r="AD207">
            <v>0.58023809523809522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4200</v>
          </cell>
          <cell r="AZ207">
            <v>0</v>
          </cell>
          <cell r="BA207">
            <v>4200</v>
          </cell>
          <cell r="BB207">
            <v>1763</v>
          </cell>
          <cell r="BC207">
            <v>0</v>
          </cell>
          <cell r="BD207">
            <v>1</v>
          </cell>
          <cell r="BE207">
            <v>1</v>
          </cell>
          <cell r="BF207">
            <v>0</v>
          </cell>
          <cell r="BG207">
            <v>0</v>
          </cell>
          <cell r="BH207">
            <v>0</v>
          </cell>
          <cell r="BI207">
            <v>105</v>
          </cell>
          <cell r="BJ207">
            <v>1</v>
          </cell>
          <cell r="BK207">
            <v>0</v>
          </cell>
          <cell r="BL207">
            <v>0</v>
          </cell>
          <cell r="BM207">
            <v>0</v>
          </cell>
          <cell r="BN207">
            <v>4200</v>
          </cell>
          <cell r="BO207">
            <v>1763</v>
          </cell>
          <cell r="BP207">
            <v>2437</v>
          </cell>
          <cell r="BQ207">
            <v>4200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X207">
            <v>0</v>
          </cell>
          <cell r="BY207">
            <v>41</v>
          </cell>
          <cell r="BZ207">
            <v>0</v>
          </cell>
          <cell r="CA207">
            <v>0</v>
          </cell>
        </row>
        <row r="208">
          <cell r="H208" t="str">
            <v>C233762</v>
          </cell>
          <cell r="I208" t="str">
            <v xml:space="preserve">DEVELOPMENT OF CDSS A321      </v>
          </cell>
          <cell r="J208" t="str">
            <v xml:space="preserve">                              </v>
          </cell>
          <cell r="K208" t="str">
            <v xml:space="preserve">REGIO LEASE </v>
          </cell>
          <cell r="L208" t="str">
            <v>VGA</v>
          </cell>
          <cell r="M208">
            <v>45090</v>
          </cell>
          <cell r="N208">
            <v>45199</v>
          </cell>
          <cell r="O208">
            <v>47100</v>
          </cell>
          <cell r="P208">
            <v>0</v>
          </cell>
          <cell r="Q208">
            <v>32064.521631000003</v>
          </cell>
          <cell r="R208">
            <v>32064.52</v>
          </cell>
          <cell r="S208">
            <v>0.31922459382165602</v>
          </cell>
          <cell r="T208">
            <v>0.26292993630573247</v>
          </cell>
          <cell r="U208">
            <v>68</v>
          </cell>
          <cell r="V208">
            <v>34</v>
          </cell>
          <cell r="W208">
            <v>0</v>
          </cell>
          <cell r="X208">
            <v>0</v>
          </cell>
          <cell r="Y208">
            <v>23</v>
          </cell>
          <cell r="Z208">
            <v>14</v>
          </cell>
          <cell r="AA208">
            <v>7600</v>
          </cell>
          <cell r="AB208">
            <v>1462</v>
          </cell>
          <cell r="AC208">
            <v>0</v>
          </cell>
          <cell r="AD208">
            <v>0.80763157894736848</v>
          </cell>
          <cell r="AE208">
            <v>39500</v>
          </cell>
          <cell r="AF208">
            <v>30602.521631000003</v>
          </cell>
          <cell r="AG208">
            <v>30602.52</v>
          </cell>
          <cell r="AH208">
            <v>1.631000002817018E-3</v>
          </cell>
          <cell r="AI208">
            <v>0</v>
          </cell>
          <cell r="AJ208">
            <v>0</v>
          </cell>
          <cell r="AK208">
            <v>0</v>
          </cell>
          <cell r="AL208">
            <v>474.13952100000824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0.22525261693670873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47100</v>
          </cell>
          <cell r="AZ208">
            <v>0</v>
          </cell>
          <cell r="BA208">
            <v>47099.997604202516</v>
          </cell>
          <cell r="BB208">
            <v>32064.52</v>
          </cell>
          <cell r="BC208">
            <v>1.631000002817018E-3</v>
          </cell>
          <cell r="BD208">
            <v>0.99999994913381141</v>
          </cell>
          <cell r="BE208">
            <v>1</v>
          </cell>
          <cell r="BF208">
            <v>-2.3957974828014983E-3</v>
          </cell>
          <cell r="BG208">
            <v>0</v>
          </cell>
          <cell r="BH208">
            <v>0</v>
          </cell>
          <cell r="BI208">
            <v>105</v>
          </cell>
          <cell r="BJ208">
            <v>1</v>
          </cell>
          <cell r="BK208">
            <v>0</v>
          </cell>
          <cell r="BL208">
            <v>-119.86047899999176</v>
          </cell>
          <cell r="BM208">
            <v>3.7160895890915202E-2</v>
          </cell>
          <cell r="BN208">
            <v>47099.997604202516</v>
          </cell>
          <cell r="BO208">
            <v>32064.52</v>
          </cell>
          <cell r="BP208">
            <v>15035.477604202515</v>
          </cell>
          <cell r="BQ208">
            <v>47100</v>
          </cell>
          <cell r="BR208">
            <v>1750.2781964621026</v>
          </cell>
          <cell r="BS208">
            <v>1076.1399999999994</v>
          </cell>
          <cell r="BT208">
            <v>674.13819646210322</v>
          </cell>
          <cell r="BU208">
            <v>0</v>
          </cell>
          <cell r="BV208">
            <v>2.3957974844961427E-3</v>
          </cell>
          <cell r="BX208">
            <v>0</v>
          </cell>
          <cell r="BY208">
            <v>34</v>
          </cell>
          <cell r="BZ208">
            <v>0</v>
          </cell>
          <cell r="CA208">
            <v>30602.52</v>
          </cell>
        </row>
        <row r="209">
          <cell r="H209" t="str">
            <v>C233779</v>
          </cell>
          <cell r="I209" t="str">
            <v>SERVICE BULLETIN FOR OVEN INST</v>
          </cell>
          <cell r="J209" t="str">
            <v xml:space="preserve">                              </v>
          </cell>
          <cell r="K209" t="str">
            <v>FTL AIRLINES</v>
          </cell>
          <cell r="L209" t="str">
            <v>VGA</v>
          </cell>
          <cell r="M209">
            <v>45090</v>
          </cell>
          <cell r="N209" t="str">
            <v/>
          </cell>
          <cell r="O209">
            <v>22320</v>
          </cell>
          <cell r="P209">
            <v>0</v>
          </cell>
          <cell r="Q209">
            <v>8384.3208090000007</v>
          </cell>
          <cell r="R209">
            <v>8384.32</v>
          </cell>
          <cell r="S209">
            <v>0.51136555515232973</v>
          </cell>
          <cell r="T209">
            <v>0.45720430107526877</v>
          </cell>
          <cell r="U209">
            <v>130</v>
          </cell>
          <cell r="V209">
            <v>81.5</v>
          </cell>
          <cell r="W209">
            <v>0</v>
          </cell>
          <cell r="X209">
            <v>48.5</v>
          </cell>
          <cell r="Y209">
            <v>116</v>
          </cell>
          <cell r="Z209">
            <v>67.5</v>
          </cell>
          <cell r="AA209">
            <v>14720</v>
          </cell>
          <cell r="AB209">
            <v>3504.5</v>
          </cell>
          <cell r="AC209">
            <v>2522</v>
          </cell>
          <cell r="AD209">
            <v>0.59059103260869561</v>
          </cell>
          <cell r="AE209">
            <v>7600</v>
          </cell>
          <cell r="AF209">
            <v>4879.8208090000007</v>
          </cell>
          <cell r="AG209">
            <v>4879.82</v>
          </cell>
          <cell r="AH209">
            <v>8.0900000102701597E-4</v>
          </cell>
          <cell r="AI209">
            <v>0</v>
          </cell>
          <cell r="AJ209">
            <v>0</v>
          </cell>
          <cell r="AK209">
            <v>600</v>
          </cell>
          <cell r="AL209">
            <v>768.73000000000047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0.35791831460526302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14960</v>
          </cell>
          <cell r="AZ209">
            <v>0</v>
          </cell>
          <cell r="BA209">
            <v>17158.675751182003</v>
          </cell>
          <cell r="BB209">
            <v>8384.32</v>
          </cell>
          <cell r="BC209">
            <v>2522.000809000001</v>
          </cell>
          <cell r="BD209">
            <v>0.76875787415689978</v>
          </cell>
          <cell r="BE209">
            <v>0.67025089605734767</v>
          </cell>
          <cell r="BF209">
            <v>0</v>
          </cell>
          <cell r="BG209">
            <v>2198.6757511820033</v>
          </cell>
          <cell r="BH209">
            <v>0</v>
          </cell>
          <cell r="BI209">
            <v>105</v>
          </cell>
          <cell r="BJ209">
            <v>1</v>
          </cell>
          <cell r="BK209">
            <v>0</v>
          </cell>
          <cell r="BL209">
            <v>-438.76999999999953</v>
          </cell>
          <cell r="BM209">
            <v>0.35332796889240153</v>
          </cell>
          <cell r="BN209">
            <v>17158.675751182003</v>
          </cell>
          <cell r="BO209">
            <v>8384.32</v>
          </cell>
          <cell r="BP209">
            <v>8774.3557511820036</v>
          </cell>
          <cell r="BQ209">
            <v>14960</v>
          </cell>
          <cell r="BR209">
            <v>7886.2802656784024</v>
          </cell>
          <cell r="BS209">
            <v>3671.2299999999996</v>
          </cell>
          <cell r="BT209">
            <v>4215.0502656784029</v>
          </cell>
          <cell r="BU209">
            <v>0</v>
          </cell>
          <cell r="BV209">
            <v>5161.3242488179967</v>
          </cell>
          <cell r="BX209">
            <v>0</v>
          </cell>
          <cell r="BY209">
            <v>81.5</v>
          </cell>
          <cell r="BZ209">
            <v>0</v>
          </cell>
          <cell r="CA209">
            <v>4879.82</v>
          </cell>
        </row>
        <row r="210">
          <cell r="H210" t="str">
            <v>C213126</v>
          </cell>
          <cell r="I210" t="str">
            <v>Camera treuil H160GN</v>
          </cell>
          <cell r="J210" t="str">
            <v xml:space="preserve">                              </v>
          </cell>
          <cell r="K210" t="str">
            <v xml:space="preserve">BABCOCK INTERNATIONAL FRANCE AVIATION </v>
          </cell>
          <cell r="L210" t="str">
            <v>LUD</v>
          </cell>
          <cell r="M210">
            <v>45085</v>
          </cell>
          <cell r="N210">
            <v>45159</v>
          </cell>
          <cell r="O210">
            <v>45900.05</v>
          </cell>
          <cell r="P210">
            <v>0</v>
          </cell>
          <cell r="Q210">
            <v>25898.949999999997</v>
          </cell>
          <cell r="R210">
            <v>13736.727999999999</v>
          </cell>
          <cell r="S210">
            <v>0.43462044158993296</v>
          </cell>
          <cell r="T210">
            <v>0.24248361385227249</v>
          </cell>
          <cell r="U210">
            <v>50</v>
          </cell>
          <cell r="V210">
            <v>49</v>
          </cell>
          <cell r="W210">
            <v>0</v>
          </cell>
          <cell r="X210">
            <v>1</v>
          </cell>
          <cell r="Y210">
            <v>8</v>
          </cell>
          <cell r="Z210">
            <v>7</v>
          </cell>
          <cell r="AA210">
            <v>5000</v>
          </cell>
          <cell r="AB210">
            <v>2107</v>
          </cell>
          <cell r="AC210">
            <v>52</v>
          </cell>
          <cell r="AD210">
            <v>0.56820000000000004</v>
          </cell>
          <cell r="AE210">
            <v>40900.050000000003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23791.949999999997</v>
          </cell>
          <cell r="AN210">
            <v>11629.727999999999</v>
          </cell>
          <cell r="AO210">
            <v>0</v>
          </cell>
          <cell r="AP210">
            <v>0</v>
          </cell>
          <cell r="AQ210">
            <v>0</v>
          </cell>
          <cell r="AR210">
            <v>0.4182904421877236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25450.04</v>
          </cell>
          <cell r="AZ210">
            <v>0</v>
          </cell>
          <cell r="BA210">
            <v>24296.470920579017</v>
          </cell>
          <cell r="BB210">
            <v>13736.727999999999</v>
          </cell>
          <cell r="BC210">
            <v>12214.221999999998</v>
          </cell>
          <cell r="BD210">
            <v>0.52933430182710073</v>
          </cell>
          <cell r="BE210">
            <v>0.55446649840250717</v>
          </cell>
          <cell r="BF210">
            <v>-1153.5690794209845</v>
          </cell>
          <cell r="BG210">
            <v>0</v>
          </cell>
          <cell r="BH210">
            <v>0</v>
          </cell>
          <cell r="BI210">
            <v>105</v>
          </cell>
          <cell r="BJ210">
            <v>1</v>
          </cell>
          <cell r="BK210">
            <v>0</v>
          </cell>
          <cell r="BL210">
            <v>-63</v>
          </cell>
          <cell r="BM210">
            <v>1.2852644869968066E-2</v>
          </cell>
          <cell r="BN210">
            <v>24296.470920579017</v>
          </cell>
          <cell r="BO210">
            <v>13736.727999999999</v>
          </cell>
          <cell r="BP210">
            <v>10559.742920579018</v>
          </cell>
          <cell r="BQ210">
            <v>25450.04</v>
          </cell>
          <cell r="BR210">
            <v>589.93704216377955</v>
          </cell>
          <cell r="BS210">
            <v>301</v>
          </cell>
          <cell r="BT210">
            <v>288.93704216377955</v>
          </cell>
          <cell r="BU210">
            <v>0</v>
          </cell>
          <cell r="BV210">
            <v>21603.579079420986</v>
          </cell>
          <cell r="BX210">
            <v>0</v>
          </cell>
          <cell r="BY210">
            <v>49</v>
          </cell>
          <cell r="BZ210">
            <v>0</v>
          </cell>
          <cell r="CA210">
            <v>0</v>
          </cell>
        </row>
        <row r="211">
          <cell r="H211" t="str">
            <v>C233784</v>
          </cell>
          <cell r="I211" t="str">
            <v xml:space="preserve">SB - B737 MSN 39419           </v>
          </cell>
          <cell r="J211" t="str">
            <v xml:space="preserve">                              </v>
          </cell>
          <cell r="K211" t="str">
            <v>AERO CABIN SOLUTIONS</v>
          </cell>
          <cell r="L211" t="str">
            <v>FDE</v>
          </cell>
          <cell r="M211">
            <v>45092</v>
          </cell>
          <cell r="N211">
            <v>45174</v>
          </cell>
          <cell r="O211">
            <v>3200</v>
          </cell>
          <cell r="P211">
            <v>0</v>
          </cell>
          <cell r="Q211">
            <v>2107</v>
          </cell>
          <cell r="R211">
            <v>2107</v>
          </cell>
          <cell r="S211">
            <v>0.34156249999999999</v>
          </cell>
          <cell r="T211">
            <v>0.59</v>
          </cell>
          <cell r="U211">
            <v>30</v>
          </cell>
          <cell r="V211">
            <v>49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3200</v>
          </cell>
          <cell r="AB211">
            <v>2107</v>
          </cell>
          <cell r="AC211">
            <v>0</v>
          </cell>
          <cell r="AD211">
            <v>0.34156249999999999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3200</v>
          </cell>
          <cell r="AZ211">
            <v>0</v>
          </cell>
          <cell r="BA211">
            <v>3200</v>
          </cell>
          <cell r="BB211">
            <v>2107</v>
          </cell>
          <cell r="BC211">
            <v>0</v>
          </cell>
          <cell r="BD211">
            <v>1</v>
          </cell>
          <cell r="BE211">
            <v>1</v>
          </cell>
          <cell r="BF211">
            <v>0</v>
          </cell>
          <cell r="BG211">
            <v>0</v>
          </cell>
          <cell r="BH211">
            <v>0</v>
          </cell>
          <cell r="BI211">
            <v>105</v>
          </cell>
          <cell r="BJ211">
            <v>1</v>
          </cell>
          <cell r="BK211">
            <v>0</v>
          </cell>
          <cell r="BL211">
            <v>0</v>
          </cell>
          <cell r="BM211">
            <v>0</v>
          </cell>
          <cell r="BN211">
            <v>3200</v>
          </cell>
          <cell r="BO211">
            <v>2107</v>
          </cell>
          <cell r="BP211">
            <v>1093</v>
          </cell>
          <cell r="BQ211">
            <v>3200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X211">
            <v>0</v>
          </cell>
          <cell r="BY211">
            <v>49</v>
          </cell>
          <cell r="BZ211">
            <v>0</v>
          </cell>
          <cell r="CA211">
            <v>0</v>
          </cell>
        </row>
        <row r="212">
          <cell r="H212" t="str">
            <v>C233800</v>
          </cell>
          <cell r="I212" t="str">
            <v>AJOUT D'APPLICABILITE S/N 4415</v>
          </cell>
          <cell r="J212" t="str">
            <v xml:space="preserve">14143                         </v>
          </cell>
          <cell r="K212" t="str">
            <v xml:space="preserve">HDF MAINTENANCE </v>
          </cell>
          <cell r="L212" t="str">
            <v>LJA</v>
          </cell>
          <cell r="M212">
            <v>45092</v>
          </cell>
          <cell r="N212">
            <v>45120</v>
          </cell>
          <cell r="O212">
            <v>1200</v>
          </cell>
          <cell r="P212">
            <v>0</v>
          </cell>
          <cell r="Q212">
            <v>638</v>
          </cell>
          <cell r="R212">
            <v>638</v>
          </cell>
          <cell r="S212">
            <v>0.46833333333333338</v>
          </cell>
          <cell r="T212">
            <v>0.59</v>
          </cell>
          <cell r="U212">
            <v>11.5</v>
          </cell>
          <cell r="V212">
            <v>10</v>
          </cell>
          <cell r="W212">
            <v>4</v>
          </cell>
          <cell r="X212">
            <v>0</v>
          </cell>
          <cell r="Y212">
            <v>0</v>
          </cell>
          <cell r="Z212">
            <v>0</v>
          </cell>
          <cell r="AA212">
            <v>1200</v>
          </cell>
          <cell r="AB212">
            <v>638</v>
          </cell>
          <cell r="AC212">
            <v>0</v>
          </cell>
          <cell r="AD212">
            <v>0.46833333333333338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1200</v>
          </cell>
          <cell r="AZ212">
            <v>0</v>
          </cell>
          <cell r="BA212">
            <v>1200</v>
          </cell>
          <cell r="BB212">
            <v>638</v>
          </cell>
          <cell r="BC212">
            <v>0</v>
          </cell>
          <cell r="BD212">
            <v>1</v>
          </cell>
          <cell r="BE212">
            <v>1</v>
          </cell>
          <cell r="BF212">
            <v>0</v>
          </cell>
          <cell r="BG212">
            <v>0</v>
          </cell>
          <cell r="BH212">
            <v>0</v>
          </cell>
          <cell r="BI212">
            <v>105</v>
          </cell>
          <cell r="BJ212">
            <v>1</v>
          </cell>
          <cell r="BK212">
            <v>0</v>
          </cell>
          <cell r="BL212">
            <v>0</v>
          </cell>
          <cell r="BM212">
            <v>0</v>
          </cell>
          <cell r="BN212">
            <v>1200</v>
          </cell>
          <cell r="BO212">
            <v>638</v>
          </cell>
          <cell r="BP212">
            <v>562</v>
          </cell>
          <cell r="BQ212">
            <v>1200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X212">
            <v>0</v>
          </cell>
          <cell r="BY212">
            <v>10</v>
          </cell>
          <cell r="BZ212">
            <v>4</v>
          </cell>
          <cell r="CA212">
            <v>0</v>
          </cell>
        </row>
        <row r="213">
          <cell r="H213" t="str">
            <v>C233805</v>
          </cell>
          <cell r="I213" t="str">
            <v xml:space="preserve">IDITION DOCUMENTS AE14216     </v>
          </cell>
          <cell r="J213" t="str">
            <v xml:space="preserve">14216                         </v>
          </cell>
          <cell r="K213" t="str">
            <v>OXYGENE AVIATION</v>
          </cell>
          <cell r="L213" t="str">
            <v>LJA</v>
          </cell>
          <cell r="M213">
            <v>45093</v>
          </cell>
          <cell r="N213">
            <v>45100</v>
          </cell>
          <cell r="O213">
            <v>500</v>
          </cell>
          <cell r="P213">
            <v>0</v>
          </cell>
          <cell r="Q213">
            <v>193.5</v>
          </cell>
          <cell r="R213">
            <v>193.5</v>
          </cell>
          <cell r="S213">
            <v>0.61299999999999999</v>
          </cell>
          <cell r="T213">
            <v>0.59</v>
          </cell>
          <cell r="U213">
            <v>4.5</v>
          </cell>
          <cell r="V213">
            <v>4.5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500</v>
          </cell>
          <cell r="AB213">
            <v>193.5</v>
          </cell>
          <cell r="AC213">
            <v>0</v>
          </cell>
          <cell r="AD213">
            <v>0.61299999999999999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500</v>
          </cell>
          <cell r="AZ213">
            <v>0</v>
          </cell>
          <cell r="BA213">
            <v>500</v>
          </cell>
          <cell r="BB213">
            <v>193.5</v>
          </cell>
          <cell r="BC213">
            <v>0</v>
          </cell>
          <cell r="BD213">
            <v>1</v>
          </cell>
          <cell r="BE213">
            <v>1</v>
          </cell>
          <cell r="BF213">
            <v>0</v>
          </cell>
          <cell r="BG213">
            <v>0</v>
          </cell>
          <cell r="BH213">
            <v>0</v>
          </cell>
          <cell r="BI213">
            <v>105</v>
          </cell>
          <cell r="BJ213">
            <v>1</v>
          </cell>
          <cell r="BK213">
            <v>0</v>
          </cell>
          <cell r="BL213">
            <v>0</v>
          </cell>
          <cell r="BM213">
            <v>0</v>
          </cell>
          <cell r="BN213">
            <v>500</v>
          </cell>
          <cell r="BO213">
            <v>193.5</v>
          </cell>
          <cell r="BP213">
            <v>306.5</v>
          </cell>
          <cell r="BQ213">
            <v>500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X213">
            <v>0</v>
          </cell>
          <cell r="BY213">
            <v>4.5</v>
          </cell>
          <cell r="BZ213">
            <v>0</v>
          </cell>
          <cell r="CA213">
            <v>0</v>
          </cell>
        </row>
        <row r="214">
          <cell r="H214" t="str">
            <v>C233808</v>
          </cell>
          <cell r="I214" t="str">
            <v xml:space="preserve">NOUVEAU DOSSIER AS350         </v>
          </cell>
          <cell r="J214">
            <v>23060</v>
          </cell>
          <cell r="K214" t="str">
            <v>SAF HELICOPTERES</v>
          </cell>
          <cell r="L214" t="str">
            <v>LJA</v>
          </cell>
          <cell r="M214">
            <v>45096</v>
          </cell>
          <cell r="N214">
            <v>45169</v>
          </cell>
          <cell r="O214">
            <v>4515</v>
          </cell>
          <cell r="P214">
            <v>0</v>
          </cell>
          <cell r="Q214">
            <v>2107</v>
          </cell>
          <cell r="R214">
            <v>2107</v>
          </cell>
          <cell r="S214">
            <v>0.53333333333333333</v>
          </cell>
          <cell r="T214">
            <v>0.59</v>
          </cell>
          <cell r="U214">
            <v>42.01</v>
          </cell>
          <cell r="V214">
            <v>49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4515</v>
          </cell>
          <cell r="AB214">
            <v>2107</v>
          </cell>
          <cell r="AC214">
            <v>0</v>
          </cell>
          <cell r="AD214">
            <v>0.53333333333333333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4515</v>
          </cell>
          <cell r="AZ214">
            <v>0</v>
          </cell>
          <cell r="BA214">
            <v>4515</v>
          </cell>
          <cell r="BB214">
            <v>2107</v>
          </cell>
          <cell r="BC214">
            <v>0</v>
          </cell>
          <cell r="BD214">
            <v>1</v>
          </cell>
          <cell r="BE214">
            <v>1</v>
          </cell>
          <cell r="BF214">
            <v>0</v>
          </cell>
          <cell r="BG214">
            <v>0</v>
          </cell>
          <cell r="BH214">
            <v>0</v>
          </cell>
          <cell r="BI214">
            <v>105</v>
          </cell>
          <cell r="BJ214">
            <v>1</v>
          </cell>
          <cell r="BK214">
            <v>0</v>
          </cell>
          <cell r="BL214">
            <v>0</v>
          </cell>
          <cell r="BM214">
            <v>0</v>
          </cell>
          <cell r="BN214">
            <v>4515</v>
          </cell>
          <cell r="BO214">
            <v>2107</v>
          </cell>
          <cell r="BP214">
            <v>2408</v>
          </cell>
          <cell r="BQ214">
            <v>4515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X214">
            <v>0</v>
          </cell>
          <cell r="BY214">
            <v>49</v>
          </cell>
          <cell r="BZ214">
            <v>0</v>
          </cell>
          <cell r="CA214">
            <v>0</v>
          </cell>
        </row>
        <row r="215">
          <cell r="H215" t="str">
            <v>C233812</v>
          </cell>
          <cell r="I215" t="str">
            <v xml:space="preserve">INSTALLATION COMMANDE         </v>
          </cell>
          <cell r="J215">
            <v>23061</v>
          </cell>
          <cell r="K215" t="str">
            <v>ROTOR TEAM</v>
          </cell>
          <cell r="L215" t="str">
            <v>LJA</v>
          </cell>
          <cell r="M215">
            <v>45103</v>
          </cell>
          <cell r="N215">
            <v>45142</v>
          </cell>
          <cell r="O215">
            <v>3045</v>
          </cell>
          <cell r="P215">
            <v>0</v>
          </cell>
          <cell r="Q215">
            <v>1247</v>
          </cell>
          <cell r="R215">
            <v>1247</v>
          </cell>
          <cell r="S215">
            <v>0.59047619047619049</v>
          </cell>
          <cell r="T215">
            <v>0.59</v>
          </cell>
          <cell r="U215">
            <v>29</v>
          </cell>
          <cell r="V215">
            <v>29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3045</v>
          </cell>
          <cell r="AB215">
            <v>1247</v>
          </cell>
          <cell r="AC215">
            <v>0</v>
          </cell>
          <cell r="AD215">
            <v>0.59047619047619049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3045</v>
          </cell>
          <cell r="AZ215">
            <v>0</v>
          </cell>
          <cell r="BA215">
            <v>3045</v>
          </cell>
          <cell r="BB215">
            <v>1247</v>
          </cell>
          <cell r="BC215">
            <v>0</v>
          </cell>
          <cell r="BD215">
            <v>1</v>
          </cell>
          <cell r="BE215">
            <v>1</v>
          </cell>
          <cell r="BF215">
            <v>0</v>
          </cell>
          <cell r="BG215">
            <v>0</v>
          </cell>
          <cell r="BH215">
            <v>0</v>
          </cell>
          <cell r="BI215">
            <v>105</v>
          </cell>
          <cell r="BJ215">
            <v>1</v>
          </cell>
          <cell r="BK215">
            <v>0</v>
          </cell>
          <cell r="BL215">
            <v>0</v>
          </cell>
          <cell r="BM215">
            <v>0</v>
          </cell>
          <cell r="BN215">
            <v>3045</v>
          </cell>
          <cell r="BO215">
            <v>1247</v>
          </cell>
          <cell r="BP215">
            <v>1798</v>
          </cell>
          <cell r="BQ215">
            <v>3045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X215">
            <v>0</v>
          </cell>
          <cell r="BY215">
            <v>29</v>
          </cell>
          <cell r="BZ215">
            <v>0</v>
          </cell>
          <cell r="CA215">
            <v>0</v>
          </cell>
        </row>
        <row r="216">
          <cell r="H216" t="str">
            <v>C233794</v>
          </cell>
          <cell r="I216" t="str">
            <v xml:space="preserve">AJOUT D'APPLICABILITÉ         </v>
          </cell>
          <cell r="J216" t="str">
            <v xml:space="preserve">23030                         </v>
          </cell>
          <cell r="K216" t="str">
            <v>ROTOR TEAM</v>
          </cell>
          <cell r="L216" t="str">
            <v>LJA</v>
          </cell>
          <cell r="M216">
            <v>45103</v>
          </cell>
          <cell r="N216">
            <v>45120</v>
          </cell>
          <cell r="O216">
            <v>1207.5</v>
          </cell>
          <cell r="P216">
            <v>0</v>
          </cell>
          <cell r="Q216">
            <v>494.5</v>
          </cell>
          <cell r="R216">
            <v>494.5</v>
          </cell>
          <cell r="S216">
            <v>0.59047619047619049</v>
          </cell>
          <cell r="T216">
            <v>0.59</v>
          </cell>
          <cell r="U216">
            <v>11.5</v>
          </cell>
          <cell r="V216">
            <v>11.5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1207.5</v>
          </cell>
          <cell r="AB216">
            <v>494.5</v>
          </cell>
          <cell r="AC216">
            <v>0</v>
          </cell>
          <cell r="AD216">
            <v>0.59047619047619049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1207.5</v>
          </cell>
          <cell r="AZ216">
            <v>0</v>
          </cell>
          <cell r="BA216">
            <v>1207.5</v>
          </cell>
          <cell r="BB216">
            <v>494.5</v>
          </cell>
          <cell r="BC216">
            <v>0</v>
          </cell>
          <cell r="BD216">
            <v>1</v>
          </cell>
          <cell r="BE216">
            <v>1</v>
          </cell>
          <cell r="BF216">
            <v>0</v>
          </cell>
          <cell r="BG216">
            <v>0</v>
          </cell>
          <cell r="BH216">
            <v>0</v>
          </cell>
          <cell r="BI216">
            <v>105</v>
          </cell>
          <cell r="BJ216">
            <v>1</v>
          </cell>
          <cell r="BK216">
            <v>0</v>
          </cell>
          <cell r="BL216">
            <v>0</v>
          </cell>
          <cell r="BM216">
            <v>0</v>
          </cell>
          <cell r="BN216">
            <v>1207.5</v>
          </cell>
          <cell r="BO216">
            <v>494.5</v>
          </cell>
          <cell r="BP216">
            <v>713</v>
          </cell>
          <cell r="BQ216">
            <v>1207.5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X216">
            <v>0</v>
          </cell>
          <cell r="BY216">
            <v>11.5</v>
          </cell>
          <cell r="BZ216">
            <v>0</v>
          </cell>
          <cell r="CA216">
            <v>0</v>
          </cell>
        </row>
        <row r="217">
          <cell r="H217" t="str">
            <v>C233683</v>
          </cell>
          <cell r="I217" t="str">
            <v xml:space="preserve">NRC - SERVICE BULLETIN        </v>
          </cell>
          <cell r="J217" t="str">
            <v xml:space="preserve">                              </v>
          </cell>
          <cell r="K217" t="str">
            <v>CELESTE SA</v>
          </cell>
          <cell r="L217" t="str">
            <v>VGA</v>
          </cell>
          <cell r="M217">
            <v>45105</v>
          </cell>
          <cell r="N217" t="str">
            <v/>
          </cell>
          <cell r="O217">
            <v>10230</v>
          </cell>
          <cell r="P217">
            <v>0</v>
          </cell>
          <cell r="Q217">
            <v>6689.5</v>
          </cell>
          <cell r="R217">
            <v>6689.5</v>
          </cell>
          <cell r="S217">
            <v>0.34608993157380252</v>
          </cell>
          <cell r="T217">
            <v>0.43445747800586509</v>
          </cell>
          <cell r="U217">
            <v>55</v>
          </cell>
          <cell r="V217">
            <v>76.5</v>
          </cell>
          <cell r="W217">
            <v>0</v>
          </cell>
          <cell r="X217">
            <v>0</v>
          </cell>
          <cell r="Y217">
            <v>0</v>
          </cell>
          <cell r="Z217">
            <v>8</v>
          </cell>
          <cell r="AA217">
            <v>6150</v>
          </cell>
          <cell r="AB217">
            <v>3289.5</v>
          </cell>
          <cell r="AC217">
            <v>0</v>
          </cell>
          <cell r="AD217">
            <v>0.46512195121951216</v>
          </cell>
          <cell r="AE217">
            <v>4080</v>
          </cell>
          <cell r="AF217">
            <v>3400</v>
          </cell>
          <cell r="AG217">
            <v>3400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0.16666666666666663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5115</v>
          </cell>
          <cell r="AZ217">
            <v>0</v>
          </cell>
          <cell r="BA217">
            <v>10230</v>
          </cell>
          <cell r="BB217">
            <v>6689.5</v>
          </cell>
          <cell r="BC217">
            <v>0</v>
          </cell>
          <cell r="BD217">
            <v>1</v>
          </cell>
          <cell r="BE217">
            <v>0.5</v>
          </cell>
          <cell r="BF217">
            <v>0</v>
          </cell>
          <cell r="BG217">
            <v>5115</v>
          </cell>
          <cell r="BH217">
            <v>0</v>
          </cell>
          <cell r="BI217">
            <v>105</v>
          </cell>
          <cell r="BJ217">
            <v>1</v>
          </cell>
          <cell r="BK217">
            <v>0</v>
          </cell>
          <cell r="BL217">
            <v>344</v>
          </cell>
          <cell r="BM217">
            <v>0</v>
          </cell>
          <cell r="BN217">
            <v>10230</v>
          </cell>
          <cell r="BO217">
            <v>6689.5</v>
          </cell>
          <cell r="BP217">
            <v>3540.5</v>
          </cell>
          <cell r="BQ217">
            <v>5115</v>
          </cell>
          <cell r="BR217">
            <v>0</v>
          </cell>
          <cell r="BS217">
            <v>344</v>
          </cell>
          <cell r="BT217">
            <v>-344</v>
          </cell>
          <cell r="BU217">
            <v>0</v>
          </cell>
          <cell r="BV217">
            <v>0</v>
          </cell>
          <cell r="BX217">
            <v>0</v>
          </cell>
          <cell r="BY217">
            <v>76.5</v>
          </cell>
          <cell r="BZ217">
            <v>0</v>
          </cell>
          <cell r="CA217">
            <v>3400</v>
          </cell>
        </row>
        <row r="218">
          <cell r="H218" t="str">
            <v>C233814</v>
          </cell>
          <cell r="I218" t="str">
            <v xml:space="preserve">A330-200 MSN 493              </v>
          </cell>
          <cell r="J218" t="str">
            <v xml:space="preserve">                              </v>
          </cell>
          <cell r="K218" t="str">
            <v xml:space="preserve">AIR CARAIBES ATLANTIQUE </v>
          </cell>
          <cell r="L218" t="str">
            <v>VGA</v>
          </cell>
          <cell r="M218">
            <v>45100</v>
          </cell>
          <cell r="N218">
            <v>45174</v>
          </cell>
          <cell r="O218">
            <v>900</v>
          </cell>
          <cell r="P218">
            <v>0</v>
          </cell>
          <cell r="Q218">
            <v>344</v>
          </cell>
          <cell r="R218">
            <v>344</v>
          </cell>
          <cell r="S218">
            <v>0.61777777777777776</v>
          </cell>
          <cell r="T218">
            <v>0.59</v>
          </cell>
          <cell r="U218">
            <v>8</v>
          </cell>
          <cell r="V218">
            <v>8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900</v>
          </cell>
          <cell r="AB218">
            <v>344</v>
          </cell>
          <cell r="AC218">
            <v>0</v>
          </cell>
          <cell r="AD218">
            <v>0.61777777777777776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900</v>
          </cell>
          <cell r="AZ218">
            <v>0</v>
          </cell>
          <cell r="BA218">
            <v>900</v>
          </cell>
          <cell r="BB218">
            <v>344</v>
          </cell>
          <cell r="BC218">
            <v>0</v>
          </cell>
          <cell r="BD218">
            <v>1</v>
          </cell>
          <cell r="BE218">
            <v>1</v>
          </cell>
          <cell r="BF218">
            <v>0</v>
          </cell>
          <cell r="BG218">
            <v>0</v>
          </cell>
          <cell r="BH218">
            <v>0</v>
          </cell>
          <cell r="BI218">
            <v>105</v>
          </cell>
          <cell r="BJ218">
            <v>1</v>
          </cell>
          <cell r="BK218">
            <v>0</v>
          </cell>
          <cell r="BL218">
            <v>0</v>
          </cell>
          <cell r="BM218">
            <v>0</v>
          </cell>
          <cell r="BN218">
            <v>900</v>
          </cell>
          <cell r="BO218">
            <v>344</v>
          </cell>
          <cell r="BP218">
            <v>556</v>
          </cell>
          <cell r="BQ218">
            <v>900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X218">
            <v>0</v>
          </cell>
          <cell r="BY218">
            <v>8</v>
          </cell>
          <cell r="BZ218">
            <v>0</v>
          </cell>
          <cell r="CA218">
            <v>0</v>
          </cell>
        </row>
        <row r="219">
          <cell r="H219" t="str">
            <v>C233817</v>
          </cell>
          <cell r="I219" t="str">
            <v xml:space="preserve">DEVELOPPEMENT SB              </v>
          </cell>
          <cell r="J219" t="str">
            <v xml:space="preserve">                              </v>
          </cell>
          <cell r="K219" t="str">
            <v xml:space="preserve">REGIO LEASE </v>
          </cell>
          <cell r="L219" t="str">
            <v>VGA</v>
          </cell>
          <cell r="M219">
            <v>45106</v>
          </cell>
          <cell r="N219">
            <v>45174</v>
          </cell>
          <cell r="O219">
            <v>4200</v>
          </cell>
          <cell r="P219">
            <v>0</v>
          </cell>
          <cell r="Q219">
            <v>1634</v>
          </cell>
          <cell r="R219">
            <v>1634</v>
          </cell>
          <cell r="S219">
            <v>0.61095238095238091</v>
          </cell>
          <cell r="T219">
            <v>0.59</v>
          </cell>
          <cell r="U219">
            <v>38</v>
          </cell>
          <cell r="V219">
            <v>38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4200</v>
          </cell>
          <cell r="AB219">
            <v>1634</v>
          </cell>
          <cell r="AC219">
            <v>0</v>
          </cell>
          <cell r="AD219">
            <v>0.61095238095238091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4200</v>
          </cell>
          <cell r="AZ219">
            <v>0</v>
          </cell>
          <cell r="BA219">
            <v>4200</v>
          </cell>
          <cell r="BB219">
            <v>1634</v>
          </cell>
          <cell r="BC219">
            <v>0</v>
          </cell>
          <cell r="BD219">
            <v>1</v>
          </cell>
          <cell r="BE219">
            <v>1</v>
          </cell>
          <cell r="BF219">
            <v>0</v>
          </cell>
          <cell r="BG219">
            <v>0</v>
          </cell>
          <cell r="BH219">
            <v>0</v>
          </cell>
          <cell r="BI219">
            <v>105</v>
          </cell>
          <cell r="BJ219">
            <v>1</v>
          </cell>
          <cell r="BK219">
            <v>0</v>
          </cell>
          <cell r="BL219">
            <v>0</v>
          </cell>
          <cell r="BM219">
            <v>0</v>
          </cell>
          <cell r="BN219">
            <v>4200</v>
          </cell>
          <cell r="BO219">
            <v>1634</v>
          </cell>
          <cell r="BP219">
            <v>2566</v>
          </cell>
          <cell r="BQ219">
            <v>4200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X219">
            <v>0</v>
          </cell>
          <cell r="BY219">
            <v>38</v>
          </cell>
          <cell r="BZ219">
            <v>0</v>
          </cell>
          <cell r="CA219">
            <v>0</v>
          </cell>
        </row>
        <row r="220">
          <cell r="H220" t="str">
            <v>C233781</v>
          </cell>
          <cell r="I220" t="str">
            <v xml:space="preserve">EXTENSION DE GARANTIE         </v>
          </cell>
          <cell r="J220" t="str">
            <v xml:space="preserve">                              </v>
          </cell>
          <cell r="K220" t="str">
            <v xml:space="preserve">DAHER AEROSPACE </v>
          </cell>
          <cell r="L220" t="str">
            <v>BAZ</v>
          </cell>
          <cell r="M220">
            <v>45107</v>
          </cell>
          <cell r="N220" t="str">
            <v/>
          </cell>
          <cell r="O220">
            <v>84371.914426000003</v>
          </cell>
          <cell r="P220">
            <v>0</v>
          </cell>
          <cell r="Q220">
            <v>59709.760000000002</v>
          </cell>
          <cell r="R220">
            <v>59709.760000000002</v>
          </cell>
          <cell r="S220">
            <v>0.19230289005271328</v>
          </cell>
          <cell r="T220">
            <v>0.2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84371.914426000003</v>
          </cell>
          <cell r="AF220">
            <v>59709.760000000002</v>
          </cell>
          <cell r="AG220">
            <v>59709.760000000002</v>
          </cell>
          <cell r="AH220">
            <v>0</v>
          </cell>
          <cell r="AI220">
            <v>59709.760000000002</v>
          </cell>
          <cell r="AJ220">
            <v>0</v>
          </cell>
          <cell r="AK220">
            <v>59709.760000000002</v>
          </cell>
          <cell r="AL220">
            <v>59709.760000000002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0.29230289005271315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84759.360000000001</v>
          </cell>
          <cell r="AZ220">
            <v>0</v>
          </cell>
          <cell r="BA220">
            <v>73925.929986176227</v>
          </cell>
          <cell r="BB220">
            <v>59709.760000000002</v>
          </cell>
          <cell r="BC220">
            <v>8437.1914426000003</v>
          </cell>
          <cell r="BD220">
            <v>0.87619121231407371</v>
          </cell>
          <cell r="BE220">
            <v>1.0045921154762918</v>
          </cell>
          <cell r="BF220">
            <v>-10833.430013823778</v>
          </cell>
          <cell r="BG220">
            <v>0</v>
          </cell>
          <cell r="BH220">
            <v>8437.1914426000003</v>
          </cell>
          <cell r="BI220">
            <v>105</v>
          </cell>
          <cell r="BJ220">
            <v>0.8125</v>
          </cell>
          <cell r="BK220">
            <v>-8437.1914426000003</v>
          </cell>
          <cell r="BL220">
            <v>0</v>
          </cell>
          <cell r="BM220">
            <v>0.87619121231407371</v>
          </cell>
          <cell r="BN220">
            <v>73925.929986176227</v>
          </cell>
          <cell r="BO220">
            <v>59709.760000000002</v>
          </cell>
          <cell r="BP220">
            <v>14216.169986176224</v>
          </cell>
          <cell r="BQ220">
            <v>84759.360000000001</v>
          </cell>
          <cell r="BR220">
            <v>73925.929986176227</v>
          </cell>
          <cell r="BS220">
            <v>59709.760000000002</v>
          </cell>
          <cell r="BT220">
            <v>14216.169986176224</v>
          </cell>
          <cell r="BU220">
            <v>0</v>
          </cell>
          <cell r="BV220">
            <v>-5373.7495150512259</v>
          </cell>
          <cell r="BX220">
            <v>15819.733954875002</v>
          </cell>
          <cell r="BY220">
            <v>0</v>
          </cell>
          <cell r="BZ220">
            <v>0</v>
          </cell>
          <cell r="CA220">
            <v>59709.760000000002</v>
          </cell>
        </row>
        <row r="221">
          <cell r="H221" t="str">
            <v>C233821</v>
          </cell>
          <cell r="I221" t="str">
            <v xml:space="preserve">F7X-040 REGISTRATION CHANGE   </v>
          </cell>
          <cell r="J221" t="str">
            <v xml:space="preserve">                              </v>
          </cell>
          <cell r="K221" t="str">
            <v xml:space="preserve">DASSAULT AVIATION BUSINESS SERVICES </v>
          </cell>
          <cell r="L221" t="str">
            <v>VGA</v>
          </cell>
          <cell r="M221">
            <v>45105</v>
          </cell>
          <cell r="N221">
            <v>45174</v>
          </cell>
          <cell r="O221">
            <v>2350</v>
          </cell>
          <cell r="P221">
            <v>0</v>
          </cell>
          <cell r="Q221">
            <v>860</v>
          </cell>
          <cell r="R221">
            <v>860</v>
          </cell>
          <cell r="S221">
            <v>0.63404255319148939</v>
          </cell>
          <cell r="T221">
            <v>0.59</v>
          </cell>
          <cell r="U221">
            <v>21</v>
          </cell>
          <cell r="V221">
            <v>20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2350</v>
          </cell>
          <cell r="AB221">
            <v>860</v>
          </cell>
          <cell r="AC221">
            <v>0</v>
          </cell>
          <cell r="AD221">
            <v>0.63404255319148939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2350</v>
          </cell>
          <cell r="AZ221">
            <v>0</v>
          </cell>
          <cell r="BA221">
            <v>2350</v>
          </cell>
          <cell r="BB221">
            <v>860</v>
          </cell>
          <cell r="BC221">
            <v>0</v>
          </cell>
          <cell r="BD221">
            <v>1</v>
          </cell>
          <cell r="BE221">
            <v>1</v>
          </cell>
          <cell r="BF221">
            <v>0</v>
          </cell>
          <cell r="BG221">
            <v>0</v>
          </cell>
          <cell r="BH221">
            <v>0</v>
          </cell>
          <cell r="BI221">
            <v>105</v>
          </cell>
          <cell r="BJ221">
            <v>1</v>
          </cell>
          <cell r="BK221">
            <v>0</v>
          </cell>
          <cell r="BL221">
            <v>0</v>
          </cell>
          <cell r="BM221">
            <v>0</v>
          </cell>
          <cell r="BN221">
            <v>2350</v>
          </cell>
          <cell r="BO221">
            <v>860</v>
          </cell>
          <cell r="BP221">
            <v>1490</v>
          </cell>
          <cell r="BQ221">
            <v>2350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X221">
            <v>0</v>
          </cell>
          <cell r="BY221">
            <v>20</v>
          </cell>
          <cell r="BZ221">
            <v>0</v>
          </cell>
          <cell r="CA221">
            <v>0</v>
          </cell>
        </row>
        <row r="222">
          <cell r="H222" t="str">
            <v>C233822</v>
          </cell>
          <cell r="I222" t="str">
            <v xml:space="preserve">PC-12 NGX EXTERNAL LIVERY     </v>
          </cell>
          <cell r="J222" t="str">
            <v xml:space="preserve">                              </v>
          </cell>
          <cell r="K222" t="str">
            <v xml:space="preserve">JG AVIATION </v>
          </cell>
          <cell r="L222" t="str">
            <v>VGA</v>
          </cell>
          <cell r="M222">
            <v>45104</v>
          </cell>
          <cell r="N222">
            <v>45134</v>
          </cell>
          <cell r="O222">
            <v>1800</v>
          </cell>
          <cell r="P222">
            <v>0</v>
          </cell>
          <cell r="Q222">
            <v>817</v>
          </cell>
          <cell r="R222">
            <v>817</v>
          </cell>
          <cell r="S222">
            <v>0.5461111111111111</v>
          </cell>
          <cell r="T222">
            <v>0.59</v>
          </cell>
          <cell r="U222">
            <v>16</v>
          </cell>
          <cell r="V222">
            <v>19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1800</v>
          </cell>
          <cell r="AB222">
            <v>817</v>
          </cell>
          <cell r="AC222">
            <v>0</v>
          </cell>
          <cell r="AD222">
            <v>0.5461111111111111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1800</v>
          </cell>
          <cell r="AZ222">
            <v>0</v>
          </cell>
          <cell r="BA222">
            <v>1800</v>
          </cell>
          <cell r="BB222">
            <v>817</v>
          </cell>
          <cell r="BC222">
            <v>0</v>
          </cell>
          <cell r="BD222">
            <v>1</v>
          </cell>
          <cell r="BE222">
            <v>1</v>
          </cell>
          <cell r="BF222">
            <v>0</v>
          </cell>
          <cell r="BG222">
            <v>0</v>
          </cell>
          <cell r="BH222">
            <v>0</v>
          </cell>
          <cell r="BI222">
            <v>105</v>
          </cell>
          <cell r="BJ222">
            <v>1</v>
          </cell>
          <cell r="BK222">
            <v>0</v>
          </cell>
          <cell r="BL222">
            <v>0</v>
          </cell>
          <cell r="BM222">
            <v>0</v>
          </cell>
          <cell r="BN222">
            <v>1800</v>
          </cell>
          <cell r="BO222">
            <v>817</v>
          </cell>
          <cell r="BP222">
            <v>983</v>
          </cell>
          <cell r="BQ222">
            <v>1800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X222">
            <v>0</v>
          </cell>
          <cell r="BY222">
            <v>19</v>
          </cell>
          <cell r="BZ222">
            <v>0</v>
          </cell>
          <cell r="CA222">
            <v>0</v>
          </cell>
        </row>
        <row r="223">
          <cell r="H223" t="str">
            <v>C233818</v>
          </cell>
          <cell r="I223" t="str">
            <v xml:space="preserve">AJOUR D'APPLICABILITÉ AE19028 </v>
          </cell>
          <cell r="J223" t="str">
            <v xml:space="preserve">19028                         </v>
          </cell>
          <cell r="K223" t="str">
            <v>ROTOR TEAM</v>
          </cell>
          <cell r="L223" t="str">
            <v>LJA</v>
          </cell>
          <cell r="M223">
            <v>45111</v>
          </cell>
          <cell r="N223">
            <v>45174</v>
          </cell>
          <cell r="O223">
            <v>700</v>
          </cell>
          <cell r="P223">
            <v>0</v>
          </cell>
          <cell r="Q223">
            <v>215</v>
          </cell>
          <cell r="R223">
            <v>215</v>
          </cell>
          <cell r="S223">
            <v>0.69285714285714284</v>
          </cell>
          <cell r="T223">
            <v>0.59</v>
          </cell>
          <cell r="U223">
            <v>6.5</v>
          </cell>
          <cell r="V223">
            <v>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700</v>
          </cell>
          <cell r="AB223">
            <v>215</v>
          </cell>
          <cell r="AC223">
            <v>0</v>
          </cell>
          <cell r="AD223">
            <v>0.69285714285714284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700</v>
          </cell>
          <cell r="AZ223">
            <v>0</v>
          </cell>
          <cell r="BA223">
            <v>700</v>
          </cell>
          <cell r="BB223">
            <v>215</v>
          </cell>
          <cell r="BC223">
            <v>0</v>
          </cell>
          <cell r="BD223">
            <v>1</v>
          </cell>
          <cell r="BE223">
            <v>1</v>
          </cell>
          <cell r="BF223">
            <v>0</v>
          </cell>
          <cell r="BG223">
            <v>0</v>
          </cell>
          <cell r="BH223">
            <v>0</v>
          </cell>
          <cell r="BI223">
            <v>105</v>
          </cell>
          <cell r="BJ223">
            <v>1</v>
          </cell>
          <cell r="BK223">
            <v>0</v>
          </cell>
          <cell r="BL223">
            <v>0</v>
          </cell>
          <cell r="BM223">
            <v>0</v>
          </cell>
          <cell r="BN223">
            <v>700</v>
          </cell>
          <cell r="BO223">
            <v>215</v>
          </cell>
          <cell r="BP223">
            <v>485</v>
          </cell>
          <cell r="BQ223">
            <v>700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X223">
            <v>0</v>
          </cell>
          <cell r="BY223">
            <v>5</v>
          </cell>
          <cell r="BZ223">
            <v>0</v>
          </cell>
          <cell r="CA223">
            <v>0</v>
          </cell>
        </row>
        <row r="224">
          <cell r="H224" t="str">
            <v>C233819</v>
          </cell>
          <cell r="I224" t="str">
            <v xml:space="preserve">NOUVEAU DOSSIER PROVISION     </v>
          </cell>
          <cell r="J224" t="str">
            <v xml:space="preserve">                              </v>
          </cell>
          <cell r="K224" t="str">
            <v>ROTOR TEAM</v>
          </cell>
          <cell r="L224" t="str">
            <v>LJA</v>
          </cell>
          <cell r="M224">
            <v>45111</v>
          </cell>
          <cell r="N224">
            <v>45142</v>
          </cell>
          <cell r="O224">
            <v>2500</v>
          </cell>
          <cell r="P224">
            <v>0</v>
          </cell>
          <cell r="Q224">
            <v>1204</v>
          </cell>
          <cell r="R224">
            <v>1204</v>
          </cell>
          <cell r="S224">
            <v>0.51839999999999997</v>
          </cell>
          <cell r="T224">
            <v>0.59</v>
          </cell>
          <cell r="U224">
            <v>24</v>
          </cell>
          <cell r="V224">
            <v>28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2500</v>
          </cell>
          <cell r="AB224">
            <v>1204</v>
          </cell>
          <cell r="AC224">
            <v>0</v>
          </cell>
          <cell r="AD224">
            <v>0.51839999999999997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2500</v>
          </cell>
          <cell r="AZ224">
            <v>0</v>
          </cell>
          <cell r="BA224">
            <v>2500</v>
          </cell>
          <cell r="BB224">
            <v>1204</v>
          </cell>
          <cell r="BC224">
            <v>0</v>
          </cell>
          <cell r="BD224">
            <v>1</v>
          </cell>
          <cell r="BE224">
            <v>1</v>
          </cell>
          <cell r="BF224">
            <v>0</v>
          </cell>
          <cell r="BG224">
            <v>0</v>
          </cell>
          <cell r="BH224">
            <v>0</v>
          </cell>
          <cell r="BI224">
            <v>105</v>
          </cell>
          <cell r="BJ224">
            <v>1</v>
          </cell>
          <cell r="BK224">
            <v>0</v>
          </cell>
          <cell r="BL224">
            <v>0</v>
          </cell>
          <cell r="BM224">
            <v>0</v>
          </cell>
          <cell r="BN224">
            <v>2500</v>
          </cell>
          <cell r="BO224">
            <v>1204</v>
          </cell>
          <cell r="BP224">
            <v>1296</v>
          </cell>
          <cell r="BQ224">
            <v>2500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X224">
            <v>0</v>
          </cell>
          <cell r="BY224">
            <v>28</v>
          </cell>
          <cell r="BZ224">
            <v>0</v>
          </cell>
          <cell r="CA224">
            <v>0</v>
          </cell>
        </row>
        <row r="225">
          <cell r="H225" t="str">
            <v>C233815</v>
          </cell>
          <cell r="I225" t="str">
            <v xml:space="preserve">MISSIONS                      </v>
          </cell>
          <cell r="J225" t="str">
            <v xml:space="preserve">                              </v>
          </cell>
          <cell r="K225" t="str">
            <v xml:space="preserve">AIR CARAIBES ATLANTIQUE </v>
          </cell>
          <cell r="L225" t="str">
            <v>VGA</v>
          </cell>
          <cell r="M225">
            <v>45107</v>
          </cell>
          <cell r="N225">
            <v>45174</v>
          </cell>
          <cell r="O225">
            <v>1789</v>
          </cell>
          <cell r="P225">
            <v>0</v>
          </cell>
          <cell r="Q225">
            <v>861.83</v>
          </cell>
          <cell r="R225">
            <v>861.83</v>
          </cell>
          <cell r="S225">
            <v>0.51826159865846844</v>
          </cell>
          <cell r="T225">
            <v>0.38311906092789266</v>
          </cell>
          <cell r="U225">
            <v>8</v>
          </cell>
          <cell r="V225">
            <v>8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840</v>
          </cell>
          <cell r="AB225">
            <v>344</v>
          </cell>
          <cell r="AC225">
            <v>0</v>
          </cell>
          <cell r="AD225">
            <v>0.59047619047619049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517.83000000000004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1789</v>
          </cell>
          <cell r="AZ225">
            <v>0</v>
          </cell>
          <cell r="BA225">
            <v>1789</v>
          </cell>
          <cell r="BB225">
            <v>861.83</v>
          </cell>
          <cell r="BC225">
            <v>0</v>
          </cell>
          <cell r="BD225">
            <v>1</v>
          </cell>
          <cell r="BE225">
            <v>1</v>
          </cell>
          <cell r="BF225">
            <v>0</v>
          </cell>
          <cell r="BG225">
            <v>0</v>
          </cell>
          <cell r="BH225">
            <v>0</v>
          </cell>
          <cell r="BI225">
            <v>105</v>
          </cell>
          <cell r="BJ225">
            <v>1</v>
          </cell>
          <cell r="BK225">
            <v>949</v>
          </cell>
          <cell r="BL225">
            <v>0</v>
          </cell>
          <cell r="BM225">
            <v>0</v>
          </cell>
          <cell r="BN225">
            <v>1789</v>
          </cell>
          <cell r="BO225">
            <v>861.83</v>
          </cell>
          <cell r="BP225">
            <v>927.17</v>
          </cell>
          <cell r="BQ225">
            <v>1789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X225">
            <v>0</v>
          </cell>
          <cell r="BY225">
            <v>8</v>
          </cell>
          <cell r="BZ225">
            <v>0</v>
          </cell>
          <cell r="CA225">
            <v>517.83000000000004</v>
          </cell>
        </row>
        <row r="226">
          <cell r="H226" t="str">
            <v>C233807</v>
          </cell>
          <cell r="I226" t="str">
            <v xml:space="preserve">EMBRAER LEGACY 500            </v>
          </cell>
          <cell r="J226" t="str">
            <v xml:space="preserve">                              </v>
          </cell>
          <cell r="K226" t="str">
            <v xml:space="preserve">LUXAVIATION MALTA </v>
          </cell>
          <cell r="L226" t="str">
            <v>VGA</v>
          </cell>
          <cell r="M226">
            <v>45118</v>
          </cell>
          <cell r="N226">
            <v>45174</v>
          </cell>
          <cell r="O226">
            <v>3800</v>
          </cell>
          <cell r="P226">
            <v>0</v>
          </cell>
          <cell r="Q226">
            <v>1462</v>
          </cell>
          <cell r="R226">
            <v>1462</v>
          </cell>
          <cell r="S226">
            <v>0.61526315789473685</v>
          </cell>
          <cell r="T226">
            <v>0.59</v>
          </cell>
          <cell r="U226">
            <v>34</v>
          </cell>
          <cell r="V226">
            <v>34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3800</v>
          </cell>
          <cell r="AB226">
            <v>1462</v>
          </cell>
          <cell r="AC226">
            <v>0</v>
          </cell>
          <cell r="AD226">
            <v>0.61526315789473685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3800</v>
          </cell>
          <cell r="AZ226">
            <v>0</v>
          </cell>
          <cell r="BA226">
            <v>3800</v>
          </cell>
          <cell r="BB226">
            <v>1462</v>
          </cell>
          <cell r="BC226">
            <v>0</v>
          </cell>
          <cell r="BD226">
            <v>1</v>
          </cell>
          <cell r="BE226">
            <v>1</v>
          </cell>
          <cell r="BF226">
            <v>0</v>
          </cell>
          <cell r="BG226">
            <v>0</v>
          </cell>
          <cell r="BH226">
            <v>0</v>
          </cell>
          <cell r="BI226">
            <v>105</v>
          </cell>
          <cell r="BJ226">
            <v>1</v>
          </cell>
          <cell r="BK226">
            <v>0</v>
          </cell>
          <cell r="BL226">
            <v>0</v>
          </cell>
          <cell r="BM226">
            <v>0</v>
          </cell>
          <cell r="BN226">
            <v>3800</v>
          </cell>
          <cell r="BO226">
            <v>1462</v>
          </cell>
          <cell r="BP226">
            <v>2338</v>
          </cell>
          <cell r="BQ226">
            <v>3800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X226">
            <v>0</v>
          </cell>
          <cell r="BY226">
            <v>34</v>
          </cell>
          <cell r="BZ226">
            <v>0</v>
          </cell>
          <cell r="CA226">
            <v>0</v>
          </cell>
        </row>
        <row r="227">
          <cell r="H227" t="str">
            <v>C233809</v>
          </cell>
          <cell r="I227" t="str">
            <v xml:space="preserve">PC12/47E SN 2030 - MOD 21176  </v>
          </cell>
          <cell r="J227" t="str">
            <v xml:space="preserve">                              </v>
          </cell>
          <cell r="K227" t="str">
            <v xml:space="preserve">JG AVIATION </v>
          </cell>
          <cell r="L227" t="str">
            <v>VGA</v>
          </cell>
          <cell r="M227">
            <v>45106</v>
          </cell>
          <cell r="N227">
            <v>45134</v>
          </cell>
          <cell r="O227">
            <v>500</v>
          </cell>
          <cell r="P227">
            <v>0</v>
          </cell>
          <cell r="Q227">
            <v>215</v>
          </cell>
          <cell r="R227">
            <v>215</v>
          </cell>
          <cell r="S227">
            <v>0.57000000000000006</v>
          </cell>
          <cell r="T227">
            <v>0.59</v>
          </cell>
          <cell r="U227">
            <v>4.04</v>
          </cell>
          <cell r="V227">
            <v>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500</v>
          </cell>
          <cell r="AB227">
            <v>215</v>
          </cell>
          <cell r="AC227">
            <v>0</v>
          </cell>
          <cell r="AD227">
            <v>0.57000000000000006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500</v>
          </cell>
          <cell r="AZ227">
            <v>0</v>
          </cell>
          <cell r="BA227">
            <v>500</v>
          </cell>
          <cell r="BB227">
            <v>215</v>
          </cell>
          <cell r="BC227">
            <v>0</v>
          </cell>
          <cell r="BD227">
            <v>1</v>
          </cell>
          <cell r="BE227">
            <v>1</v>
          </cell>
          <cell r="BF227">
            <v>0</v>
          </cell>
          <cell r="BG227">
            <v>0</v>
          </cell>
          <cell r="BH227">
            <v>0</v>
          </cell>
          <cell r="BI227">
            <v>105</v>
          </cell>
          <cell r="BJ227">
            <v>1</v>
          </cell>
          <cell r="BK227">
            <v>0</v>
          </cell>
          <cell r="BL227">
            <v>0</v>
          </cell>
          <cell r="BM227">
            <v>0</v>
          </cell>
          <cell r="BN227">
            <v>500</v>
          </cell>
          <cell r="BO227">
            <v>215</v>
          </cell>
          <cell r="BP227">
            <v>285</v>
          </cell>
          <cell r="BQ227">
            <v>500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X227">
            <v>0</v>
          </cell>
          <cell r="BY227">
            <v>5</v>
          </cell>
          <cell r="BZ227">
            <v>0</v>
          </cell>
          <cell r="CA227">
            <v>0</v>
          </cell>
        </row>
        <row r="228">
          <cell r="H228" t="str">
            <v>C233834</v>
          </cell>
          <cell r="I228" t="str">
            <v xml:space="preserve">REVISION OF MOD22088          </v>
          </cell>
          <cell r="J228" t="str">
            <v xml:space="preserve">                              </v>
          </cell>
          <cell r="K228" t="str">
            <v xml:space="preserve">DASSAULT AVIATION BUSINESS SERVICES </v>
          </cell>
          <cell r="L228" t="str">
            <v>PNA</v>
          </cell>
          <cell r="M228">
            <v>45120</v>
          </cell>
          <cell r="N228">
            <v>45174</v>
          </cell>
          <cell r="O228">
            <v>900</v>
          </cell>
          <cell r="P228">
            <v>0</v>
          </cell>
          <cell r="Q228">
            <v>344</v>
          </cell>
          <cell r="R228">
            <v>344</v>
          </cell>
          <cell r="S228">
            <v>0.61777777777777776</v>
          </cell>
          <cell r="T228">
            <v>0.59</v>
          </cell>
          <cell r="U228">
            <v>8</v>
          </cell>
          <cell r="V228">
            <v>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900</v>
          </cell>
          <cell r="AB228">
            <v>344</v>
          </cell>
          <cell r="AC228">
            <v>0</v>
          </cell>
          <cell r="AD228">
            <v>0.61777777777777776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900</v>
          </cell>
          <cell r="AZ228">
            <v>0</v>
          </cell>
          <cell r="BA228">
            <v>900</v>
          </cell>
          <cell r="BB228">
            <v>344</v>
          </cell>
          <cell r="BC228">
            <v>0</v>
          </cell>
          <cell r="BD228">
            <v>1</v>
          </cell>
          <cell r="BE228">
            <v>1</v>
          </cell>
          <cell r="BF228">
            <v>0</v>
          </cell>
          <cell r="BG228">
            <v>0</v>
          </cell>
          <cell r="BH228">
            <v>0</v>
          </cell>
          <cell r="BI228">
            <v>105</v>
          </cell>
          <cell r="BJ228">
            <v>1</v>
          </cell>
          <cell r="BK228">
            <v>0</v>
          </cell>
          <cell r="BL228">
            <v>0</v>
          </cell>
          <cell r="BM228">
            <v>0</v>
          </cell>
          <cell r="BN228">
            <v>900</v>
          </cell>
          <cell r="BO228">
            <v>344</v>
          </cell>
          <cell r="BP228">
            <v>556</v>
          </cell>
          <cell r="BQ228">
            <v>900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X228">
            <v>0</v>
          </cell>
          <cell r="BY228">
            <v>8</v>
          </cell>
          <cell r="BZ228">
            <v>0</v>
          </cell>
          <cell r="CA228">
            <v>0</v>
          </cell>
        </row>
        <row r="229">
          <cell r="H229" t="str">
            <v>C233833</v>
          </cell>
          <cell r="I229" t="str">
            <v xml:space="preserve">NOUVEAU DOSSIER AS350         </v>
          </cell>
          <cell r="J229" t="str">
            <v xml:space="preserve">                              </v>
          </cell>
          <cell r="K229" t="str">
            <v>SAF HELICOPTERES</v>
          </cell>
          <cell r="L229" t="str">
            <v>LJA</v>
          </cell>
          <cell r="M229">
            <v>45125</v>
          </cell>
          <cell r="N229">
            <v>45142</v>
          </cell>
          <cell r="O229">
            <v>2550</v>
          </cell>
          <cell r="P229">
            <v>0</v>
          </cell>
          <cell r="Q229">
            <v>1204</v>
          </cell>
          <cell r="R229">
            <v>1204</v>
          </cell>
          <cell r="S229">
            <v>0.52784313725490195</v>
          </cell>
          <cell r="T229">
            <v>0.59</v>
          </cell>
          <cell r="U229">
            <v>24</v>
          </cell>
          <cell r="V229">
            <v>28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2550</v>
          </cell>
          <cell r="AB229">
            <v>1204</v>
          </cell>
          <cell r="AC229">
            <v>0</v>
          </cell>
          <cell r="AD229">
            <v>0.52784313725490195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2550</v>
          </cell>
          <cell r="AZ229">
            <v>0</v>
          </cell>
          <cell r="BA229">
            <v>2550</v>
          </cell>
          <cell r="BB229">
            <v>1204</v>
          </cell>
          <cell r="BC229">
            <v>0</v>
          </cell>
          <cell r="BD229">
            <v>1</v>
          </cell>
          <cell r="BE229">
            <v>1</v>
          </cell>
          <cell r="BF229">
            <v>0</v>
          </cell>
          <cell r="BG229">
            <v>0</v>
          </cell>
          <cell r="BH229">
            <v>0</v>
          </cell>
          <cell r="BI229">
            <v>105</v>
          </cell>
          <cell r="BJ229">
            <v>1</v>
          </cell>
          <cell r="BK229">
            <v>0</v>
          </cell>
          <cell r="BL229">
            <v>0</v>
          </cell>
          <cell r="BM229">
            <v>0</v>
          </cell>
          <cell r="BN229">
            <v>2550</v>
          </cell>
          <cell r="BO229">
            <v>1204</v>
          </cell>
          <cell r="BP229">
            <v>1346</v>
          </cell>
          <cell r="BQ229">
            <v>2550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X229">
            <v>0</v>
          </cell>
          <cell r="BY229">
            <v>28</v>
          </cell>
          <cell r="BZ229">
            <v>0</v>
          </cell>
          <cell r="CA229">
            <v>0</v>
          </cell>
        </row>
        <row r="230">
          <cell r="H230" t="str">
            <v>C233826</v>
          </cell>
          <cell r="I230" t="str">
            <v xml:space="preserve">MOD INSTALLATION TEMPORAIRE   </v>
          </cell>
          <cell r="J230" t="str">
            <v xml:space="preserve">                              </v>
          </cell>
          <cell r="K230" t="str">
            <v xml:space="preserve">D.T.I </v>
          </cell>
          <cell r="L230" t="str">
            <v>JFA</v>
          </cell>
          <cell r="M230">
            <v>45125</v>
          </cell>
          <cell r="N230" t="str">
            <v/>
          </cell>
          <cell r="O230">
            <v>9345</v>
          </cell>
          <cell r="P230">
            <v>9345</v>
          </cell>
          <cell r="Q230">
            <v>5891</v>
          </cell>
          <cell r="R230">
            <v>5891</v>
          </cell>
          <cell r="S230">
            <v>0.30283574103798827</v>
          </cell>
          <cell r="T230">
            <v>0.59</v>
          </cell>
          <cell r="U230">
            <v>89</v>
          </cell>
          <cell r="V230">
            <v>137</v>
          </cell>
          <cell r="W230">
            <v>0</v>
          </cell>
          <cell r="X230">
            <v>12</v>
          </cell>
          <cell r="Y230">
            <v>24</v>
          </cell>
          <cell r="Z230">
            <v>12</v>
          </cell>
          <cell r="AA230">
            <v>9345</v>
          </cell>
          <cell r="AB230">
            <v>5891</v>
          </cell>
          <cell r="AC230">
            <v>624</v>
          </cell>
          <cell r="AD230">
            <v>0.30283574103798827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8449.945510360707</v>
          </cell>
          <cell r="BB230">
            <v>5891</v>
          </cell>
          <cell r="BC230">
            <v>624</v>
          </cell>
          <cell r="BD230">
            <v>0.90422102839600926</v>
          </cell>
          <cell r="BE230">
            <v>0</v>
          </cell>
          <cell r="BF230">
            <v>0</v>
          </cell>
          <cell r="BG230">
            <v>8449.945510360707</v>
          </cell>
          <cell r="BH230">
            <v>0</v>
          </cell>
          <cell r="BI230">
            <v>105</v>
          </cell>
          <cell r="BJ230">
            <v>0.90422102839600926</v>
          </cell>
          <cell r="BK230">
            <v>0</v>
          </cell>
          <cell r="BL230">
            <v>-108</v>
          </cell>
          <cell r="BM230">
            <v>9.265527269617535E-2</v>
          </cell>
          <cell r="BN230">
            <v>8449.945510360707</v>
          </cell>
          <cell r="BO230">
            <v>5891</v>
          </cell>
          <cell r="BP230">
            <v>2558.945510360707</v>
          </cell>
          <cell r="BQ230">
            <v>0</v>
          </cell>
          <cell r="BR230">
            <v>865.86352334575895</v>
          </cell>
          <cell r="BS230">
            <v>516</v>
          </cell>
          <cell r="BT230">
            <v>349.86352334575895</v>
          </cell>
          <cell r="BU230">
            <v>0</v>
          </cell>
          <cell r="BV230">
            <v>0</v>
          </cell>
          <cell r="BX230">
            <v>895.05448963929302</v>
          </cell>
          <cell r="BY230">
            <v>137</v>
          </cell>
          <cell r="BZ230">
            <v>0</v>
          </cell>
          <cell r="CA230">
            <v>0</v>
          </cell>
        </row>
        <row r="231">
          <cell r="H231" t="str">
            <v>B230167</v>
          </cell>
          <cell r="I231" t="str">
            <v xml:space="preserve">B350 SB U-LEATHER REPLACEMENT </v>
          </cell>
          <cell r="J231" t="str">
            <v xml:space="preserve">                              </v>
          </cell>
          <cell r="K231" t="str">
            <v xml:space="preserve">AEROTEC BLAGNAC </v>
          </cell>
          <cell r="L231" t="str">
            <v>VGA</v>
          </cell>
          <cell r="M231">
            <v>45125</v>
          </cell>
          <cell r="N231" t="str">
            <v/>
          </cell>
          <cell r="O231">
            <v>1204</v>
          </cell>
          <cell r="P231">
            <v>1204</v>
          </cell>
          <cell r="Q231">
            <v>3053</v>
          </cell>
          <cell r="R231">
            <v>3053</v>
          </cell>
          <cell r="S231">
            <v>-1.6220930232558142</v>
          </cell>
          <cell r="T231">
            <v>0.59</v>
          </cell>
          <cell r="U231">
            <v>28</v>
          </cell>
          <cell r="V231">
            <v>71</v>
          </cell>
          <cell r="W231">
            <v>0</v>
          </cell>
          <cell r="X231">
            <v>2</v>
          </cell>
          <cell r="Y231">
            <v>0</v>
          </cell>
          <cell r="Z231">
            <v>0</v>
          </cell>
          <cell r="AA231">
            <v>1204</v>
          </cell>
          <cell r="AB231">
            <v>3053</v>
          </cell>
          <cell r="AC231">
            <v>104</v>
          </cell>
          <cell r="AD231">
            <v>-1.6220930232558142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1164.3370288248339</v>
          </cell>
          <cell r="BB231">
            <v>3053</v>
          </cell>
          <cell r="BC231">
            <v>104</v>
          </cell>
          <cell r="BD231">
            <v>0.9670573329109915</v>
          </cell>
          <cell r="BE231">
            <v>0</v>
          </cell>
          <cell r="BF231">
            <v>0</v>
          </cell>
          <cell r="BG231">
            <v>1164.3370288248339</v>
          </cell>
          <cell r="BH231">
            <v>0</v>
          </cell>
          <cell r="BI231">
            <v>105</v>
          </cell>
          <cell r="BJ231">
            <v>0.9670573329109915</v>
          </cell>
          <cell r="BK231">
            <v>0</v>
          </cell>
          <cell r="BL231">
            <v>104</v>
          </cell>
          <cell r="BM231">
            <v>-3.2942667089008504E-2</v>
          </cell>
          <cell r="BN231">
            <v>1164.3370288248339</v>
          </cell>
          <cell r="BO231">
            <v>3053</v>
          </cell>
          <cell r="BP231">
            <v>-1888.6629711751661</v>
          </cell>
          <cell r="BQ231">
            <v>0</v>
          </cell>
          <cell r="BR231">
            <v>-39.662971175166149</v>
          </cell>
          <cell r="BS231">
            <v>0</v>
          </cell>
          <cell r="BT231">
            <v>-39.662971175166149</v>
          </cell>
          <cell r="BU231">
            <v>0</v>
          </cell>
          <cell r="BV231">
            <v>0</v>
          </cell>
          <cell r="BX231">
            <v>39.662971175166149</v>
          </cell>
          <cell r="BY231">
            <v>71</v>
          </cell>
          <cell r="BZ231">
            <v>0</v>
          </cell>
          <cell r="CA231">
            <v>0</v>
          </cell>
        </row>
        <row r="232">
          <cell r="H232" t="str">
            <v>C233841</v>
          </cell>
          <cell r="I232" t="str">
            <v>F7X MSN148 REGISTRATION CHANGE</v>
          </cell>
          <cell r="J232" t="str">
            <v xml:space="preserve">                              </v>
          </cell>
          <cell r="K232" t="str">
            <v xml:space="preserve">DASSAULT AVIATION BUSINESS SERVICES </v>
          </cell>
          <cell r="L232" t="str">
            <v>VGA</v>
          </cell>
          <cell r="M232">
            <v>45131</v>
          </cell>
          <cell r="N232">
            <v>45174</v>
          </cell>
          <cell r="O232">
            <v>2350</v>
          </cell>
          <cell r="P232">
            <v>2350</v>
          </cell>
          <cell r="Q232">
            <v>1247</v>
          </cell>
          <cell r="R232">
            <v>1247</v>
          </cell>
          <cell r="S232">
            <v>0.4693617021276596</v>
          </cell>
          <cell r="T232">
            <v>0.59</v>
          </cell>
          <cell r="U232">
            <v>21</v>
          </cell>
          <cell r="V232">
            <v>29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2350</v>
          </cell>
          <cell r="AB232">
            <v>1247</v>
          </cell>
          <cell r="AC232">
            <v>0</v>
          </cell>
          <cell r="AD232">
            <v>0.4693617021276596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2350</v>
          </cell>
          <cell r="BB232">
            <v>1247</v>
          </cell>
          <cell r="BC232">
            <v>0</v>
          </cell>
          <cell r="BD232">
            <v>1</v>
          </cell>
          <cell r="BE232">
            <v>0</v>
          </cell>
          <cell r="BF232">
            <v>0</v>
          </cell>
          <cell r="BG232">
            <v>2350</v>
          </cell>
          <cell r="BH232">
            <v>0</v>
          </cell>
          <cell r="BI232">
            <v>105</v>
          </cell>
          <cell r="BJ232">
            <v>1</v>
          </cell>
          <cell r="BK232">
            <v>0</v>
          </cell>
          <cell r="BL232">
            <v>0</v>
          </cell>
          <cell r="BM232">
            <v>0</v>
          </cell>
          <cell r="BN232">
            <v>2350</v>
          </cell>
          <cell r="BO232">
            <v>1247</v>
          </cell>
          <cell r="BP232">
            <v>1103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X232">
            <v>0</v>
          </cell>
          <cell r="BY232">
            <v>29</v>
          </cell>
          <cell r="BZ232">
            <v>0</v>
          </cell>
          <cell r="CA232">
            <v>0</v>
          </cell>
        </row>
        <row r="233">
          <cell r="H233" t="str">
            <v>C233842</v>
          </cell>
          <cell r="I233" t="str">
            <v xml:space="preserve">COCKPIT SEAT REFURBISHMENT    </v>
          </cell>
          <cell r="J233" t="str">
            <v xml:space="preserve">                              </v>
          </cell>
          <cell r="K233" t="str">
            <v xml:space="preserve">JV AEROSERVICES </v>
          </cell>
          <cell r="L233" t="str">
            <v>VGA</v>
          </cell>
          <cell r="M233">
            <v>45131</v>
          </cell>
          <cell r="N233">
            <v>45199</v>
          </cell>
          <cell r="O233">
            <v>4000</v>
          </cell>
          <cell r="P233">
            <v>4000</v>
          </cell>
          <cell r="Q233">
            <v>1333</v>
          </cell>
          <cell r="R233">
            <v>1333</v>
          </cell>
          <cell r="S233">
            <v>0.66674999999999995</v>
          </cell>
          <cell r="T233">
            <v>0.59</v>
          </cell>
          <cell r="U233">
            <v>36</v>
          </cell>
          <cell r="V233">
            <v>31</v>
          </cell>
          <cell r="W233">
            <v>0</v>
          </cell>
          <cell r="X233">
            <v>0</v>
          </cell>
          <cell r="Y233">
            <v>16</v>
          </cell>
          <cell r="Z233">
            <v>11</v>
          </cell>
          <cell r="AA233">
            <v>4000</v>
          </cell>
          <cell r="AB233">
            <v>1333</v>
          </cell>
          <cell r="AC233">
            <v>0</v>
          </cell>
          <cell r="AD233">
            <v>0.66674999999999995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4000</v>
          </cell>
          <cell r="AZ233">
            <v>0</v>
          </cell>
          <cell r="BA233">
            <v>4000</v>
          </cell>
          <cell r="BB233">
            <v>1333</v>
          </cell>
          <cell r="BC233">
            <v>0</v>
          </cell>
          <cell r="BD233">
            <v>1</v>
          </cell>
          <cell r="BE233">
            <v>1</v>
          </cell>
          <cell r="BF233">
            <v>0</v>
          </cell>
          <cell r="BG233">
            <v>0</v>
          </cell>
          <cell r="BH233">
            <v>0</v>
          </cell>
          <cell r="BI233">
            <v>105</v>
          </cell>
          <cell r="BJ233">
            <v>1</v>
          </cell>
          <cell r="BK233">
            <v>0</v>
          </cell>
          <cell r="BL233">
            <v>-359</v>
          </cell>
          <cell r="BM233">
            <v>0.49172576832151305</v>
          </cell>
          <cell r="BN233">
            <v>4000</v>
          </cell>
          <cell r="BO233">
            <v>1333</v>
          </cell>
          <cell r="BP233">
            <v>2667</v>
          </cell>
          <cell r="BQ233">
            <v>4000</v>
          </cell>
          <cell r="BR233">
            <v>1966.9030732860522</v>
          </cell>
          <cell r="BS233">
            <v>473</v>
          </cell>
          <cell r="BT233">
            <v>1493.9030732860522</v>
          </cell>
          <cell r="BU233">
            <v>4000</v>
          </cell>
          <cell r="BV233">
            <v>0</v>
          </cell>
          <cell r="BX233">
            <v>0</v>
          </cell>
          <cell r="BY233">
            <v>31</v>
          </cell>
          <cell r="BZ233">
            <v>0</v>
          </cell>
          <cell r="CA233">
            <v>0</v>
          </cell>
        </row>
        <row r="234">
          <cell r="H234" t="str">
            <v>C233687</v>
          </cell>
          <cell r="I234" t="str">
            <v xml:space="preserve">INSTALLATION &amp; CERTIFICATION  </v>
          </cell>
          <cell r="J234" t="str">
            <v xml:space="preserve">                              </v>
          </cell>
          <cell r="K234" t="str">
            <v>ARESIA</v>
          </cell>
          <cell r="L234" t="str">
            <v>LJA</v>
          </cell>
          <cell r="M234">
            <v>45133</v>
          </cell>
          <cell r="N234" t="str">
            <v/>
          </cell>
          <cell r="O234">
            <v>176870</v>
          </cell>
          <cell r="P234">
            <v>0</v>
          </cell>
          <cell r="Q234">
            <v>3029.38</v>
          </cell>
          <cell r="R234">
            <v>3029.38</v>
          </cell>
          <cell r="S234">
            <v>0.53103974670662069</v>
          </cell>
          <cell r="T234">
            <v>0.56911856165545316</v>
          </cell>
          <cell r="U234">
            <v>1490</v>
          </cell>
          <cell r="V234">
            <v>64</v>
          </cell>
          <cell r="W234">
            <v>0</v>
          </cell>
          <cell r="X234">
            <v>1396</v>
          </cell>
          <cell r="Y234">
            <v>1422</v>
          </cell>
          <cell r="Z234">
            <v>26</v>
          </cell>
          <cell r="AA234">
            <v>167400</v>
          </cell>
          <cell r="AB234">
            <v>2752</v>
          </cell>
          <cell r="AC234">
            <v>72592</v>
          </cell>
          <cell r="AD234">
            <v>0.54991636798088406</v>
          </cell>
          <cell r="AE234">
            <v>8970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7176</v>
          </cell>
          <cell r="AK234">
            <v>7176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0.19999999999999996</v>
          </cell>
          <cell r="AS234">
            <v>500</v>
          </cell>
          <cell r="AT234">
            <v>277.38</v>
          </cell>
          <cell r="AU234">
            <v>147.62</v>
          </cell>
          <cell r="AV234">
            <v>0</v>
          </cell>
          <cell r="AW234">
            <v>277.38</v>
          </cell>
          <cell r="AX234">
            <v>0.15000000000000002</v>
          </cell>
          <cell r="AY234">
            <v>53061</v>
          </cell>
          <cell r="AZ234">
            <v>0</v>
          </cell>
          <cell r="BA234">
            <v>6459.7798613539089</v>
          </cell>
          <cell r="BB234">
            <v>3029.38</v>
          </cell>
          <cell r="BC234">
            <v>79915.62</v>
          </cell>
          <cell r="BD234">
            <v>3.6522756043161131E-2</v>
          </cell>
          <cell r="BE234">
            <v>0.3</v>
          </cell>
          <cell r="BF234">
            <v>-46601.220138646087</v>
          </cell>
          <cell r="BG234">
            <v>0</v>
          </cell>
          <cell r="BH234">
            <v>0</v>
          </cell>
          <cell r="BI234">
            <v>105</v>
          </cell>
          <cell r="BJ234">
            <v>0.1</v>
          </cell>
          <cell r="BK234">
            <v>0</v>
          </cell>
          <cell r="BL234">
            <v>191</v>
          </cell>
          <cell r="BM234">
            <v>1.6777486932302441E-2</v>
          </cell>
          <cell r="BN234">
            <v>6459.7798613539089</v>
          </cell>
          <cell r="BO234">
            <v>3029.38</v>
          </cell>
          <cell r="BP234">
            <v>3430.3998613539088</v>
          </cell>
          <cell r="BQ234">
            <v>53061</v>
          </cell>
          <cell r="BR234">
            <v>2967.4341137163324</v>
          </cell>
          <cell r="BS234">
            <v>1395.38</v>
          </cell>
          <cell r="BT234">
            <v>1572.0541137163323</v>
          </cell>
          <cell r="BU234">
            <v>0</v>
          </cell>
          <cell r="BV234">
            <v>11227.220138646091</v>
          </cell>
          <cell r="BX234">
            <v>159183</v>
          </cell>
          <cell r="BY234">
            <v>64</v>
          </cell>
          <cell r="BZ234">
            <v>0</v>
          </cell>
          <cell r="CA234">
            <v>277.38</v>
          </cell>
        </row>
        <row r="235">
          <cell r="H235" t="str">
            <v>C233843</v>
          </cell>
          <cell r="I235" t="str">
            <v>AIRBUS ATLANT. VSB ENDORSEMENT</v>
          </cell>
          <cell r="J235" t="str">
            <v xml:space="preserve">                              </v>
          </cell>
          <cell r="K235" t="str">
            <v xml:space="preserve">AIR CARAIBES ATLANTIQUE </v>
          </cell>
          <cell r="L235" t="str">
            <v>VGA</v>
          </cell>
          <cell r="M235">
            <v>45134</v>
          </cell>
          <cell r="N235" t="str">
            <v/>
          </cell>
          <cell r="O235">
            <v>5500</v>
          </cell>
          <cell r="P235">
            <v>5500</v>
          </cell>
          <cell r="Q235">
            <v>1462</v>
          </cell>
          <cell r="R235">
            <v>1462</v>
          </cell>
          <cell r="S235">
            <v>0.57345454545454544</v>
          </cell>
          <cell r="T235">
            <v>0.59</v>
          </cell>
          <cell r="U235">
            <v>51.428571428571431</v>
          </cell>
          <cell r="V235">
            <v>34</v>
          </cell>
          <cell r="W235">
            <v>0</v>
          </cell>
          <cell r="X235">
            <v>17</v>
          </cell>
          <cell r="Y235">
            <v>2</v>
          </cell>
          <cell r="Z235">
            <v>0</v>
          </cell>
          <cell r="AA235">
            <v>5500</v>
          </cell>
          <cell r="AB235">
            <v>1462</v>
          </cell>
          <cell r="AC235">
            <v>884</v>
          </cell>
          <cell r="AD235">
            <v>0.57345454545454544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3427.536231884058</v>
          </cell>
          <cell r="BB235">
            <v>1462</v>
          </cell>
          <cell r="BC235">
            <v>884</v>
          </cell>
          <cell r="BD235">
            <v>0.62318840579710144</v>
          </cell>
          <cell r="BE235">
            <v>0</v>
          </cell>
          <cell r="BF235">
            <v>0</v>
          </cell>
          <cell r="BG235">
            <v>3427.536231884058</v>
          </cell>
          <cell r="BH235">
            <v>0</v>
          </cell>
          <cell r="BI235">
            <v>105</v>
          </cell>
          <cell r="BJ235">
            <v>0.62318840579710144</v>
          </cell>
          <cell r="BK235">
            <v>0</v>
          </cell>
          <cell r="BL235">
            <v>780</v>
          </cell>
          <cell r="BM235">
            <v>-0.31040035537786659</v>
          </cell>
          <cell r="BN235">
            <v>3427.536231884058</v>
          </cell>
          <cell r="BO235">
            <v>1462</v>
          </cell>
          <cell r="BP235">
            <v>1965.536231884058</v>
          </cell>
          <cell r="BQ235">
            <v>0</v>
          </cell>
          <cell r="BR235">
            <v>1373.6409572991283</v>
          </cell>
          <cell r="BS235">
            <v>0</v>
          </cell>
          <cell r="BT235">
            <v>1373.6409572991283</v>
          </cell>
          <cell r="BU235">
            <v>0</v>
          </cell>
          <cell r="BV235">
            <v>0</v>
          </cell>
          <cell r="BX235">
            <v>2072.463768115942</v>
          </cell>
          <cell r="BY235">
            <v>34</v>
          </cell>
          <cell r="BZ235">
            <v>0</v>
          </cell>
          <cell r="CA235">
            <v>0</v>
          </cell>
        </row>
        <row r="236">
          <cell r="H236" t="str">
            <v>C233844</v>
          </cell>
          <cell r="I236" t="str">
            <v xml:space="preserve">A310 ZERO G EXTERNAL LIVERY   </v>
          </cell>
          <cell r="J236" t="str">
            <v xml:space="preserve">                              </v>
          </cell>
          <cell r="K236" t="str">
            <v xml:space="preserve">NOVESPACE </v>
          </cell>
          <cell r="L236" t="str">
            <v>VGA</v>
          </cell>
          <cell r="M236">
            <v>45137</v>
          </cell>
          <cell r="N236">
            <v>45174</v>
          </cell>
          <cell r="O236">
            <v>1800</v>
          </cell>
          <cell r="P236">
            <v>1800</v>
          </cell>
          <cell r="Q236">
            <v>602</v>
          </cell>
          <cell r="R236">
            <v>602</v>
          </cell>
          <cell r="S236">
            <v>0.66555555555555557</v>
          </cell>
          <cell r="T236">
            <v>0.59</v>
          </cell>
          <cell r="U236">
            <v>16</v>
          </cell>
          <cell r="V236">
            <v>14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1800</v>
          </cell>
          <cell r="AB236">
            <v>602</v>
          </cell>
          <cell r="AC236">
            <v>0</v>
          </cell>
          <cell r="AD236">
            <v>0.66555555555555557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1800</v>
          </cell>
          <cell r="BB236">
            <v>602</v>
          </cell>
          <cell r="BC236">
            <v>0</v>
          </cell>
          <cell r="BD236">
            <v>1</v>
          </cell>
          <cell r="BE236">
            <v>0</v>
          </cell>
          <cell r="BF236">
            <v>0</v>
          </cell>
          <cell r="BG236">
            <v>1800</v>
          </cell>
          <cell r="BH236">
            <v>0</v>
          </cell>
          <cell r="BI236">
            <v>105</v>
          </cell>
          <cell r="BJ236">
            <v>1</v>
          </cell>
          <cell r="BK236">
            <v>0</v>
          </cell>
          <cell r="BL236">
            <v>0</v>
          </cell>
          <cell r="BM236">
            <v>0</v>
          </cell>
          <cell r="BN236">
            <v>1800</v>
          </cell>
          <cell r="BO236">
            <v>602</v>
          </cell>
          <cell r="BP236">
            <v>1198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X236">
            <v>0</v>
          </cell>
          <cell r="BY236">
            <v>14</v>
          </cell>
          <cell r="BZ236">
            <v>0</v>
          </cell>
          <cell r="CA236">
            <v>0</v>
          </cell>
        </row>
        <row r="237">
          <cell r="H237" t="str">
            <v>C233849</v>
          </cell>
          <cell r="I237" t="str">
            <v xml:space="preserve">AJOUT D'APPLI AE23061         </v>
          </cell>
          <cell r="J237" t="str">
            <v xml:space="preserve">23061                         </v>
          </cell>
          <cell r="K237" t="str">
            <v>ROTOR TEAM</v>
          </cell>
          <cell r="L237" t="str">
            <v>LJA</v>
          </cell>
          <cell r="M237">
            <v>45138</v>
          </cell>
          <cell r="N237">
            <v>45163</v>
          </cell>
          <cell r="O237">
            <v>700</v>
          </cell>
          <cell r="P237">
            <v>700</v>
          </cell>
          <cell r="Q237">
            <v>301</v>
          </cell>
          <cell r="R237">
            <v>301</v>
          </cell>
          <cell r="S237">
            <v>0.57000000000000006</v>
          </cell>
          <cell r="T237">
            <v>0.59</v>
          </cell>
          <cell r="U237">
            <v>6.5</v>
          </cell>
          <cell r="V237">
            <v>7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700</v>
          </cell>
          <cell r="AB237">
            <v>301</v>
          </cell>
          <cell r="AC237">
            <v>0</v>
          </cell>
          <cell r="AD237">
            <v>0.57000000000000006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700</v>
          </cell>
          <cell r="AZ237">
            <v>0</v>
          </cell>
          <cell r="BA237">
            <v>700</v>
          </cell>
          <cell r="BB237">
            <v>301</v>
          </cell>
          <cell r="BC237">
            <v>0</v>
          </cell>
          <cell r="BD237">
            <v>1</v>
          </cell>
          <cell r="BE237">
            <v>1</v>
          </cell>
          <cell r="BF237">
            <v>0</v>
          </cell>
          <cell r="BG237">
            <v>0</v>
          </cell>
          <cell r="BH237">
            <v>0</v>
          </cell>
          <cell r="BI237">
            <v>105</v>
          </cell>
          <cell r="BJ237">
            <v>1</v>
          </cell>
          <cell r="BK237">
            <v>0</v>
          </cell>
          <cell r="BL237">
            <v>0</v>
          </cell>
          <cell r="BM237">
            <v>0</v>
          </cell>
          <cell r="BN237">
            <v>700</v>
          </cell>
          <cell r="BO237">
            <v>301</v>
          </cell>
          <cell r="BP237">
            <v>399</v>
          </cell>
          <cell r="BQ237">
            <v>700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X237">
            <v>0</v>
          </cell>
          <cell r="BY237">
            <v>7</v>
          </cell>
          <cell r="BZ237">
            <v>0</v>
          </cell>
          <cell r="CA237">
            <v>0</v>
          </cell>
        </row>
        <row r="238">
          <cell r="H238" t="str">
            <v>C233745</v>
          </cell>
          <cell r="I238" t="str">
            <v xml:space="preserve">ACJ WIRELESS IFE SOLUTION     </v>
          </cell>
          <cell r="J238" t="str">
            <v xml:space="preserve">                              </v>
          </cell>
          <cell r="K238" t="str">
            <v>AIRBUS SAS</v>
          </cell>
          <cell r="L238" t="str">
            <v>PRO</v>
          </cell>
          <cell r="M238">
            <v>45140</v>
          </cell>
          <cell r="N238" t="str">
            <v/>
          </cell>
          <cell r="O238">
            <v>211000</v>
          </cell>
          <cell r="P238">
            <v>211000</v>
          </cell>
          <cell r="Q238">
            <v>93092.23</v>
          </cell>
          <cell r="R238">
            <v>33292.230000000003</v>
          </cell>
          <cell r="S238">
            <v>0.28981691943127963</v>
          </cell>
          <cell r="T238">
            <v>0.31367298578199054</v>
          </cell>
          <cell r="U238">
            <v>585.71428571428567</v>
          </cell>
          <cell r="V238">
            <v>25</v>
          </cell>
          <cell r="W238">
            <v>0</v>
          </cell>
          <cell r="X238">
            <v>560.70000000000005</v>
          </cell>
          <cell r="Y238">
            <v>577.71428571428567</v>
          </cell>
          <cell r="Z238">
            <v>17</v>
          </cell>
          <cell r="AA238">
            <v>61500</v>
          </cell>
          <cell r="AB238">
            <v>1075</v>
          </cell>
          <cell r="AC238">
            <v>29156.400000000001</v>
          </cell>
          <cell r="AD238">
            <v>0.50843252032520325</v>
          </cell>
          <cell r="AE238">
            <v>149500</v>
          </cell>
          <cell r="AF238">
            <v>92000</v>
          </cell>
          <cell r="AG238">
            <v>32200</v>
          </cell>
          <cell r="AH238">
            <v>59800</v>
          </cell>
          <cell r="AI238">
            <v>-13800</v>
          </cell>
          <cell r="AJ238">
            <v>27600</v>
          </cell>
          <cell r="AK238">
            <v>119600</v>
          </cell>
          <cell r="AL238">
            <v>92000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0.19999999999999996</v>
          </cell>
          <cell r="AS238">
            <v>0</v>
          </cell>
          <cell r="AT238">
            <v>17.23</v>
          </cell>
          <cell r="AU238">
            <v>0</v>
          </cell>
          <cell r="AV238">
            <v>0</v>
          </cell>
          <cell r="AW238">
            <v>17.23</v>
          </cell>
          <cell r="AX238">
            <v>0</v>
          </cell>
          <cell r="AY238">
            <v>63300</v>
          </cell>
          <cell r="AZ238">
            <v>0</v>
          </cell>
          <cell r="BA238">
            <v>46878.376732573401</v>
          </cell>
          <cell r="BB238">
            <v>33292.230000000003</v>
          </cell>
          <cell r="BC238">
            <v>116556.4</v>
          </cell>
          <cell r="BD238">
            <v>0.22217240157617726</v>
          </cell>
          <cell r="BE238">
            <v>0.3</v>
          </cell>
          <cell r="BF238">
            <v>-16421.623267426596</v>
          </cell>
          <cell r="BG238">
            <v>0</v>
          </cell>
          <cell r="BH238">
            <v>0</v>
          </cell>
          <cell r="BI238">
            <v>105</v>
          </cell>
          <cell r="BJ238">
            <v>0.22217240157617726</v>
          </cell>
          <cell r="BK238">
            <v>0</v>
          </cell>
          <cell r="BL238">
            <v>-136.51285714283586</v>
          </cell>
          <cell r="BM238">
            <v>0.21987884107113675</v>
          </cell>
          <cell r="BN238">
            <v>46878.376732573401</v>
          </cell>
          <cell r="BO238">
            <v>33292.230000000003</v>
          </cell>
          <cell r="BP238">
            <v>13586.146732573397</v>
          </cell>
          <cell r="BQ238">
            <v>63300</v>
          </cell>
          <cell r="BR238">
            <v>46394.435466009854</v>
          </cell>
          <cell r="BS238">
            <v>32948.230000000003</v>
          </cell>
          <cell r="BT238">
            <v>13446.205466009851</v>
          </cell>
          <cell r="BU238">
            <v>0</v>
          </cell>
          <cell r="BV238">
            <v>0</v>
          </cell>
          <cell r="BX238">
            <v>164121.62326742659</v>
          </cell>
          <cell r="BY238">
            <v>25</v>
          </cell>
          <cell r="BZ238">
            <v>0</v>
          </cell>
          <cell r="CA238">
            <v>32217.23</v>
          </cell>
        </row>
        <row r="239">
          <cell r="H239" t="str">
            <v>C233851</v>
          </cell>
          <cell r="I239" t="str">
            <v xml:space="preserve"> MODIFICATION NACELLE T1      </v>
          </cell>
          <cell r="J239" t="str">
            <v xml:space="preserve">                              </v>
          </cell>
          <cell r="K239" t="str">
            <v xml:space="preserve">RESEAUX TRANSPORT ELECTRICITE </v>
          </cell>
          <cell r="L239" t="str">
            <v>LJA</v>
          </cell>
          <cell r="M239">
            <v>45152</v>
          </cell>
          <cell r="N239">
            <v>45195</v>
          </cell>
          <cell r="O239">
            <v>17339.2</v>
          </cell>
          <cell r="P239">
            <v>0</v>
          </cell>
          <cell r="Q239">
            <v>13177.36</v>
          </cell>
          <cell r="R239">
            <v>13177.36</v>
          </cell>
          <cell r="S239">
            <v>0.24002491464427422</v>
          </cell>
          <cell r="T239">
            <v>0.31075251453354247</v>
          </cell>
          <cell r="U239">
            <v>58.5</v>
          </cell>
          <cell r="V239">
            <v>63.5</v>
          </cell>
          <cell r="W239">
            <v>2</v>
          </cell>
          <cell r="X239">
            <v>0</v>
          </cell>
          <cell r="Y239">
            <v>5.5</v>
          </cell>
          <cell r="Z239">
            <v>12.5</v>
          </cell>
          <cell r="AA239">
            <v>4924</v>
          </cell>
          <cell r="AB239">
            <v>2834.5</v>
          </cell>
          <cell r="AC239">
            <v>0</v>
          </cell>
          <cell r="AD239">
            <v>0.42435012185215271</v>
          </cell>
          <cell r="AE239">
            <v>12415.2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10342.86</v>
          </cell>
          <cell r="AN239">
            <v>10342.86</v>
          </cell>
          <cell r="AO239">
            <v>0</v>
          </cell>
          <cell r="AP239">
            <v>0</v>
          </cell>
          <cell r="AQ239">
            <v>1.319999999999709</v>
          </cell>
          <cell r="AR239">
            <v>0.16691958244732263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17339.2</v>
          </cell>
          <cell r="AZ239">
            <v>0</v>
          </cell>
          <cell r="BA239">
            <v>17339.2</v>
          </cell>
          <cell r="BB239">
            <v>13177.36</v>
          </cell>
          <cell r="BC239">
            <v>0</v>
          </cell>
          <cell r="BD239">
            <v>1</v>
          </cell>
          <cell r="BE239">
            <v>1</v>
          </cell>
          <cell r="BF239">
            <v>0</v>
          </cell>
          <cell r="BG239">
            <v>0</v>
          </cell>
          <cell r="BH239">
            <v>0</v>
          </cell>
          <cell r="BI239">
            <v>105</v>
          </cell>
          <cell r="BJ239">
            <v>1</v>
          </cell>
          <cell r="BK239">
            <v>0</v>
          </cell>
          <cell r="BL239">
            <v>252.81999999999971</v>
          </cell>
          <cell r="BM239">
            <v>0.66192163125341397</v>
          </cell>
          <cell r="BN239">
            <v>17339.2</v>
          </cell>
          <cell r="BO239">
            <v>13177.36</v>
          </cell>
          <cell r="BP239">
            <v>4161.84</v>
          </cell>
          <cell r="BQ239">
            <v>17339.2</v>
          </cell>
          <cell r="BR239">
            <v>11477.191548629198</v>
          </cell>
          <cell r="BS239">
            <v>8807.8526000000002</v>
          </cell>
          <cell r="BT239">
            <v>2669.3389486291981</v>
          </cell>
          <cell r="BU239">
            <v>17339.2</v>
          </cell>
          <cell r="BV239">
            <v>0</v>
          </cell>
          <cell r="BX239">
            <v>0</v>
          </cell>
          <cell r="BY239">
            <v>63.5</v>
          </cell>
          <cell r="BZ239">
            <v>2</v>
          </cell>
          <cell r="CA239">
            <v>0</v>
          </cell>
        </row>
        <row r="240">
          <cell r="H240" t="str">
            <v>C233864</v>
          </cell>
          <cell r="I240" t="str">
            <v xml:space="preserve">DESINSTALLATION RADIO KHF 950 </v>
          </cell>
          <cell r="J240" t="str">
            <v xml:space="preserve">23085                         </v>
          </cell>
          <cell r="K240" t="str">
            <v xml:space="preserve">HDF MAINTENANCE </v>
          </cell>
          <cell r="L240" t="str">
            <v>LJA</v>
          </cell>
          <cell r="M240">
            <v>45161</v>
          </cell>
          <cell r="N240">
            <v>45195</v>
          </cell>
          <cell r="O240">
            <v>1950</v>
          </cell>
          <cell r="P240">
            <v>0</v>
          </cell>
          <cell r="Q240">
            <v>774</v>
          </cell>
          <cell r="R240">
            <v>774</v>
          </cell>
          <cell r="S240">
            <v>0.60307692307692307</v>
          </cell>
          <cell r="T240">
            <v>0.59</v>
          </cell>
          <cell r="U240">
            <v>18.5</v>
          </cell>
          <cell r="V240">
            <v>18</v>
          </cell>
          <cell r="W240">
            <v>0</v>
          </cell>
          <cell r="X240">
            <v>0</v>
          </cell>
          <cell r="Y240">
            <v>15</v>
          </cell>
          <cell r="Z240">
            <v>15</v>
          </cell>
          <cell r="AA240">
            <v>1950</v>
          </cell>
          <cell r="AB240">
            <v>774</v>
          </cell>
          <cell r="AC240">
            <v>0</v>
          </cell>
          <cell r="AD240">
            <v>0.60307692307692307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1950</v>
          </cell>
          <cell r="AZ240">
            <v>0</v>
          </cell>
          <cell r="BA240">
            <v>1950</v>
          </cell>
          <cell r="BB240">
            <v>774</v>
          </cell>
          <cell r="BC240">
            <v>0</v>
          </cell>
          <cell r="BD240">
            <v>1</v>
          </cell>
          <cell r="BE240">
            <v>1</v>
          </cell>
          <cell r="BF240">
            <v>0</v>
          </cell>
          <cell r="BG240">
            <v>0</v>
          </cell>
          <cell r="BH240">
            <v>0</v>
          </cell>
          <cell r="BI240">
            <v>105</v>
          </cell>
          <cell r="BJ240">
            <v>1</v>
          </cell>
          <cell r="BK240">
            <v>0</v>
          </cell>
          <cell r="BL240">
            <v>-135</v>
          </cell>
          <cell r="BM240">
            <v>0.85808580858085803</v>
          </cell>
          <cell r="BN240">
            <v>1950</v>
          </cell>
          <cell r="BO240">
            <v>774</v>
          </cell>
          <cell r="BP240">
            <v>1176</v>
          </cell>
          <cell r="BQ240">
            <v>1950</v>
          </cell>
          <cell r="BR240">
            <v>1673.2673267326732</v>
          </cell>
          <cell r="BS240">
            <v>645</v>
          </cell>
          <cell r="BT240">
            <v>1028.2673267326732</v>
          </cell>
          <cell r="BU240">
            <v>1950</v>
          </cell>
          <cell r="BV240">
            <v>0</v>
          </cell>
          <cell r="BX240">
            <v>0</v>
          </cell>
          <cell r="BY240">
            <v>18</v>
          </cell>
          <cell r="BZ240">
            <v>0</v>
          </cell>
          <cell r="CA240">
            <v>0</v>
          </cell>
        </row>
        <row r="241">
          <cell r="H241" t="str">
            <v>C233858</v>
          </cell>
          <cell r="I241" t="str">
            <v xml:space="preserve">DEVELOPMENT OF A MODIFICATION </v>
          </cell>
          <cell r="J241" t="str">
            <v xml:space="preserve">23086                         </v>
          </cell>
          <cell r="K241" t="str">
            <v xml:space="preserve">JG AVIATION </v>
          </cell>
          <cell r="L241" t="str">
            <v>VGA</v>
          </cell>
          <cell r="M241">
            <v>45161</v>
          </cell>
          <cell r="N241" t="str">
            <v/>
          </cell>
          <cell r="O241">
            <v>15040</v>
          </cell>
          <cell r="P241">
            <v>15040</v>
          </cell>
          <cell r="Q241">
            <v>1677</v>
          </cell>
          <cell r="R241">
            <v>1677</v>
          </cell>
          <cell r="S241">
            <v>0.44910904255319151</v>
          </cell>
          <cell r="T241">
            <v>0.46968085106382979</v>
          </cell>
          <cell r="U241">
            <v>94.7</v>
          </cell>
          <cell r="V241">
            <v>39</v>
          </cell>
          <cell r="W241">
            <v>0</v>
          </cell>
          <cell r="X241">
            <v>55.7</v>
          </cell>
          <cell r="Y241">
            <v>88.7</v>
          </cell>
          <cell r="Z241">
            <v>33</v>
          </cell>
          <cell r="AA241">
            <v>10400</v>
          </cell>
          <cell r="AB241">
            <v>1677</v>
          </cell>
          <cell r="AC241">
            <v>2896.4</v>
          </cell>
          <cell r="AD241">
            <v>0.56025000000000003</v>
          </cell>
          <cell r="AE241">
            <v>4640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3712</v>
          </cell>
          <cell r="AK241">
            <v>3712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0.19999999999999996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7520</v>
          </cell>
          <cell r="AZ241">
            <v>0</v>
          </cell>
          <cell r="BA241">
            <v>3044.1596060540228</v>
          </cell>
          <cell r="BB241">
            <v>1677</v>
          </cell>
          <cell r="BC241">
            <v>6608.4</v>
          </cell>
          <cell r="BD241">
            <v>0.20240422912593237</v>
          </cell>
          <cell r="BE241">
            <v>0.5</v>
          </cell>
          <cell r="BF241">
            <v>-4475.8403939459768</v>
          </cell>
          <cell r="BG241">
            <v>0</v>
          </cell>
          <cell r="BH241">
            <v>0</v>
          </cell>
          <cell r="BI241">
            <v>105</v>
          </cell>
          <cell r="BJ241">
            <v>0.20240422912593237</v>
          </cell>
          <cell r="BK241">
            <v>0</v>
          </cell>
          <cell r="BL241">
            <v>-297.00000000000182</v>
          </cell>
          <cell r="BM241">
            <v>0.17234270787313594</v>
          </cell>
          <cell r="BN241">
            <v>3044.1596060540228</v>
          </cell>
          <cell r="BO241">
            <v>1677</v>
          </cell>
          <cell r="BP241">
            <v>1367.1596060540228</v>
          </cell>
          <cell r="BQ241">
            <v>7520</v>
          </cell>
          <cell r="BR241">
            <v>2592.0343264119647</v>
          </cell>
          <cell r="BS241">
            <v>1419</v>
          </cell>
          <cell r="BT241">
            <v>1173.0343264119647</v>
          </cell>
          <cell r="BU241">
            <v>0</v>
          </cell>
          <cell r="BV241">
            <v>0</v>
          </cell>
          <cell r="BX241">
            <v>11995.840393945977</v>
          </cell>
          <cell r="BY241">
            <v>39</v>
          </cell>
          <cell r="BZ241">
            <v>0</v>
          </cell>
          <cell r="CA241">
            <v>0</v>
          </cell>
        </row>
        <row r="242">
          <cell r="H242" t="str">
            <v>C233861</v>
          </cell>
          <cell r="I242" t="str">
            <v xml:space="preserve">SERVICE BULLETIN DEVELOPMENT  </v>
          </cell>
          <cell r="J242" t="str">
            <v xml:space="preserve">                              </v>
          </cell>
          <cell r="K242" t="str">
            <v xml:space="preserve">DASSAULT AVIATION BUSINESS SERVICES </v>
          </cell>
          <cell r="L242" t="str">
            <v>PNA</v>
          </cell>
          <cell r="M242">
            <v>45161</v>
          </cell>
          <cell r="N242">
            <v>45199</v>
          </cell>
          <cell r="O242">
            <v>1600</v>
          </cell>
          <cell r="P242">
            <v>1600</v>
          </cell>
          <cell r="Q242">
            <v>1075</v>
          </cell>
          <cell r="R242">
            <v>1075</v>
          </cell>
          <cell r="S242">
            <v>0.328125</v>
          </cell>
          <cell r="T242">
            <v>0.59</v>
          </cell>
          <cell r="U242">
            <v>15</v>
          </cell>
          <cell r="V242">
            <v>25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1600</v>
          </cell>
          <cell r="AB242">
            <v>1075</v>
          </cell>
          <cell r="AC242">
            <v>0</v>
          </cell>
          <cell r="AD242">
            <v>0.328125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288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1600</v>
          </cell>
          <cell r="AZ242">
            <v>0</v>
          </cell>
          <cell r="BA242">
            <v>1600</v>
          </cell>
          <cell r="BB242">
            <v>1075</v>
          </cell>
          <cell r="BC242">
            <v>0</v>
          </cell>
          <cell r="BD242">
            <v>1</v>
          </cell>
          <cell r="BE242">
            <v>1</v>
          </cell>
          <cell r="BF242">
            <v>0</v>
          </cell>
          <cell r="BG242">
            <v>0</v>
          </cell>
          <cell r="BH242">
            <v>0</v>
          </cell>
          <cell r="BI242">
            <v>105</v>
          </cell>
          <cell r="BJ242">
            <v>1</v>
          </cell>
          <cell r="BK242">
            <v>0</v>
          </cell>
          <cell r="BL242">
            <v>-288</v>
          </cell>
          <cell r="BM242">
            <v>0.21129860601614081</v>
          </cell>
          <cell r="BN242">
            <v>1600</v>
          </cell>
          <cell r="BO242">
            <v>1075</v>
          </cell>
          <cell r="BP242">
            <v>525</v>
          </cell>
          <cell r="BQ242">
            <v>1600</v>
          </cell>
          <cell r="BR242">
            <v>54.145267791635888</v>
          </cell>
          <cell r="BS242">
            <v>0</v>
          </cell>
          <cell r="BT242">
            <v>54.145267791635888</v>
          </cell>
          <cell r="BU242">
            <v>1600</v>
          </cell>
          <cell r="BV242">
            <v>0</v>
          </cell>
          <cell r="BX242">
            <v>0</v>
          </cell>
          <cell r="BY242">
            <v>25</v>
          </cell>
          <cell r="BZ242">
            <v>0</v>
          </cell>
          <cell r="CA242">
            <v>0</v>
          </cell>
        </row>
        <row r="243">
          <cell r="H243" t="str">
            <v>C233863</v>
          </cell>
          <cell r="I243" t="str">
            <v xml:space="preserve">MISSIONS                      </v>
          </cell>
          <cell r="J243" t="str">
            <v xml:space="preserve">                              </v>
          </cell>
          <cell r="K243" t="str">
            <v xml:space="preserve">JETTIME </v>
          </cell>
          <cell r="L243" t="str">
            <v>FDE</v>
          </cell>
          <cell r="M243">
            <v>45162</v>
          </cell>
          <cell r="N243">
            <v>45199</v>
          </cell>
          <cell r="O243">
            <v>7200</v>
          </cell>
          <cell r="P243">
            <v>7200</v>
          </cell>
          <cell r="Q243">
            <v>4928.82</v>
          </cell>
          <cell r="R243">
            <v>4928.82</v>
          </cell>
          <cell r="S243">
            <v>0.31544166666666673</v>
          </cell>
          <cell r="T243">
            <v>0.49249999999999999</v>
          </cell>
          <cell r="U243">
            <v>72.010000000000005</v>
          </cell>
          <cell r="V243">
            <v>74.75</v>
          </cell>
          <cell r="W243">
            <v>0</v>
          </cell>
          <cell r="X243">
            <v>0</v>
          </cell>
          <cell r="Y243">
            <v>68.571428571428569</v>
          </cell>
          <cell r="Z243">
            <v>74.75</v>
          </cell>
          <cell r="AA243">
            <v>5400</v>
          </cell>
          <cell r="AB243">
            <v>3214.25</v>
          </cell>
          <cell r="AC243">
            <v>0</v>
          </cell>
          <cell r="AD243">
            <v>0.40476851851851847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1800</v>
          </cell>
          <cell r="AT243">
            <v>1714.5700000000002</v>
          </cell>
          <cell r="AU243">
            <v>0</v>
          </cell>
          <cell r="AV243">
            <v>0</v>
          </cell>
          <cell r="AW243">
            <v>1714.5700000000002</v>
          </cell>
          <cell r="AX243">
            <v>4.7461111111111065E-2</v>
          </cell>
          <cell r="AY243">
            <v>0</v>
          </cell>
          <cell r="AZ243">
            <v>0</v>
          </cell>
          <cell r="BA243">
            <v>7200</v>
          </cell>
          <cell r="BB243">
            <v>4928.82</v>
          </cell>
          <cell r="BC243">
            <v>0</v>
          </cell>
          <cell r="BD243">
            <v>1</v>
          </cell>
          <cell r="BE243">
            <v>0</v>
          </cell>
          <cell r="BF243">
            <v>0</v>
          </cell>
          <cell r="BG243">
            <v>7200</v>
          </cell>
          <cell r="BH243">
            <v>0</v>
          </cell>
          <cell r="BI243">
            <v>105</v>
          </cell>
          <cell r="BJ243">
            <v>1</v>
          </cell>
          <cell r="BK243">
            <v>0</v>
          </cell>
          <cell r="BL243">
            <v>1363.1057142857139</v>
          </cell>
          <cell r="BM243">
            <v>1</v>
          </cell>
          <cell r="BN243">
            <v>7200</v>
          </cell>
          <cell r="BO243">
            <v>4928.82</v>
          </cell>
          <cell r="BP243">
            <v>2271.1800000000003</v>
          </cell>
          <cell r="BQ243">
            <v>0</v>
          </cell>
          <cell r="BR243">
            <v>7200</v>
          </cell>
          <cell r="BS243">
            <v>4928.82</v>
          </cell>
          <cell r="BT243">
            <v>2271.1800000000003</v>
          </cell>
          <cell r="BU243">
            <v>0</v>
          </cell>
          <cell r="BV243">
            <v>0</v>
          </cell>
          <cell r="BX243">
            <v>0</v>
          </cell>
          <cell r="BY243">
            <v>74.75</v>
          </cell>
          <cell r="BZ243">
            <v>0</v>
          </cell>
          <cell r="CA243">
            <v>1714.5700000000002</v>
          </cell>
        </row>
        <row r="244">
          <cell r="H244" t="str">
            <v>C233867</v>
          </cell>
          <cell r="I244" t="str">
            <v xml:space="preserve">DEVELOPMENT OF A MODIFICATION </v>
          </cell>
          <cell r="J244" t="str">
            <v xml:space="preserve">23088                         </v>
          </cell>
          <cell r="K244" t="str">
            <v xml:space="preserve">DASSAULT AVIATION BUSINESS SERVICES </v>
          </cell>
          <cell r="L244" t="str">
            <v>PNAPLA</v>
          </cell>
          <cell r="M244">
            <v>45169</v>
          </cell>
          <cell r="N244" t="str">
            <v/>
          </cell>
          <cell r="O244">
            <v>36050</v>
          </cell>
          <cell r="P244">
            <v>36050</v>
          </cell>
          <cell r="Q244">
            <v>24415.126499999998</v>
          </cell>
          <cell r="R244">
            <v>24415.126499999998</v>
          </cell>
          <cell r="S244">
            <v>0.25206306518723998</v>
          </cell>
          <cell r="T244">
            <v>0.2930374479889043</v>
          </cell>
          <cell r="U244">
            <v>81.904761904761898</v>
          </cell>
          <cell r="V244">
            <v>32.5</v>
          </cell>
          <cell r="W244">
            <v>0</v>
          </cell>
          <cell r="X244">
            <v>49</v>
          </cell>
          <cell r="Y244">
            <v>0</v>
          </cell>
          <cell r="Z244">
            <v>32.5</v>
          </cell>
          <cell r="AA244">
            <v>8600</v>
          </cell>
          <cell r="AB244">
            <v>1397.5</v>
          </cell>
          <cell r="AC244">
            <v>2548</v>
          </cell>
          <cell r="AD244">
            <v>0.54122093023255813</v>
          </cell>
          <cell r="AE244">
            <v>27450</v>
          </cell>
          <cell r="AF244">
            <v>23017.626499999998</v>
          </cell>
          <cell r="AG244">
            <v>23017.626499999998</v>
          </cell>
          <cell r="AH244">
            <v>0</v>
          </cell>
          <cell r="AI244">
            <v>22372.076499999999</v>
          </cell>
          <cell r="AJ244">
            <v>0</v>
          </cell>
          <cell r="AK244">
            <v>0</v>
          </cell>
          <cell r="AL244">
            <v>23017.626499999998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0.16147080145719495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27450</v>
          </cell>
          <cell r="AZ244">
            <v>0</v>
          </cell>
          <cell r="BA244">
            <v>32643.295662504122</v>
          </cell>
          <cell r="BB244">
            <v>24415.126499999998</v>
          </cell>
          <cell r="BC244">
            <v>2548</v>
          </cell>
          <cell r="BD244">
            <v>0.90550057316238897</v>
          </cell>
          <cell r="BE244">
            <v>0.76144244105409153</v>
          </cell>
          <cell r="BF244">
            <v>0</v>
          </cell>
          <cell r="BG244">
            <v>5193.2956625041224</v>
          </cell>
          <cell r="BH244">
            <v>0</v>
          </cell>
          <cell r="BI244">
            <v>105</v>
          </cell>
          <cell r="BJ244">
            <v>1</v>
          </cell>
          <cell r="BK244">
            <v>0</v>
          </cell>
          <cell r="BL244">
            <v>26963.126499999998</v>
          </cell>
          <cell r="BM244">
            <v>0.90550057316238897</v>
          </cell>
          <cell r="BN244">
            <v>32643.295662504122</v>
          </cell>
          <cell r="BO244">
            <v>24415.126499999998</v>
          </cell>
          <cell r="BP244">
            <v>8228.169162504124</v>
          </cell>
          <cell r="BQ244">
            <v>27450</v>
          </cell>
          <cell r="BR244">
            <v>32643.295662504122</v>
          </cell>
          <cell r="BS244">
            <v>24415.126499999998</v>
          </cell>
          <cell r="BT244">
            <v>8228.169162504124</v>
          </cell>
          <cell r="BU244">
            <v>27450</v>
          </cell>
          <cell r="BV244">
            <v>3406.7043374958776</v>
          </cell>
          <cell r="BX244">
            <v>0</v>
          </cell>
          <cell r="BY244">
            <v>32.5</v>
          </cell>
          <cell r="BZ244">
            <v>0</v>
          </cell>
          <cell r="CA244">
            <v>23017.626499999998</v>
          </cell>
        </row>
        <row r="245">
          <cell r="H245" t="str">
            <v>C233866</v>
          </cell>
          <cell r="I245" t="str">
            <v xml:space="preserve">CL604 SN 5593 DEMODIFICATION  </v>
          </cell>
          <cell r="J245" t="str">
            <v xml:space="preserve">23089                         </v>
          </cell>
          <cell r="K245" t="str">
            <v xml:space="preserve">DASSAULT AVIATION BUSINESS SERVICES </v>
          </cell>
          <cell r="L245" t="str">
            <v>PNAPLA</v>
          </cell>
          <cell r="M245">
            <v>45169</v>
          </cell>
          <cell r="N245" t="str">
            <v/>
          </cell>
          <cell r="O245">
            <v>10300</v>
          </cell>
          <cell r="P245">
            <v>10300</v>
          </cell>
          <cell r="Q245">
            <v>4106.5</v>
          </cell>
          <cell r="R245">
            <v>4106.5</v>
          </cell>
          <cell r="S245">
            <v>0.60131067961165052</v>
          </cell>
          <cell r="T245">
            <v>0.59</v>
          </cell>
          <cell r="U245">
            <v>93</v>
          </cell>
          <cell r="V245">
            <v>95.5</v>
          </cell>
          <cell r="W245">
            <v>0</v>
          </cell>
          <cell r="X245">
            <v>0</v>
          </cell>
          <cell r="Y245">
            <v>0</v>
          </cell>
          <cell r="Z245">
            <v>95.5</v>
          </cell>
          <cell r="AA245">
            <v>10300</v>
          </cell>
          <cell r="AB245">
            <v>4106.5</v>
          </cell>
          <cell r="AC245">
            <v>0</v>
          </cell>
          <cell r="AD245">
            <v>0.60131067961165052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5150</v>
          </cell>
          <cell r="AZ245">
            <v>0</v>
          </cell>
          <cell r="BA245">
            <v>10300</v>
          </cell>
          <cell r="BB245">
            <v>4106.5</v>
          </cell>
          <cell r="BC245">
            <v>0</v>
          </cell>
          <cell r="BD245">
            <v>1</v>
          </cell>
          <cell r="BE245">
            <v>0.5</v>
          </cell>
          <cell r="BF245">
            <v>0</v>
          </cell>
          <cell r="BG245">
            <v>5150</v>
          </cell>
          <cell r="BH245">
            <v>0</v>
          </cell>
          <cell r="BI245">
            <v>105</v>
          </cell>
          <cell r="BJ245">
            <v>1</v>
          </cell>
          <cell r="BK245">
            <v>0</v>
          </cell>
          <cell r="BL245">
            <v>4106.5</v>
          </cell>
          <cell r="BM245">
            <v>1</v>
          </cell>
          <cell r="BN245">
            <v>10300</v>
          </cell>
          <cell r="BO245">
            <v>4106.5</v>
          </cell>
          <cell r="BP245">
            <v>6193.5</v>
          </cell>
          <cell r="BQ245">
            <v>5150</v>
          </cell>
          <cell r="BR245">
            <v>10300</v>
          </cell>
          <cell r="BS245">
            <v>4106.5</v>
          </cell>
          <cell r="BT245">
            <v>6193.5</v>
          </cell>
          <cell r="BU245">
            <v>5150</v>
          </cell>
          <cell r="BV245">
            <v>0</v>
          </cell>
          <cell r="BX245">
            <v>0</v>
          </cell>
          <cell r="BY245">
            <v>95.5</v>
          </cell>
          <cell r="BZ245">
            <v>0</v>
          </cell>
          <cell r="CA245">
            <v>0</v>
          </cell>
        </row>
        <row r="246">
          <cell r="H246" t="str">
            <v>C233873</v>
          </cell>
          <cell r="I246" t="str">
            <v xml:space="preserve">A320 MSN 4780 CAM REPLACEMENT </v>
          </cell>
          <cell r="J246" t="str">
            <v xml:space="preserve">                              </v>
          </cell>
          <cell r="K246" t="str">
            <v>AERO CABIN SOLUTIONS</v>
          </cell>
          <cell r="L246" t="str">
            <v>VGAVGA</v>
          </cell>
          <cell r="M246">
            <v>45170</v>
          </cell>
          <cell r="N246">
            <v>45199</v>
          </cell>
          <cell r="O246">
            <v>11180</v>
          </cell>
          <cell r="P246">
            <v>11180</v>
          </cell>
          <cell r="Q246">
            <v>9196</v>
          </cell>
          <cell r="R246">
            <v>9196</v>
          </cell>
          <cell r="S246">
            <v>0.17745974955277277</v>
          </cell>
          <cell r="T246">
            <v>0.23313953488372094</v>
          </cell>
          <cell r="U246">
            <v>9</v>
          </cell>
          <cell r="V246">
            <v>12</v>
          </cell>
          <cell r="W246">
            <v>0</v>
          </cell>
          <cell r="X246">
            <v>0</v>
          </cell>
          <cell r="Y246">
            <v>0</v>
          </cell>
          <cell r="Z246">
            <v>12</v>
          </cell>
          <cell r="AA246">
            <v>950</v>
          </cell>
          <cell r="AB246">
            <v>516</v>
          </cell>
          <cell r="AC246">
            <v>0</v>
          </cell>
          <cell r="AD246">
            <v>0.45684210526315794</v>
          </cell>
          <cell r="AE246">
            <v>10230</v>
          </cell>
          <cell r="AF246">
            <v>8680</v>
          </cell>
          <cell r="AG246">
            <v>8680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8680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0.15151515151515149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11180</v>
          </cell>
          <cell r="AZ246">
            <v>0</v>
          </cell>
          <cell r="BA246">
            <v>11180</v>
          </cell>
          <cell r="BB246">
            <v>9196</v>
          </cell>
          <cell r="BC246">
            <v>0</v>
          </cell>
          <cell r="BD246">
            <v>1</v>
          </cell>
          <cell r="BE246">
            <v>1</v>
          </cell>
          <cell r="BF246">
            <v>0</v>
          </cell>
          <cell r="BG246">
            <v>0</v>
          </cell>
          <cell r="BH246">
            <v>0</v>
          </cell>
          <cell r="BI246">
            <v>105</v>
          </cell>
          <cell r="BJ246">
            <v>1</v>
          </cell>
          <cell r="BK246">
            <v>0</v>
          </cell>
          <cell r="BL246">
            <v>9196</v>
          </cell>
          <cell r="BM246">
            <v>1</v>
          </cell>
          <cell r="BN246">
            <v>11180</v>
          </cell>
          <cell r="BO246">
            <v>9196</v>
          </cell>
          <cell r="BP246">
            <v>1984</v>
          </cell>
          <cell r="BQ246">
            <v>11180</v>
          </cell>
          <cell r="BR246">
            <v>11180</v>
          </cell>
          <cell r="BS246">
            <v>9196</v>
          </cell>
          <cell r="BT246">
            <v>1984</v>
          </cell>
          <cell r="BU246">
            <v>11180</v>
          </cell>
          <cell r="BV246">
            <v>0</v>
          </cell>
          <cell r="BX246">
            <v>0</v>
          </cell>
          <cell r="BY246">
            <v>12</v>
          </cell>
          <cell r="BZ246">
            <v>0</v>
          </cell>
          <cell r="CA246">
            <v>8680</v>
          </cell>
        </row>
        <row r="247">
          <cell r="H247" t="str">
            <v>C233874</v>
          </cell>
          <cell r="I247" t="str">
            <v xml:space="preserve">F8X-497 CARPET REPLACEMENT    </v>
          </cell>
          <cell r="J247" t="str">
            <v xml:space="preserve">23094                         </v>
          </cell>
          <cell r="K247" t="str">
            <v xml:space="preserve">DASSAULT AVIATION BUSINESS SERVICES </v>
          </cell>
          <cell r="L247" t="str">
            <v>PNA</v>
          </cell>
          <cell r="M247">
            <v>45183</v>
          </cell>
          <cell r="N247" t="str">
            <v/>
          </cell>
          <cell r="O247">
            <v>2000</v>
          </cell>
          <cell r="P247">
            <v>2000</v>
          </cell>
          <cell r="Q247">
            <v>731</v>
          </cell>
          <cell r="R247">
            <v>731</v>
          </cell>
          <cell r="S247">
            <v>0.60850000000000004</v>
          </cell>
          <cell r="T247">
            <v>0.59</v>
          </cell>
          <cell r="U247">
            <v>18</v>
          </cell>
          <cell r="V247">
            <v>17</v>
          </cell>
          <cell r="W247">
            <v>0</v>
          </cell>
          <cell r="X247">
            <v>1</v>
          </cell>
          <cell r="Y247">
            <v>0</v>
          </cell>
          <cell r="Z247">
            <v>17</v>
          </cell>
          <cell r="AA247">
            <v>2000</v>
          </cell>
          <cell r="AB247">
            <v>731</v>
          </cell>
          <cell r="AC247">
            <v>52</v>
          </cell>
          <cell r="AD247">
            <v>0.60850000000000004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1867.177522349936</v>
          </cell>
          <cell r="BB247">
            <v>731</v>
          </cell>
          <cell r="BC247">
            <v>52</v>
          </cell>
          <cell r="BD247">
            <v>0.93358876117496803</v>
          </cell>
          <cell r="BE247">
            <v>0</v>
          </cell>
          <cell r="BF247">
            <v>0</v>
          </cell>
          <cell r="BG247">
            <v>1867.177522349936</v>
          </cell>
          <cell r="BH247">
            <v>0</v>
          </cell>
          <cell r="BI247">
            <v>105</v>
          </cell>
          <cell r="BJ247">
            <v>1</v>
          </cell>
          <cell r="BK247">
            <v>0</v>
          </cell>
          <cell r="BL247">
            <v>783</v>
          </cell>
          <cell r="BM247">
            <v>0.93358876117496803</v>
          </cell>
          <cell r="BN247">
            <v>1867.177522349936</v>
          </cell>
          <cell r="BO247">
            <v>731</v>
          </cell>
          <cell r="BP247">
            <v>1136.177522349936</v>
          </cell>
          <cell r="BQ247">
            <v>0</v>
          </cell>
          <cell r="BR247">
            <v>1867.177522349936</v>
          </cell>
          <cell r="BS247">
            <v>731</v>
          </cell>
          <cell r="BT247">
            <v>1136.177522349936</v>
          </cell>
          <cell r="BU247">
            <v>0</v>
          </cell>
          <cell r="BV247">
            <v>132.822477650064</v>
          </cell>
          <cell r="BX247">
            <v>0</v>
          </cell>
          <cell r="BY247">
            <v>17</v>
          </cell>
          <cell r="BZ247">
            <v>0</v>
          </cell>
          <cell r="CA247">
            <v>0</v>
          </cell>
        </row>
        <row r="248">
          <cell r="H248" t="str">
            <v>C233870</v>
          </cell>
          <cell r="I248" t="str">
            <v xml:space="preserve">F900 PILOT SEAT               </v>
          </cell>
          <cell r="J248" t="str">
            <v xml:space="preserve">23090                         </v>
          </cell>
          <cell r="K248" t="str">
            <v xml:space="preserve">SDA </v>
          </cell>
          <cell r="L248" t="str">
            <v>PNAQPO</v>
          </cell>
          <cell r="M248">
            <v>45194</v>
          </cell>
          <cell r="N248" t="str">
            <v/>
          </cell>
          <cell r="O248">
            <v>3500</v>
          </cell>
          <cell r="P248">
            <v>3500</v>
          </cell>
          <cell r="Q248">
            <v>1247</v>
          </cell>
          <cell r="R248">
            <v>1247</v>
          </cell>
          <cell r="S248">
            <v>0.61399999999999999</v>
          </cell>
          <cell r="T248">
            <v>0.59</v>
          </cell>
          <cell r="U248">
            <v>31</v>
          </cell>
          <cell r="V248">
            <v>29</v>
          </cell>
          <cell r="W248">
            <v>0</v>
          </cell>
          <cell r="X248">
            <v>2</v>
          </cell>
          <cell r="Y248">
            <v>0</v>
          </cell>
          <cell r="Z248">
            <v>29</v>
          </cell>
          <cell r="AA248">
            <v>3500</v>
          </cell>
          <cell r="AB248">
            <v>1247</v>
          </cell>
          <cell r="AC248">
            <v>104</v>
          </cell>
          <cell r="AD248">
            <v>0.61399999999999999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3500</v>
          </cell>
          <cell r="AZ248">
            <v>0</v>
          </cell>
          <cell r="BA248">
            <v>3230.5699481865286</v>
          </cell>
          <cell r="BB248">
            <v>1247</v>
          </cell>
          <cell r="BC248">
            <v>104</v>
          </cell>
          <cell r="BD248">
            <v>0.92301998519615103</v>
          </cell>
          <cell r="BE248">
            <v>1</v>
          </cell>
          <cell r="BF248">
            <v>-269.43005181347138</v>
          </cell>
          <cell r="BG248">
            <v>0</v>
          </cell>
          <cell r="BH248">
            <v>0</v>
          </cell>
          <cell r="BI248">
            <v>105</v>
          </cell>
          <cell r="BJ248">
            <v>1</v>
          </cell>
          <cell r="BK248">
            <v>0</v>
          </cell>
          <cell r="BL248">
            <v>1351</v>
          </cell>
          <cell r="BM248">
            <v>0.92301998519615103</v>
          </cell>
          <cell r="BN248">
            <v>3230.5699481865286</v>
          </cell>
          <cell r="BO248">
            <v>1247</v>
          </cell>
          <cell r="BP248">
            <v>1983.5699481865286</v>
          </cell>
          <cell r="BQ248">
            <v>3500</v>
          </cell>
          <cell r="BR248">
            <v>3230.5699481865286</v>
          </cell>
          <cell r="BS248">
            <v>1247</v>
          </cell>
          <cell r="BT248">
            <v>1983.5699481865286</v>
          </cell>
          <cell r="BU248">
            <v>3500</v>
          </cell>
          <cell r="BV248">
            <v>269.43005181347144</v>
          </cell>
          <cell r="BX248">
            <v>0</v>
          </cell>
          <cell r="BY248">
            <v>29</v>
          </cell>
          <cell r="BZ248">
            <v>0</v>
          </cell>
          <cell r="CA248">
            <v>0</v>
          </cell>
        </row>
        <row r="249">
          <cell r="H249" t="str">
            <v>C233877</v>
          </cell>
          <cell r="I249" t="str">
            <v xml:space="preserve">EL AL LIVERY SB FOR B777-200  </v>
          </cell>
          <cell r="J249" t="str">
            <v xml:space="preserve">                              </v>
          </cell>
          <cell r="K249" t="str">
            <v xml:space="preserve">ADHETEC SAS </v>
          </cell>
          <cell r="L249" t="str">
            <v>VGAPLA</v>
          </cell>
          <cell r="M249">
            <v>45176</v>
          </cell>
          <cell r="N249" t="str">
            <v/>
          </cell>
          <cell r="O249">
            <v>6700</v>
          </cell>
          <cell r="P249">
            <v>6700</v>
          </cell>
          <cell r="Q249">
            <v>2704.5</v>
          </cell>
          <cell r="R249">
            <v>2704.5</v>
          </cell>
          <cell r="S249">
            <v>0.56879104477611941</v>
          </cell>
          <cell r="T249">
            <v>0.59</v>
          </cell>
          <cell r="U249">
            <v>62.05</v>
          </cell>
          <cell r="V249">
            <v>37.5</v>
          </cell>
          <cell r="W249">
            <v>21</v>
          </cell>
          <cell r="X249">
            <v>3.5499999999999972</v>
          </cell>
          <cell r="Y249">
            <v>0</v>
          </cell>
          <cell r="Z249">
            <v>58.5</v>
          </cell>
          <cell r="AA249">
            <v>6700</v>
          </cell>
          <cell r="AB249">
            <v>2704.5</v>
          </cell>
          <cell r="AC249">
            <v>184.59999999999985</v>
          </cell>
          <cell r="AD249">
            <v>0.56879104477611941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6271.9012841369286</v>
          </cell>
          <cell r="BB249">
            <v>2704.5</v>
          </cell>
          <cell r="BC249">
            <v>184.59999999999985</v>
          </cell>
          <cell r="BD249">
            <v>0.93610466927416847</v>
          </cell>
          <cell r="BE249">
            <v>0</v>
          </cell>
          <cell r="BF249">
            <v>0</v>
          </cell>
          <cell r="BG249">
            <v>6271.9012841369286</v>
          </cell>
          <cell r="BH249">
            <v>0</v>
          </cell>
          <cell r="BI249">
            <v>105</v>
          </cell>
          <cell r="BJ249">
            <v>1</v>
          </cell>
          <cell r="BK249">
            <v>0</v>
          </cell>
          <cell r="BL249">
            <v>2889.1</v>
          </cell>
          <cell r="BM249">
            <v>0.93610466927416847</v>
          </cell>
          <cell r="BN249">
            <v>6271.9012841369286</v>
          </cell>
          <cell r="BO249">
            <v>2704.5</v>
          </cell>
          <cell r="BP249">
            <v>3567.4012841369286</v>
          </cell>
          <cell r="BQ249">
            <v>0</v>
          </cell>
          <cell r="BR249">
            <v>6271.9012841369286</v>
          </cell>
          <cell r="BS249">
            <v>2704.5</v>
          </cell>
          <cell r="BT249">
            <v>3567.4012841369286</v>
          </cell>
          <cell r="BU249">
            <v>0</v>
          </cell>
          <cell r="BV249">
            <v>428.09871586307145</v>
          </cell>
          <cell r="BX249">
            <v>0</v>
          </cell>
          <cell r="BY249">
            <v>37.5</v>
          </cell>
          <cell r="BZ249">
            <v>21</v>
          </cell>
          <cell r="CA249">
            <v>0</v>
          </cell>
        </row>
        <row r="250">
          <cell r="H250" t="str">
            <v>C233880</v>
          </cell>
          <cell r="I250" t="str">
            <v xml:space="preserve">DOSSIER D'INSTALLATION TPH700 </v>
          </cell>
          <cell r="J250" t="str">
            <v xml:space="preserve">                              </v>
          </cell>
          <cell r="K250" t="str">
            <v xml:space="preserve">MBH </v>
          </cell>
          <cell r="L250" t="str">
            <v>LJALJA</v>
          </cell>
          <cell r="M250">
            <v>45177</v>
          </cell>
          <cell r="N250" t="str">
            <v/>
          </cell>
          <cell r="O250">
            <v>2650</v>
          </cell>
          <cell r="P250">
            <v>2650</v>
          </cell>
          <cell r="Q250">
            <v>344</v>
          </cell>
          <cell r="R250">
            <v>344</v>
          </cell>
          <cell r="S250">
            <v>0.53660377358490563</v>
          </cell>
          <cell r="T250">
            <v>0.59</v>
          </cell>
          <cell r="U250">
            <v>25.238095238095237</v>
          </cell>
          <cell r="V250">
            <v>8</v>
          </cell>
          <cell r="W250">
            <v>0</v>
          </cell>
          <cell r="X250">
            <v>17</v>
          </cell>
          <cell r="Y250">
            <v>0</v>
          </cell>
          <cell r="Z250">
            <v>8</v>
          </cell>
          <cell r="AA250">
            <v>2650</v>
          </cell>
          <cell r="AB250">
            <v>344</v>
          </cell>
          <cell r="AC250">
            <v>884</v>
          </cell>
          <cell r="AD250">
            <v>0.53660377358490563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742.34527687296418</v>
          </cell>
          <cell r="BB250">
            <v>344</v>
          </cell>
          <cell r="BC250">
            <v>884</v>
          </cell>
          <cell r="BD250">
            <v>0.28013029315960913</v>
          </cell>
          <cell r="BE250">
            <v>0</v>
          </cell>
          <cell r="BF250">
            <v>0</v>
          </cell>
          <cell r="BG250">
            <v>742.34527687296418</v>
          </cell>
          <cell r="BH250">
            <v>0</v>
          </cell>
          <cell r="BI250">
            <v>105</v>
          </cell>
          <cell r="BJ250">
            <v>1</v>
          </cell>
          <cell r="BK250">
            <v>0</v>
          </cell>
          <cell r="BL250">
            <v>1228</v>
          </cell>
          <cell r="BM250">
            <v>0.28013029315960913</v>
          </cell>
          <cell r="BN250">
            <v>742.34527687296418</v>
          </cell>
          <cell r="BO250">
            <v>344</v>
          </cell>
          <cell r="BP250">
            <v>398.34527687296418</v>
          </cell>
          <cell r="BQ250">
            <v>0</v>
          </cell>
          <cell r="BR250">
            <v>742.34527687296418</v>
          </cell>
          <cell r="BS250">
            <v>344</v>
          </cell>
          <cell r="BT250">
            <v>398.34527687296418</v>
          </cell>
          <cell r="BU250">
            <v>0</v>
          </cell>
          <cell r="BV250">
            <v>1907.6547231270358</v>
          </cell>
          <cell r="BX250">
            <v>0</v>
          </cell>
          <cell r="BY250">
            <v>8</v>
          </cell>
          <cell r="BZ250">
            <v>0</v>
          </cell>
          <cell r="CA250">
            <v>0</v>
          </cell>
        </row>
        <row r="251">
          <cell r="H251" t="str">
            <v>C233881</v>
          </cell>
          <cell r="I251" t="str">
            <v>INSTALLATION BOITIER BLUETOOTH</v>
          </cell>
          <cell r="J251" t="str">
            <v xml:space="preserve">                              </v>
          </cell>
          <cell r="K251" t="str">
            <v xml:space="preserve">MBH </v>
          </cell>
          <cell r="L251" t="str">
            <v>LJALJA</v>
          </cell>
          <cell r="M251">
            <v>45177</v>
          </cell>
          <cell r="N251" t="str">
            <v/>
          </cell>
          <cell r="O251">
            <v>3200</v>
          </cell>
          <cell r="P251">
            <v>3200</v>
          </cell>
          <cell r="Q251">
            <v>1075</v>
          </cell>
          <cell r="R251">
            <v>1075</v>
          </cell>
          <cell r="S251">
            <v>0.57468750000000002</v>
          </cell>
          <cell r="T251">
            <v>0.59</v>
          </cell>
          <cell r="U251">
            <v>30.476190476190474</v>
          </cell>
          <cell r="V251">
            <v>25</v>
          </cell>
          <cell r="W251">
            <v>0</v>
          </cell>
          <cell r="X251">
            <v>5.5</v>
          </cell>
          <cell r="Y251">
            <v>0</v>
          </cell>
          <cell r="Z251">
            <v>25</v>
          </cell>
          <cell r="AA251">
            <v>3200</v>
          </cell>
          <cell r="AB251">
            <v>1075</v>
          </cell>
          <cell r="AC251">
            <v>286</v>
          </cell>
          <cell r="AD251">
            <v>0.57468750000000002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2527.5532696546657</v>
          </cell>
          <cell r="BB251">
            <v>1075</v>
          </cell>
          <cell r="BC251">
            <v>286</v>
          </cell>
          <cell r="BD251">
            <v>0.78986039676708297</v>
          </cell>
          <cell r="BE251">
            <v>0</v>
          </cell>
          <cell r="BF251">
            <v>0</v>
          </cell>
          <cell r="BG251">
            <v>2527.5532696546657</v>
          </cell>
          <cell r="BH251">
            <v>0</v>
          </cell>
          <cell r="BI251">
            <v>105</v>
          </cell>
          <cell r="BJ251">
            <v>1</v>
          </cell>
          <cell r="BK251">
            <v>0</v>
          </cell>
          <cell r="BL251">
            <v>1361</v>
          </cell>
          <cell r="BM251">
            <v>0.78986039676708297</v>
          </cell>
          <cell r="BN251">
            <v>2527.5532696546657</v>
          </cell>
          <cell r="BO251">
            <v>1075</v>
          </cell>
          <cell r="BP251">
            <v>1452.5532696546657</v>
          </cell>
          <cell r="BQ251">
            <v>0</v>
          </cell>
          <cell r="BR251">
            <v>2527.5532696546657</v>
          </cell>
          <cell r="BS251">
            <v>1075</v>
          </cell>
          <cell r="BT251">
            <v>1452.5532696546657</v>
          </cell>
          <cell r="BU251">
            <v>0</v>
          </cell>
          <cell r="BV251">
            <v>672.44673034533434</v>
          </cell>
          <cell r="BX251">
            <v>0</v>
          </cell>
          <cell r="BY251">
            <v>25</v>
          </cell>
          <cell r="BZ251">
            <v>0</v>
          </cell>
          <cell r="CA251">
            <v>0</v>
          </cell>
        </row>
        <row r="252">
          <cell r="H252" t="str">
            <v>C233846</v>
          </cell>
          <cell r="I252" t="str">
            <v xml:space="preserve">AJOUT D'APPLICABILITE         </v>
          </cell>
          <cell r="J252" t="str">
            <v xml:space="preserve">17173                         </v>
          </cell>
          <cell r="K252" t="str">
            <v>BABCOCK MCS FRANCE</v>
          </cell>
          <cell r="L252" t="str">
            <v>LJALJA</v>
          </cell>
          <cell r="M252">
            <v>45148</v>
          </cell>
          <cell r="N252">
            <v>45195</v>
          </cell>
          <cell r="O252">
            <v>2400</v>
          </cell>
          <cell r="P252">
            <v>2400</v>
          </cell>
          <cell r="Q252">
            <v>860</v>
          </cell>
          <cell r="R252">
            <v>860</v>
          </cell>
          <cell r="S252">
            <v>0.64166666666666661</v>
          </cell>
          <cell r="T252">
            <v>0.59</v>
          </cell>
          <cell r="U252">
            <v>22.857142857142858</v>
          </cell>
          <cell r="V252">
            <v>20</v>
          </cell>
          <cell r="W252">
            <v>0</v>
          </cell>
          <cell r="X252">
            <v>0</v>
          </cell>
          <cell r="Y252">
            <v>0</v>
          </cell>
          <cell r="Z252">
            <v>20</v>
          </cell>
          <cell r="AA252">
            <v>2400</v>
          </cell>
          <cell r="AB252">
            <v>860</v>
          </cell>
          <cell r="AC252">
            <v>0</v>
          </cell>
          <cell r="AD252">
            <v>0.64166666666666661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2400</v>
          </cell>
          <cell r="AZ252">
            <v>0</v>
          </cell>
          <cell r="BA252">
            <v>2400</v>
          </cell>
          <cell r="BB252">
            <v>860</v>
          </cell>
          <cell r="BC252">
            <v>0</v>
          </cell>
          <cell r="BD252">
            <v>1</v>
          </cell>
          <cell r="BE252">
            <v>1</v>
          </cell>
          <cell r="BF252">
            <v>0</v>
          </cell>
          <cell r="BG252">
            <v>0</v>
          </cell>
          <cell r="BH252">
            <v>0</v>
          </cell>
          <cell r="BI252">
            <v>105</v>
          </cell>
          <cell r="BJ252">
            <v>1</v>
          </cell>
          <cell r="BK252">
            <v>0</v>
          </cell>
          <cell r="BL252">
            <v>860</v>
          </cell>
          <cell r="BM252">
            <v>1</v>
          </cell>
          <cell r="BN252">
            <v>2400</v>
          </cell>
          <cell r="BO252">
            <v>860</v>
          </cell>
          <cell r="BP252">
            <v>1540</v>
          </cell>
          <cell r="BQ252">
            <v>2400</v>
          </cell>
          <cell r="BR252">
            <v>2400</v>
          </cell>
          <cell r="BS252">
            <v>860</v>
          </cell>
          <cell r="BT252">
            <v>1540</v>
          </cell>
          <cell r="BU252">
            <v>2400</v>
          </cell>
          <cell r="BV252">
            <v>0</v>
          </cell>
          <cell r="BX252">
            <v>0</v>
          </cell>
          <cell r="BY252">
            <v>20</v>
          </cell>
          <cell r="BZ252">
            <v>0</v>
          </cell>
          <cell r="CA252">
            <v>0</v>
          </cell>
        </row>
        <row r="253">
          <cell r="H253" t="str">
            <v>C233871</v>
          </cell>
          <cell r="I253" t="str">
            <v xml:space="preserve">DOSSIER AE19126 AJOUT D'APPLI </v>
          </cell>
          <cell r="J253" t="str">
            <v xml:space="preserve">19126                         </v>
          </cell>
          <cell r="K253" t="str">
            <v>ROTOR TEAM</v>
          </cell>
          <cell r="L253" t="str">
            <v>LJALJA</v>
          </cell>
          <cell r="M253">
            <v>45180</v>
          </cell>
          <cell r="N253">
            <v>45187</v>
          </cell>
          <cell r="O253">
            <v>2100</v>
          </cell>
          <cell r="P253">
            <v>2100</v>
          </cell>
          <cell r="Q253">
            <v>817</v>
          </cell>
          <cell r="R253">
            <v>817</v>
          </cell>
          <cell r="S253">
            <v>0.61095238095238091</v>
          </cell>
          <cell r="T253">
            <v>0.59</v>
          </cell>
          <cell r="U253">
            <v>20</v>
          </cell>
          <cell r="V253">
            <v>19</v>
          </cell>
          <cell r="W253">
            <v>0</v>
          </cell>
          <cell r="X253">
            <v>0</v>
          </cell>
          <cell r="Y253">
            <v>0</v>
          </cell>
          <cell r="Z253">
            <v>19</v>
          </cell>
          <cell r="AA253">
            <v>2100</v>
          </cell>
          <cell r="AB253">
            <v>817</v>
          </cell>
          <cell r="AC253">
            <v>0</v>
          </cell>
          <cell r="AD253">
            <v>0.61095238095238091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2100</v>
          </cell>
          <cell r="AZ253">
            <v>0</v>
          </cell>
          <cell r="BA253">
            <v>2100</v>
          </cell>
          <cell r="BB253">
            <v>817</v>
          </cell>
          <cell r="BC253">
            <v>0</v>
          </cell>
          <cell r="BD253">
            <v>1</v>
          </cell>
          <cell r="BE253">
            <v>1</v>
          </cell>
          <cell r="BF253">
            <v>0</v>
          </cell>
          <cell r="BG253">
            <v>0</v>
          </cell>
          <cell r="BH253">
            <v>0</v>
          </cell>
          <cell r="BI253">
            <v>105</v>
          </cell>
          <cell r="BJ253">
            <v>1</v>
          </cell>
          <cell r="BK253">
            <v>0</v>
          </cell>
          <cell r="BL253">
            <v>817</v>
          </cell>
          <cell r="BM253">
            <v>1</v>
          </cell>
          <cell r="BN253">
            <v>2100</v>
          </cell>
          <cell r="BO253">
            <v>817</v>
          </cell>
          <cell r="BP253">
            <v>1283</v>
          </cell>
          <cell r="BQ253">
            <v>2100</v>
          </cell>
          <cell r="BR253">
            <v>2100</v>
          </cell>
          <cell r="BS253">
            <v>817</v>
          </cell>
          <cell r="BT253">
            <v>1283</v>
          </cell>
          <cell r="BU253">
            <v>2100</v>
          </cell>
          <cell r="BV253">
            <v>0</v>
          </cell>
          <cell r="BX253">
            <v>0</v>
          </cell>
          <cell r="BY253">
            <v>19</v>
          </cell>
          <cell r="BZ253">
            <v>0</v>
          </cell>
          <cell r="CA253">
            <v>0</v>
          </cell>
        </row>
        <row r="254">
          <cell r="H254" t="str">
            <v>C233886</v>
          </cell>
          <cell r="I254" t="str">
            <v xml:space="preserve">MODIFICATION DOSSIER AE17175  </v>
          </cell>
          <cell r="J254" t="str">
            <v xml:space="preserve">17175                         </v>
          </cell>
          <cell r="K254" t="str">
            <v>BABCOCK MCS FRANCE</v>
          </cell>
          <cell r="L254" t="str">
            <v>LJALJA</v>
          </cell>
          <cell r="M254">
            <v>45181</v>
          </cell>
          <cell r="N254">
            <v>45195</v>
          </cell>
          <cell r="O254">
            <v>2150</v>
          </cell>
          <cell r="P254">
            <v>2150</v>
          </cell>
          <cell r="Q254">
            <v>860</v>
          </cell>
          <cell r="R254">
            <v>860</v>
          </cell>
          <cell r="S254">
            <v>0.6</v>
          </cell>
          <cell r="T254">
            <v>0.59</v>
          </cell>
          <cell r="U254">
            <v>20.476190476190474</v>
          </cell>
          <cell r="V254">
            <v>20</v>
          </cell>
          <cell r="W254">
            <v>0</v>
          </cell>
          <cell r="X254">
            <v>0</v>
          </cell>
          <cell r="Y254">
            <v>0</v>
          </cell>
          <cell r="Z254">
            <v>20</v>
          </cell>
          <cell r="AA254">
            <v>2150</v>
          </cell>
          <cell r="AB254">
            <v>860</v>
          </cell>
          <cell r="AC254">
            <v>0</v>
          </cell>
          <cell r="AD254">
            <v>0.6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2150</v>
          </cell>
          <cell r="AZ254">
            <v>0</v>
          </cell>
          <cell r="BA254">
            <v>2150</v>
          </cell>
          <cell r="BB254">
            <v>860</v>
          </cell>
          <cell r="BC254">
            <v>0</v>
          </cell>
          <cell r="BD254">
            <v>1</v>
          </cell>
          <cell r="BE254">
            <v>1</v>
          </cell>
          <cell r="BF254">
            <v>0</v>
          </cell>
          <cell r="BG254">
            <v>0</v>
          </cell>
          <cell r="BH254">
            <v>0</v>
          </cell>
          <cell r="BI254">
            <v>105</v>
          </cell>
          <cell r="BJ254">
            <v>1</v>
          </cell>
          <cell r="BK254">
            <v>0</v>
          </cell>
          <cell r="BL254">
            <v>860</v>
          </cell>
          <cell r="BM254">
            <v>1</v>
          </cell>
          <cell r="BN254">
            <v>2150</v>
          </cell>
          <cell r="BO254">
            <v>860</v>
          </cell>
          <cell r="BP254">
            <v>1290</v>
          </cell>
          <cell r="BQ254">
            <v>2150</v>
          </cell>
          <cell r="BR254">
            <v>2150</v>
          </cell>
          <cell r="BS254">
            <v>860</v>
          </cell>
          <cell r="BT254">
            <v>1290</v>
          </cell>
          <cell r="BU254">
            <v>2150</v>
          </cell>
          <cell r="BV254">
            <v>0</v>
          </cell>
          <cell r="BX254">
            <v>0</v>
          </cell>
          <cell r="BY254">
            <v>20</v>
          </cell>
          <cell r="BZ254">
            <v>0</v>
          </cell>
          <cell r="CA254">
            <v>0</v>
          </cell>
        </row>
        <row r="255">
          <cell r="H255" t="str">
            <v>C233884</v>
          </cell>
          <cell r="I255" t="str">
            <v xml:space="preserve">OPTION 2                      </v>
          </cell>
          <cell r="J255" t="str">
            <v xml:space="preserve">                              </v>
          </cell>
          <cell r="K255" t="str">
            <v>AERO CABIN SOLUTIONS</v>
          </cell>
          <cell r="L255" t="str">
            <v>FDEQPO</v>
          </cell>
          <cell r="M255">
            <v>45180</v>
          </cell>
          <cell r="N255" t="str">
            <v/>
          </cell>
          <cell r="O255">
            <v>7584</v>
          </cell>
          <cell r="P255">
            <v>7584</v>
          </cell>
          <cell r="Q255">
            <v>5504</v>
          </cell>
          <cell r="R255">
            <v>3955.9999999999995</v>
          </cell>
          <cell r="S255">
            <v>0.26054852320675104</v>
          </cell>
          <cell r="T255">
            <v>0.27117088607594941</v>
          </cell>
          <cell r="U255">
            <v>12.5</v>
          </cell>
          <cell r="V255">
            <v>8</v>
          </cell>
          <cell r="W255">
            <v>0</v>
          </cell>
          <cell r="X255">
            <v>2</v>
          </cell>
          <cell r="Y255">
            <v>0</v>
          </cell>
          <cell r="Z255">
            <v>8</v>
          </cell>
          <cell r="AA255">
            <v>1384</v>
          </cell>
          <cell r="AB255">
            <v>344</v>
          </cell>
          <cell r="AC255">
            <v>104</v>
          </cell>
          <cell r="AD255">
            <v>0.67630057803468202</v>
          </cell>
          <cell r="AE255">
            <v>6200</v>
          </cell>
          <cell r="AF255">
            <v>5160</v>
          </cell>
          <cell r="AG255">
            <v>3611.9999999999995</v>
          </cell>
          <cell r="AH255">
            <v>1548.0000000000005</v>
          </cell>
          <cell r="AI255">
            <v>3611.9999999999995</v>
          </cell>
          <cell r="AJ255">
            <v>0</v>
          </cell>
          <cell r="AK255">
            <v>0</v>
          </cell>
          <cell r="AL255">
            <v>5160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0.16774193548387095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7584</v>
          </cell>
          <cell r="AZ255">
            <v>0</v>
          </cell>
          <cell r="BA255">
            <v>5349.9115549215403</v>
          </cell>
          <cell r="BB255">
            <v>3955.9999999999995</v>
          </cell>
          <cell r="BC255">
            <v>1652.0000000000005</v>
          </cell>
          <cell r="BD255">
            <v>0.70542082738944356</v>
          </cell>
          <cell r="BE255">
            <v>1</v>
          </cell>
          <cell r="BF255">
            <v>-2234.0884450784602</v>
          </cell>
          <cell r="BG255">
            <v>0</v>
          </cell>
          <cell r="BH255">
            <v>0</v>
          </cell>
          <cell r="BI255">
            <v>105</v>
          </cell>
          <cell r="BJ255">
            <v>1</v>
          </cell>
          <cell r="BK255">
            <v>0</v>
          </cell>
          <cell r="BL255">
            <v>5608</v>
          </cell>
          <cell r="BM255">
            <v>0.70542082738944356</v>
          </cell>
          <cell r="BN255">
            <v>5349.9115549215403</v>
          </cell>
          <cell r="BO255">
            <v>3955.9999999999995</v>
          </cell>
          <cell r="BP255">
            <v>1393.9115549215408</v>
          </cell>
          <cell r="BQ255">
            <v>7584</v>
          </cell>
          <cell r="BR255">
            <v>5349.9115549215403</v>
          </cell>
          <cell r="BS255">
            <v>3955.9999999999995</v>
          </cell>
          <cell r="BT255">
            <v>1393.9115549215408</v>
          </cell>
          <cell r="BU255">
            <v>7584</v>
          </cell>
          <cell r="BV255">
            <v>2234.0884450784597</v>
          </cell>
          <cell r="BX255">
            <v>0</v>
          </cell>
          <cell r="BY255">
            <v>8</v>
          </cell>
          <cell r="BZ255">
            <v>0</v>
          </cell>
          <cell r="CA255">
            <v>3611.9999999999995</v>
          </cell>
        </row>
        <row r="256">
          <cell r="H256" t="str">
            <v>C233892</v>
          </cell>
          <cell r="I256" t="str">
            <v xml:space="preserve">F900C-194 BELTS REPLACEMENT   </v>
          </cell>
          <cell r="J256" t="str">
            <v xml:space="preserve">                              </v>
          </cell>
          <cell r="K256" t="str">
            <v xml:space="preserve">DASSAULT AVIATION BUSINESS SERVICES </v>
          </cell>
          <cell r="L256" t="str">
            <v>FDEFDE</v>
          </cell>
          <cell r="M256">
            <v>45184</v>
          </cell>
          <cell r="N256">
            <v>45199</v>
          </cell>
          <cell r="O256">
            <v>3200</v>
          </cell>
          <cell r="P256">
            <v>3200</v>
          </cell>
          <cell r="Q256">
            <v>1204</v>
          </cell>
          <cell r="R256">
            <v>1204</v>
          </cell>
          <cell r="S256">
            <v>0.62375000000000003</v>
          </cell>
          <cell r="T256">
            <v>0.59</v>
          </cell>
          <cell r="U256">
            <v>29.04</v>
          </cell>
          <cell r="V256">
            <v>28</v>
          </cell>
          <cell r="W256">
            <v>0</v>
          </cell>
          <cell r="X256">
            <v>0</v>
          </cell>
          <cell r="Y256">
            <v>0</v>
          </cell>
          <cell r="Z256">
            <v>28</v>
          </cell>
          <cell r="AA256">
            <v>3200</v>
          </cell>
          <cell r="AB256">
            <v>1204</v>
          </cell>
          <cell r="AC256">
            <v>0</v>
          </cell>
          <cell r="AD256">
            <v>0.62375000000000003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3200</v>
          </cell>
          <cell r="AZ256">
            <v>0</v>
          </cell>
          <cell r="BA256">
            <v>3200</v>
          </cell>
          <cell r="BB256">
            <v>1204</v>
          </cell>
          <cell r="BC256">
            <v>0</v>
          </cell>
          <cell r="BD256">
            <v>1</v>
          </cell>
          <cell r="BE256">
            <v>1</v>
          </cell>
          <cell r="BF256">
            <v>0</v>
          </cell>
          <cell r="BG256">
            <v>0</v>
          </cell>
          <cell r="BH256">
            <v>0</v>
          </cell>
          <cell r="BI256">
            <v>105</v>
          </cell>
          <cell r="BJ256">
            <v>1</v>
          </cell>
          <cell r="BK256">
            <v>0</v>
          </cell>
          <cell r="BL256">
            <v>1204</v>
          </cell>
          <cell r="BM256">
            <v>1</v>
          </cell>
          <cell r="BN256">
            <v>3200</v>
          </cell>
          <cell r="BO256">
            <v>1204</v>
          </cell>
          <cell r="BP256">
            <v>1996</v>
          </cell>
          <cell r="BQ256">
            <v>3200</v>
          </cell>
          <cell r="BR256">
            <v>3200</v>
          </cell>
          <cell r="BS256">
            <v>1204</v>
          </cell>
          <cell r="BT256">
            <v>1996</v>
          </cell>
          <cell r="BU256">
            <v>3200</v>
          </cell>
          <cell r="BV256">
            <v>0</v>
          </cell>
          <cell r="BX256">
            <v>0</v>
          </cell>
          <cell r="BY256">
            <v>28</v>
          </cell>
          <cell r="BZ256">
            <v>0</v>
          </cell>
          <cell r="CA256">
            <v>0</v>
          </cell>
        </row>
        <row r="257">
          <cell r="H257" t="str">
            <v>C233885</v>
          </cell>
          <cell r="I257" t="str">
            <v xml:space="preserve"> DOSSIER POUR INSTALLATION    </v>
          </cell>
          <cell r="J257" t="str">
            <v xml:space="preserve">                              </v>
          </cell>
          <cell r="K257" t="str">
            <v>BABCOCK MCS FRANCE</v>
          </cell>
          <cell r="L257" t="str">
            <v>LJALJA</v>
          </cell>
          <cell r="M257">
            <v>45181</v>
          </cell>
          <cell r="N257" t="str">
            <v/>
          </cell>
          <cell r="O257">
            <v>2850</v>
          </cell>
          <cell r="P257">
            <v>2850</v>
          </cell>
          <cell r="Q257">
            <v>1247</v>
          </cell>
          <cell r="R257">
            <v>1247</v>
          </cell>
          <cell r="S257">
            <v>0.56245614035087721</v>
          </cell>
          <cell r="T257">
            <v>0.59</v>
          </cell>
          <cell r="U257">
            <v>27.142857142857142</v>
          </cell>
          <cell r="V257">
            <v>29</v>
          </cell>
          <cell r="W257">
            <v>0</v>
          </cell>
          <cell r="X257">
            <v>0</v>
          </cell>
          <cell r="Y257">
            <v>0</v>
          </cell>
          <cell r="Z257">
            <v>29</v>
          </cell>
          <cell r="AA257">
            <v>2850</v>
          </cell>
          <cell r="AB257">
            <v>1247</v>
          </cell>
          <cell r="AC257">
            <v>0</v>
          </cell>
          <cell r="AD257">
            <v>0.56245614035087721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2850</v>
          </cell>
          <cell r="BB257">
            <v>1247</v>
          </cell>
          <cell r="BC257">
            <v>0</v>
          </cell>
          <cell r="BD257">
            <v>1</v>
          </cell>
          <cell r="BE257">
            <v>0</v>
          </cell>
          <cell r="BF257">
            <v>0</v>
          </cell>
          <cell r="BG257">
            <v>2850</v>
          </cell>
          <cell r="BH257">
            <v>0</v>
          </cell>
          <cell r="BI257">
            <v>105</v>
          </cell>
          <cell r="BJ257">
            <v>1</v>
          </cell>
          <cell r="BK257">
            <v>0</v>
          </cell>
          <cell r="BL257">
            <v>1247</v>
          </cell>
          <cell r="BM257">
            <v>1</v>
          </cell>
          <cell r="BN257">
            <v>2850</v>
          </cell>
          <cell r="BO257">
            <v>1247</v>
          </cell>
          <cell r="BP257">
            <v>1603</v>
          </cell>
          <cell r="BQ257">
            <v>0</v>
          </cell>
          <cell r="BR257">
            <v>2850</v>
          </cell>
          <cell r="BS257">
            <v>1247</v>
          </cell>
          <cell r="BT257">
            <v>1603</v>
          </cell>
          <cell r="BU257">
            <v>0</v>
          </cell>
          <cell r="BV257">
            <v>0</v>
          </cell>
          <cell r="BX257">
            <v>0</v>
          </cell>
          <cell r="BY257">
            <v>29</v>
          </cell>
          <cell r="BZ257">
            <v>0</v>
          </cell>
          <cell r="CA257">
            <v>0</v>
          </cell>
        </row>
        <row r="258">
          <cell r="H258" t="str">
            <v>C233632-M</v>
          </cell>
          <cell r="I258" t="str">
            <v xml:space="preserve">HRS DEPLACEMENT MADRID        </v>
          </cell>
          <cell r="J258" t="str">
            <v xml:space="preserve">                              </v>
          </cell>
          <cell r="K258" t="str">
            <v xml:space="preserve">IMMFLY SL </v>
          </cell>
          <cell r="L258" t="str">
            <v>PROPRO</v>
          </cell>
          <cell r="M258">
            <v>45184</v>
          </cell>
          <cell r="N258" t="str">
            <v/>
          </cell>
          <cell r="O258">
            <v>1810</v>
          </cell>
          <cell r="P258">
            <v>1810</v>
          </cell>
          <cell r="Q258">
            <v>1004.66</v>
          </cell>
          <cell r="R258">
            <v>1004.66</v>
          </cell>
          <cell r="S258">
            <v>0.44493922651933704</v>
          </cell>
          <cell r="T258">
            <v>0.4585635359116022</v>
          </cell>
          <cell r="U258">
            <v>11.428571428571429</v>
          </cell>
          <cell r="V258">
            <v>11</v>
          </cell>
          <cell r="W258">
            <v>0</v>
          </cell>
          <cell r="X258">
            <v>0</v>
          </cell>
          <cell r="Y258">
            <v>0</v>
          </cell>
          <cell r="Z258">
            <v>11</v>
          </cell>
          <cell r="AA258">
            <v>1200</v>
          </cell>
          <cell r="AB258">
            <v>473</v>
          </cell>
          <cell r="AC258">
            <v>0</v>
          </cell>
          <cell r="AD258">
            <v>0.60583333333333333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610</v>
          </cell>
          <cell r="AT258">
            <v>531.66</v>
          </cell>
          <cell r="AU258">
            <v>0</v>
          </cell>
          <cell r="AV258">
            <v>0</v>
          </cell>
          <cell r="AW258">
            <v>531.66</v>
          </cell>
          <cell r="AX258">
            <v>0.12842622950819682</v>
          </cell>
          <cell r="AY258">
            <v>1810</v>
          </cell>
          <cell r="AZ258">
            <v>0</v>
          </cell>
          <cell r="BA258">
            <v>1810</v>
          </cell>
          <cell r="BB258">
            <v>1004.66</v>
          </cell>
          <cell r="BC258">
            <v>0</v>
          </cell>
          <cell r="BD258">
            <v>1</v>
          </cell>
          <cell r="BE258">
            <v>1</v>
          </cell>
          <cell r="BF258">
            <v>0</v>
          </cell>
          <cell r="BG258">
            <v>0</v>
          </cell>
          <cell r="BH258">
            <v>0</v>
          </cell>
          <cell r="BI258">
            <v>105</v>
          </cell>
          <cell r="BJ258">
            <v>1</v>
          </cell>
          <cell r="BK258">
            <v>0</v>
          </cell>
          <cell r="BL258">
            <v>1004.66</v>
          </cell>
          <cell r="BM258">
            <v>1</v>
          </cell>
          <cell r="BN258">
            <v>1810</v>
          </cell>
          <cell r="BO258">
            <v>1004.66</v>
          </cell>
          <cell r="BP258">
            <v>805.34</v>
          </cell>
          <cell r="BQ258">
            <v>1810</v>
          </cell>
          <cell r="BR258">
            <v>1810</v>
          </cell>
          <cell r="BS258">
            <v>1004.66</v>
          </cell>
          <cell r="BT258">
            <v>805.34</v>
          </cell>
          <cell r="BU258">
            <v>1810</v>
          </cell>
          <cell r="BV258">
            <v>0</v>
          </cell>
          <cell r="BX258">
            <v>0</v>
          </cell>
          <cell r="BY258">
            <v>11</v>
          </cell>
          <cell r="BZ258">
            <v>0</v>
          </cell>
          <cell r="CA258">
            <v>531.66</v>
          </cell>
        </row>
        <row r="259">
          <cell r="H259" t="str">
            <v>C233896</v>
          </cell>
          <cell r="I259" t="str">
            <v>AMENDEMENT AU SERVICE BULLETIN</v>
          </cell>
          <cell r="J259" t="str">
            <v xml:space="preserve">                              </v>
          </cell>
          <cell r="K259" t="str">
            <v xml:space="preserve">CORSAIR </v>
          </cell>
          <cell r="L259" t="str">
            <v>VGAPLA</v>
          </cell>
          <cell r="M259">
            <v>45188</v>
          </cell>
          <cell r="N259" t="str">
            <v/>
          </cell>
          <cell r="O259">
            <v>800</v>
          </cell>
          <cell r="P259">
            <v>800</v>
          </cell>
          <cell r="Q259">
            <v>322.5</v>
          </cell>
          <cell r="R259">
            <v>322.5</v>
          </cell>
          <cell r="S259">
            <v>0.59687500000000004</v>
          </cell>
          <cell r="T259">
            <v>0.59</v>
          </cell>
          <cell r="U259">
            <v>7</v>
          </cell>
          <cell r="V259">
            <v>7.5</v>
          </cell>
          <cell r="W259">
            <v>0</v>
          </cell>
          <cell r="X259">
            <v>0</v>
          </cell>
          <cell r="Y259">
            <v>0</v>
          </cell>
          <cell r="Z259">
            <v>7.5</v>
          </cell>
          <cell r="AA259">
            <v>800</v>
          </cell>
          <cell r="AB259">
            <v>322.5</v>
          </cell>
          <cell r="AC259">
            <v>0</v>
          </cell>
          <cell r="AD259">
            <v>0.59687500000000004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800</v>
          </cell>
          <cell r="BB259">
            <v>322.5</v>
          </cell>
          <cell r="BC259">
            <v>0</v>
          </cell>
          <cell r="BD259">
            <v>1</v>
          </cell>
          <cell r="BE259">
            <v>0</v>
          </cell>
          <cell r="BF259">
            <v>0</v>
          </cell>
          <cell r="BG259">
            <v>800</v>
          </cell>
          <cell r="BH259">
            <v>0</v>
          </cell>
          <cell r="BI259">
            <v>105</v>
          </cell>
          <cell r="BJ259">
            <v>1</v>
          </cell>
          <cell r="BK259">
            <v>0</v>
          </cell>
          <cell r="BL259">
            <v>322.5</v>
          </cell>
          <cell r="BM259">
            <v>1</v>
          </cell>
          <cell r="BN259">
            <v>800</v>
          </cell>
          <cell r="BO259">
            <v>322.5</v>
          </cell>
          <cell r="BP259">
            <v>477.5</v>
          </cell>
          <cell r="BQ259">
            <v>0</v>
          </cell>
          <cell r="BR259">
            <v>800</v>
          </cell>
          <cell r="BS259">
            <v>322.5</v>
          </cell>
          <cell r="BT259">
            <v>477.5</v>
          </cell>
          <cell r="BU259">
            <v>0</v>
          </cell>
          <cell r="BV259">
            <v>0</v>
          </cell>
          <cell r="BX259">
            <v>0</v>
          </cell>
          <cell r="BY259">
            <v>7.5</v>
          </cell>
          <cell r="BZ259">
            <v>0</v>
          </cell>
          <cell r="CA259">
            <v>0</v>
          </cell>
        </row>
        <row r="260">
          <cell r="H260" t="str">
            <v>C233902</v>
          </cell>
          <cell r="I260" t="str">
            <v xml:space="preserve">AJOUT D'APPLICABILITÉ AE17173 </v>
          </cell>
          <cell r="J260" t="str">
            <v xml:space="preserve">17173                         </v>
          </cell>
          <cell r="K260" t="str">
            <v>BABCOCK MCS FRANCE</v>
          </cell>
          <cell r="L260" t="str">
            <v>LJALJA</v>
          </cell>
          <cell r="M260">
            <v>45191</v>
          </cell>
          <cell r="N260" t="str">
            <v/>
          </cell>
          <cell r="O260">
            <v>700</v>
          </cell>
          <cell r="P260">
            <v>700</v>
          </cell>
          <cell r="Q260">
            <v>258</v>
          </cell>
          <cell r="R260">
            <v>258</v>
          </cell>
          <cell r="S260">
            <v>0.5794285714285714</v>
          </cell>
          <cell r="T260">
            <v>0.59</v>
          </cell>
          <cell r="U260">
            <v>6.666666666666667</v>
          </cell>
          <cell r="V260">
            <v>6</v>
          </cell>
          <cell r="W260">
            <v>0</v>
          </cell>
          <cell r="X260">
            <v>0.70000000000000018</v>
          </cell>
          <cell r="Y260">
            <v>0</v>
          </cell>
          <cell r="Z260">
            <v>6</v>
          </cell>
          <cell r="AA260">
            <v>700</v>
          </cell>
          <cell r="AB260">
            <v>258</v>
          </cell>
          <cell r="AC260">
            <v>36.400000000000006</v>
          </cell>
          <cell r="AD260">
            <v>0.5794285714285714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613.45108695652175</v>
          </cell>
          <cell r="BB260">
            <v>258</v>
          </cell>
          <cell r="BC260">
            <v>36.400000000000006</v>
          </cell>
          <cell r="BD260">
            <v>0.87635869565217395</v>
          </cell>
          <cell r="BE260">
            <v>0</v>
          </cell>
          <cell r="BF260">
            <v>0</v>
          </cell>
          <cell r="BG260">
            <v>613.45108695652175</v>
          </cell>
          <cell r="BH260">
            <v>0</v>
          </cell>
          <cell r="BI260">
            <v>105</v>
          </cell>
          <cell r="BJ260">
            <v>1</v>
          </cell>
          <cell r="BK260">
            <v>0</v>
          </cell>
          <cell r="BL260">
            <v>294.39999999999998</v>
          </cell>
          <cell r="BM260">
            <v>0.87635869565217395</v>
          </cell>
          <cell r="BN260">
            <v>613.45108695652175</v>
          </cell>
          <cell r="BO260">
            <v>258</v>
          </cell>
          <cell r="BP260">
            <v>355.45108695652175</v>
          </cell>
          <cell r="BQ260">
            <v>0</v>
          </cell>
          <cell r="BR260">
            <v>613.45108695652175</v>
          </cell>
          <cell r="BS260">
            <v>258</v>
          </cell>
          <cell r="BT260">
            <v>355.45108695652175</v>
          </cell>
          <cell r="BU260">
            <v>0</v>
          </cell>
          <cell r="BV260">
            <v>86.548913043478251</v>
          </cell>
          <cell r="BX260">
            <v>0</v>
          </cell>
          <cell r="BY260">
            <v>6</v>
          </cell>
          <cell r="BZ260">
            <v>0</v>
          </cell>
          <cell r="CA260">
            <v>0</v>
          </cell>
        </row>
        <row r="261">
          <cell r="H261" t="str">
            <v>C233869</v>
          </cell>
          <cell r="I261" t="str">
            <v xml:space="preserve">A320 MSN 3621 &amp; 4533          </v>
          </cell>
          <cell r="J261" t="str">
            <v xml:space="preserve">23098                         </v>
          </cell>
          <cell r="K261" t="str">
            <v>AERO CABIN SOLUTIONS</v>
          </cell>
          <cell r="L261" t="str">
            <v>FDEQPO</v>
          </cell>
          <cell r="M261">
            <v>45194</v>
          </cell>
          <cell r="N261" t="str">
            <v/>
          </cell>
          <cell r="O261">
            <v>15800</v>
          </cell>
          <cell r="P261">
            <v>15800</v>
          </cell>
          <cell r="Q261">
            <v>43</v>
          </cell>
          <cell r="R261">
            <v>43</v>
          </cell>
          <cell r="S261">
            <v>-0.38426329113924051</v>
          </cell>
          <cell r="T261">
            <v>0.59</v>
          </cell>
          <cell r="U261">
            <v>143</v>
          </cell>
          <cell r="V261">
            <v>1</v>
          </cell>
          <cell r="W261">
            <v>0</v>
          </cell>
          <cell r="X261">
            <v>142</v>
          </cell>
          <cell r="Y261">
            <v>0</v>
          </cell>
          <cell r="Z261">
            <v>1</v>
          </cell>
          <cell r="AA261">
            <v>15800</v>
          </cell>
          <cell r="AB261">
            <v>43</v>
          </cell>
          <cell r="AC261">
            <v>7384</v>
          </cell>
          <cell r="AD261">
            <v>0.5299367088607595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14444.36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31.063454673143326</v>
          </cell>
          <cell r="BB261">
            <v>43</v>
          </cell>
          <cell r="BC261">
            <v>21828.36</v>
          </cell>
          <cell r="BD261">
            <v>1.9660414350090713E-3</v>
          </cell>
          <cell r="BE261">
            <v>0</v>
          </cell>
          <cell r="BF261">
            <v>0</v>
          </cell>
          <cell r="BG261">
            <v>31.063454673143326</v>
          </cell>
          <cell r="BH261">
            <v>0</v>
          </cell>
          <cell r="BI261">
            <v>105</v>
          </cell>
          <cell r="BJ261">
            <v>1</v>
          </cell>
          <cell r="BK261">
            <v>0</v>
          </cell>
          <cell r="BL261">
            <v>21871.360000000001</v>
          </cell>
          <cell r="BM261">
            <v>1.9660414350090713E-3</v>
          </cell>
          <cell r="BN261">
            <v>31.063454673143326</v>
          </cell>
          <cell r="BO261">
            <v>43</v>
          </cell>
          <cell r="BP261">
            <v>-11.936545326856674</v>
          </cell>
          <cell r="BQ261">
            <v>0</v>
          </cell>
          <cell r="BR261">
            <v>31.063454673143326</v>
          </cell>
          <cell r="BS261">
            <v>43</v>
          </cell>
          <cell r="BT261">
            <v>-11.936545326856674</v>
          </cell>
          <cell r="BU261">
            <v>0</v>
          </cell>
          <cell r="BV261">
            <v>15768.936545326857</v>
          </cell>
          <cell r="BX261">
            <v>0</v>
          </cell>
          <cell r="BY261">
            <v>1</v>
          </cell>
          <cell r="BZ261">
            <v>0</v>
          </cell>
          <cell r="CA261">
            <v>0</v>
          </cell>
        </row>
        <row r="262">
          <cell r="H262" t="str">
            <v>C233905</v>
          </cell>
          <cell r="I262" t="str">
            <v xml:space="preserve">A320 MSN 4533 G1 &amp; G5         </v>
          </cell>
          <cell r="J262" t="str">
            <v xml:space="preserve">23099                         </v>
          </cell>
          <cell r="K262" t="str">
            <v>AERO CABIN SOLUTIONS</v>
          </cell>
          <cell r="L262" t="str">
            <v>FDE</v>
          </cell>
          <cell r="M262">
            <v>45195</v>
          </cell>
          <cell r="N262" t="str">
            <v/>
          </cell>
          <cell r="O262">
            <v>16500</v>
          </cell>
          <cell r="P262">
            <v>16500</v>
          </cell>
          <cell r="Q262">
            <v>129</v>
          </cell>
          <cell r="R262">
            <v>129</v>
          </cell>
          <cell r="S262">
            <v>0.53206060606060612</v>
          </cell>
          <cell r="T262">
            <v>0.59</v>
          </cell>
          <cell r="U262">
            <v>149</v>
          </cell>
          <cell r="V262">
            <v>3</v>
          </cell>
          <cell r="W262">
            <v>0</v>
          </cell>
          <cell r="X262">
            <v>146</v>
          </cell>
          <cell r="Y262">
            <v>0</v>
          </cell>
          <cell r="Z262">
            <v>3</v>
          </cell>
          <cell r="AA262">
            <v>16500</v>
          </cell>
          <cell r="AB262">
            <v>129</v>
          </cell>
          <cell r="AC262">
            <v>7592</v>
          </cell>
          <cell r="AD262">
            <v>0.53206060606060612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275.67672581271859</v>
          </cell>
          <cell r="BB262">
            <v>129</v>
          </cell>
          <cell r="BC262">
            <v>7592</v>
          </cell>
          <cell r="BD262">
            <v>1.6707680352285974E-2</v>
          </cell>
          <cell r="BE262">
            <v>0</v>
          </cell>
          <cell r="BF262">
            <v>0</v>
          </cell>
          <cell r="BG262">
            <v>275.67672581271859</v>
          </cell>
          <cell r="BH262">
            <v>0</v>
          </cell>
          <cell r="BI262">
            <v>105</v>
          </cell>
          <cell r="BJ262">
            <v>1</v>
          </cell>
          <cell r="BK262">
            <v>0</v>
          </cell>
          <cell r="BL262">
            <v>7721</v>
          </cell>
          <cell r="BM262">
            <v>1.6707680352285974E-2</v>
          </cell>
          <cell r="BN262">
            <v>275.67672581271859</v>
          </cell>
          <cell r="BO262">
            <v>129</v>
          </cell>
          <cell r="BP262">
            <v>146.67672581271859</v>
          </cell>
          <cell r="BQ262">
            <v>0</v>
          </cell>
          <cell r="BR262">
            <v>275.67672581271859</v>
          </cell>
          <cell r="BS262">
            <v>129</v>
          </cell>
          <cell r="BT262">
            <v>146.67672581271859</v>
          </cell>
          <cell r="BU262">
            <v>0</v>
          </cell>
          <cell r="BV262">
            <v>16224.323274187282</v>
          </cell>
          <cell r="BX262">
            <v>0</v>
          </cell>
          <cell r="BY262">
            <v>3</v>
          </cell>
          <cell r="BZ262">
            <v>0</v>
          </cell>
          <cell r="CA262">
            <v>0</v>
          </cell>
        </row>
        <row r="263">
          <cell r="H263" t="str">
            <v>C233836</v>
          </cell>
          <cell r="I263" t="str">
            <v xml:space="preserve">INSTALLATION CRADLE TPH 900   </v>
          </cell>
          <cell r="J263" t="str">
            <v xml:space="preserve">                              </v>
          </cell>
          <cell r="K263" t="str">
            <v xml:space="preserve">HELILAGON </v>
          </cell>
          <cell r="L263" t="str">
            <v>LJAPRO</v>
          </cell>
          <cell r="M263">
            <v>45196</v>
          </cell>
          <cell r="O263">
            <v>3990</v>
          </cell>
          <cell r="P263">
            <v>3990</v>
          </cell>
          <cell r="Q263">
            <v>0</v>
          </cell>
          <cell r="R263">
            <v>0</v>
          </cell>
          <cell r="S263">
            <v>0.50476190476190474</v>
          </cell>
          <cell r="T263">
            <v>0.59</v>
          </cell>
          <cell r="U263">
            <v>38</v>
          </cell>
          <cell r="V263">
            <v>0</v>
          </cell>
          <cell r="W263">
            <v>0</v>
          </cell>
          <cell r="X263">
            <v>38</v>
          </cell>
          <cell r="Y263">
            <v>0</v>
          </cell>
          <cell r="Z263">
            <v>0</v>
          </cell>
          <cell r="AA263">
            <v>3990</v>
          </cell>
          <cell r="AB263">
            <v>0</v>
          </cell>
          <cell r="AC263">
            <v>1976</v>
          </cell>
          <cell r="AD263">
            <v>0.50476190476190474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1976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105</v>
          </cell>
          <cell r="BJ263">
            <v>1</v>
          </cell>
          <cell r="BK263">
            <v>0</v>
          </cell>
          <cell r="BL263">
            <v>1976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3990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</row>
        <row r="265">
          <cell r="AZ265">
            <v>97953.403371535664</v>
          </cell>
          <cell r="BA265">
            <v>3168.9300955951476</v>
          </cell>
          <cell r="BB265">
            <v>116369.62665749999</v>
          </cell>
          <cell r="BC265">
            <v>84394.625387500011</v>
          </cell>
          <cell r="BD265">
            <v>0.5796332039800417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"/>
      <sheetName val="FNP achats"/>
      <sheetName val="CCA achats"/>
      <sheetName val="OT interne AEB"/>
      <sheetName val="OT interne AEG145"/>
      <sheetName val="OT interne AEG21G"/>
      <sheetName val="Data"/>
      <sheetName val="Compta Ana"/>
      <sheetName val="TCD"/>
      <sheetName val="Feuil3"/>
    </sheetNames>
    <sheetDataSet>
      <sheetData sheetId="0" refreshError="1">
        <row r="1">
          <cell r="A1" t="str">
            <v>FNP</v>
          </cell>
          <cell r="I1" t="str">
            <v>CCA</v>
          </cell>
          <cell r="N1">
            <v>2832428.4856021348</v>
          </cell>
          <cell r="O1">
            <v>2517231</v>
          </cell>
        </row>
        <row r="2">
          <cell r="A2" t="str">
            <v>Période</v>
          </cell>
          <cell r="B2">
            <v>45805</v>
          </cell>
          <cell r="I2" t="str">
            <v>Période</v>
          </cell>
          <cell r="J2">
            <v>45744</v>
          </cell>
        </row>
        <row r="3">
          <cell r="N3" t="str">
            <v>Charges entités internes 21G</v>
          </cell>
          <cell r="V3" t="str">
            <v>Charges entités internes AEB</v>
          </cell>
        </row>
        <row r="4">
          <cell r="A4" t="str">
            <v>Étiquettes de lignes</v>
          </cell>
          <cell r="B4" t="str">
            <v xml:space="preserve"> FNP</v>
          </cell>
          <cell r="I4" t="str">
            <v>Étiquettes de lignes</v>
          </cell>
          <cell r="J4" t="str">
            <v>Somme de Montant CCA</v>
          </cell>
          <cell r="AB4" t="str">
            <v>Charges entités internes 145 AEG</v>
          </cell>
        </row>
        <row r="5">
          <cell r="A5" t="str">
            <v>C192026</v>
          </cell>
          <cell r="B5">
            <v>192.12</v>
          </cell>
          <cell r="I5" t="str">
            <v>C213202</v>
          </cell>
          <cell r="J5">
            <v>0</v>
          </cell>
          <cell r="N5" t="str">
            <v>Période</v>
          </cell>
          <cell r="O5">
            <v>45808</v>
          </cell>
          <cell r="V5" t="str">
            <v>Période</v>
          </cell>
          <cell r="W5">
            <v>45807</v>
          </cell>
        </row>
        <row r="6">
          <cell r="A6" t="str">
            <v>C202695</v>
          </cell>
          <cell r="B6">
            <v>3171.2</v>
          </cell>
          <cell r="I6" t="str">
            <v>Total général</v>
          </cell>
          <cell r="J6">
            <v>0</v>
          </cell>
          <cell r="V6" t="str">
            <v>CoC</v>
          </cell>
          <cell r="W6" t="str">
            <v>(Tous)</v>
          </cell>
          <cell r="AB6" t="str">
            <v>Période</v>
          </cell>
          <cell r="AC6">
            <v>45807</v>
          </cell>
        </row>
        <row r="7">
          <cell r="A7" t="str">
            <v>C212808</v>
          </cell>
          <cell r="B7">
            <v>2500</v>
          </cell>
          <cell r="N7" t="str">
            <v>Étiquettes de lignes</v>
          </cell>
          <cell r="O7" t="str">
            <v xml:space="preserve"> Charge à fin de période</v>
          </cell>
        </row>
        <row r="8">
          <cell r="A8" t="str">
            <v>C212809</v>
          </cell>
          <cell r="B8">
            <v>8117</v>
          </cell>
          <cell r="N8" t="str">
            <v>C192026</v>
          </cell>
          <cell r="O8">
            <v>195.25</v>
          </cell>
          <cell r="V8" t="str">
            <v>Étiquettes de lignes</v>
          </cell>
          <cell r="W8" t="str">
            <v xml:space="preserve"> Charge à fin de période</v>
          </cell>
          <cell r="AB8" t="str">
            <v>Étiquettes de lignes</v>
          </cell>
          <cell r="AC8" t="str">
            <v xml:space="preserve"> Charge à fin de période</v>
          </cell>
        </row>
        <row r="9">
          <cell r="A9" t="str">
            <v>C213086</v>
          </cell>
          <cell r="B9">
            <v>49423.5</v>
          </cell>
          <cell r="N9" t="str">
            <v>C202695</v>
          </cell>
          <cell r="O9">
            <v>14364.27</v>
          </cell>
          <cell r="V9" t="str">
            <v>C223346</v>
          </cell>
          <cell r="W9">
            <v>656153.64</v>
          </cell>
          <cell r="AB9" t="str">
            <v>C223547</v>
          </cell>
          <cell r="AC9">
            <v>1122</v>
          </cell>
        </row>
        <row r="10">
          <cell r="A10" t="str">
            <v>C213109</v>
          </cell>
          <cell r="B10">
            <v>306.76</v>
          </cell>
          <cell r="J10">
            <v>745464.09960059007</v>
          </cell>
          <cell r="N10" t="str">
            <v>C212808</v>
          </cell>
          <cell r="O10">
            <v>10784</v>
          </cell>
          <cell r="V10" t="str">
            <v>C233734</v>
          </cell>
          <cell r="W10">
            <v>0</v>
          </cell>
          <cell r="AB10" t="str">
            <v>C233770</v>
          </cell>
          <cell r="AC10">
            <v>4320</v>
          </cell>
        </row>
        <row r="11">
          <cell r="A11" t="str">
            <v>C213202</v>
          </cell>
          <cell r="B11">
            <v>0</v>
          </cell>
          <cell r="J11">
            <v>0</v>
          </cell>
          <cell r="N11" t="str">
            <v>C212809</v>
          </cell>
          <cell r="O11">
            <v>9426.3700000000008</v>
          </cell>
          <cell r="V11" t="str">
            <v>C223547</v>
          </cell>
          <cell r="W11">
            <v>0</v>
          </cell>
          <cell r="AB11" t="str">
            <v>C244331</v>
          </cell>
          <cell r="AC11">
            <v>500</v>
          </cell>
        </row>
        <row r="12">
          <cell r="A12" t="str">
            <v>C223346</v>
          </cell>
          <cell r="B12">
            <v>4431.8698599999998</v>
          </cell>
          <cell r="N12" t="str">
            <v>C212810</v>
          </cell>
          <cell r="O12">
            <v>1061</v>
          </cell>
          <cell r="V12" t="str">
            <v>C233900</v>
          </cell>
          <cell r="W12">
            <v>87743.03127177374</v>
          </cell>
          <cell r="AB12" t="str">
            <v>C244360</v>
          </cell>
          <cell r="AC12">
            <v>10930</v>
          </cell>
        </row>
        <row r="13">
          <cell r="A13" t="str">
            <v>C223378</v>
          </cell>
          <cell r="B13">
            <v>77</v>
          </cell>
          <cell r="N13" t="str">
            <v>C213086</v>
          </cell>
          <cell r="O13">
            <v>50963.616999999984</v>
          </cell>
          <cell r="V13" t="str">
            <v>C233986</v>
          </cell>
          <cell r="W13">
            <v>16811.02</v>
          </cell>
          <cell r="AB13" t="str">
            <v>C244377</v>
          </cell>
          <cell r="AC13">
            <v>17330</v>
          </cell>
        </row>
        <row r="14">
          <cell r="A14" t="str">
            <v>C223477</v>
          </cell>
          <cell r="B14">
            <v>240</v>
          </cell>
          <cell r="N14" t="str">
            <v>C213126</v>
          </cell>
          <cell r="O14">
            <v>23791.949999999997</v>
          </cell>
          <cell r="V14" t="str">
            <v>C244045</v>
          </cell>
          <cell r="W14">
            <v>0</v>
          </cell>
          <cell r="AB14" t="str">
            <v>C244393</v>
          </cell>
          <cell r="AC14">
            <v>8070</v>
          </cell>
        </row>
        <row r="15">
          <cell r="A15" t="str">
            <v>C223521</v>
          </cell>
          <cell r="B15">
            <v>6429.4900000000016</v>
          </cell>
          <cell r="N15" t="str">
            <v>C213202</v>
          </cell>
          <cell r="O15">
            <v>24907.91</v>
          </cell>
          <cell r="V15" t="str">
            <v>C244043</v>
          </cell>
          <cell r="W15">
            <v>147</v>
          </cell>
          <cell r="AB15" t="str">
            <v>Total général</v>
          </cell>
          <cell r="AC15">
            <v>42272</v>
          </cell>
        </row>
        <row r="16">
          <cell r="A16" t="str">
            <v>C223547</v>
          </cell>
          <cell r="B16">
            <v>36029.680000000008</v>
          </cell>
          <cell r="N16" t="str">
            <v>C223301</v>
          </cell>
          <cell r="O16">
            <v>850.44999999999993</v>
          </cell>
          <cell r="V16" t="str">
            <v>C244357</v>
          </cell>
          <cell r="W16">
            <v>0</v>
          </cell>
        </row>
        <row r="17">
          <cell r="A17" t="str">
            <v>C233723</v>
          </cell>
          <cell r="B17">
            <v>0</v>
          </cell>
          <cell r="N17" t="str">
            <v>C223346</v>
          </cell>
          <cell r="O17">
            <v>41973.09</v>
          </cell>
          <cell r="V17" t="str">
            <v>C213202</v>
          </cell>
          <cell r="W17">
            <v>9940</v>
          </cell>
        </row>
        <row r="18">
          <cell r="A18" t="str">
            <v>C233755</v>
          </cell>
          <cell r="B18">
            <v>21825</v>
          </cell>
          <cell r="N18" t="str">
            <v>C223378</v>
          </cell>
          <cell r="O18">
            <v>517177.49960000004</v>
          </cell>
          <cell r="V18" t="str">
            <v>Total général</v>
          </cell>
          <cell r="W18">
            <v>770794.69127177377</v>
          </cell>
        </row>
        <row r="19">
          <cell r="A19" t="str">
            <v>C233858</v>
          </cell>
          <cell r="B19">
            <v>67.2</v>
          </cell>
          <cell r="N19" t="str">
            <v>C223472</v>
          </cell>
          <cell r="O19">
            <v>3403.15</v>
          </cell>
        </row>
        <row r="20">
          <cell r="A20" t="str">
            <v>C233900</v>
          </cell>
          <cell r="B20">
            <v>4719.8792000000003</v>
          </cell>
          <cell r="N20" t="str">
            <v>C223495</v>
          </cell>
          <cell r="O20">
            <v>10061.299999999999</v>
          </cell>
        </row>
        <row r="21">
          <cell r="A21" t="str">
            <v>C233916</v>
          </cell>
          <cell r="B21">
            <v>54929.411250500067</v>
          </cell>
          <cell r="N21" t="str">
            <v>C223547</v>
          </cell>
          <cell r="O21">
            <v>26938.749999999993</v>
          </cell>
        </row>
        <row r="22">
          <cell r="A22" t="str">
            <v>C233967</v>
          </cell>
          <cell r="B22">
            <v>34606.309337999999</v>
          </cell>
          <cell r="N22" t="str">
            <v>C223583</v>
          </cell>
          <cell r="O22">
            <v>9039.24</v>
          </cell>
        </row>
        <row r="23">
          <cell r="A23" t="str">
            <v>C233989</v>
          </cell>
          <cell r="B23">
            <v>52140</v>
          </cell>
          <cell r="N23" t="str">
            <v>C233632</v>
          </cell>
          <cell r="O23">
            <v>356862.16099999996</v>
          </cell>
        </row>
        <row r="24">
          <cell r="A24" t="str">
            <v>C244119</v>
          </cell>
          <cell r="B24">
            <v>290</v>
          </cell>
          <cell r="N24" t="str">
            <v>C233642</v>
          </cell>
          <cell r="O24">
            <v>4968</v>
          </cell>
        </row>
        <row r="25">
          <cell r="A25" t="str">
            <v>C244120</v>
          </cell>
          <cell r="B25">
            <v>3200</v>
          </cell>
          <cell r="N25" t="str">
            <v>C233678</v>
          </cell>
          <cell r="O25">
            <v>2989.6</v>
          </cell>
        </row>
        <row r="26">
          <cell r="A26" t="str">
            <v>C244122</v>
          </cell>
          <cell r="B26">
            <v>2160</v>
          </cell>
          <cell r="N26" t="str">
            <v>C233711</v>
          </cell>
          <cell r="O26">
            <v>5204.87</v>
          </cell>
        </row>
        <row r="27">
          <cell r="A27" t="str">
            <v>C244183</v>
          </cell>
          <cell r="B27">
            <v>240</v>
          </cell>
          <cell r="N27" t="str">
            <v>C233715</v>
          </cell>
          <cell r="O27">
            <v>1800.75</v>
          </cell>
        </row>
        <row r="28">
          <cell r="A28" t="str">
            <v>C244206</v>
          </cell>
          <cell r="B28">
            <v>143635.41999999993</v>
          </cell>
          <cell r="N28" t="str">
            <v>C233733</v>
          </cell>
          <cell r="O28">
            <v>132007.95000000001</v>
          </cell>
        </row>
        <row r="29">
          <cell r="A29" t="str">
            <v>C244218</v>
          </cell>
          <cell r="B29">
            <v>113708.151</v>
          </cell>
          <cell r="N29" t="str">
            <v>C233745</v>
          </cell>
          <cell r="O29">
            <v>48617.05</v>
          </cell>
        </row>
        <row r="30">
          <cell r="A30" t="str">
            <v>C244227</v>
          </cell>
          <cell r="B30">
            <v>625.09547000000009</v>
          </cell>
          <cell r="N30" t="str">
            <v>C233779</v>
          </cell>
          <cell r="O30">
            <v>1090.96</v>
          </cell>
        </row>
        <row r="31">
          <cell r="A31" t="str">
            <v>C244335</v>
          </cell>
          <cell r="B31">
            <v>154142.67309209003</v>
          </cell>
          <cell r="N31" t="str">
            <v>C233792</v>
          </cell>
          <cell r="O31">
            <v>5586.5</v>
          </cell>
        </row>
        <row r="32">
          <cell r="A32" t="str">
            <v>C244337</v>
          </cell>
          <cell r="B32">
            <v>0</v>
          </cell>
          <cell r="N32" t="str">
            <v>C233840</v>
          </cell>
          <cell r="O32">
            <v>2795.0372235581472</v>
          </cell>
        </row>
        <row r="33">
          <cell r="A33" t="str">
            <v>C244352</v>
          </cell>
          <cell r="B33">
            <v>0</v>
          </cell>
          <cell r="N33" t="str">
            <v>C233851</v>
          </cell>
          <cell r="O33">
            <v>10342.86</v>
          </cell>
        </row>
        <row r="34">
          <cell r="A34" t="str">
            <v>C254467</v>
          </cell>
          <cell r="B34">
            <v>-153.81961000000047</v>
          </cell>
          <cell r="N34" t="str">
            <v>C233858</v>
          </cell>
          <cell r="O34">
            <v>6583.28</v>
          </cell>
        </row>
        <row r="35">
          <cell r="A35" t="str">
            <v>C254495</v>
          </cell>
          <cell r="B35">
            <v>43150.16</v>
          </cell>
          <cell r="N35" t="str">
            <v>C233900</v>
          </cell>
          <cell r="O35">
            <v>95915.216</v>
          </cell>
        </row>
        <row r="36">
          <cell r="A36" t="str">
            <v>C254513</v>
          </cell>
          <cell r="B36">
            <v>0</v>
          </cell>
          <cell r="N36" t="str">
            <v>C233905</v>
          </cell>
          <cell r="O36">
            <v>7806.5999999999995</v>
          </cell>
        </row>
        <row r="37">
          <cell r="A37" t="str">
            <v>C254522</v>
          </cell>
          <cell r="B37">
            <v>5260</v>
          </cell>
          <cell r="N37" t="str">
            <v>C233907</v>
          </cell>
          <cell r="O37">
            <v>11771.51</v>
          </cell>
        </row>
        <row r="38">
          <cell r="A38" t="str">
            <v>Total général</v>
          </cell>
          <cell r="B38">
            <v>745464.09960059007</v>
          </cell>
          <cell r="N38" t="str">
            <v>C233908</v>
          </cell>
          <cell r="O38">
            <v>84799.6</v>
          </cell>
        </row>
        <row r="39">
          <cell r="N39" t="str">
            <v>C233916</v>
          </cell>
          <cell r="O39">
            <v>128178.03300677116</v>
          </cell>
        </row>
        <row r="40">
          <cell r="N40" t="str">
            <v>C233917</v>
          </cell>
          <cell r="O40">
            <v>3277.14</v>
          </cell>
        </row>
        <row r="41">
          <cell r="N41" t="str">
            <v>C233920</v>
          </cell>
          <cell r="O41">
            <v>14178.47</v>
          </cell>
        </row>
        <row r="42">
          <cell r="N42" t="str">
            <v>C233926</v>
          </cell>
          <cell r="O42">
            <v>15990.180000000002</v>
          </cell>
        </row>
        <row r="43">
          <cell r="N43" t="str">
            <v>C233967</v>
          </cell>
          <cell r="O43">
            <v>8625.58</v>
          </cell>
        </row>
        <row r="44">
          <cell r="N44" t="str">
            <v>C233971</v>
          </cell>
          <cell r="O44">
            <v>14341.43</v>
          </cell>
        </row>
        <row r="45">
          <cell r="N45" t="str">
            <v>C233974</v>
          </cell>
          <cell r="O45">
            <v>4146.4799999999996</v>
          </cell>
        </row>
        <row r="46">
          <cell r="N46" t="str">
            <v>C233985</v>
          </cell>
          <cell r="O46">
            <v>5238.54</v>
          </cell>
        </row>
        <row r="47">
          <cell r="N47" t="str">
            <v>C233986</v>
          </cell>
          <cell r="O47">
            <v>1018.18</v>
          </cell>
        </row>
        <row r="48">
          <cell r="N48" t="str">
            <v>C233987</v>
          </cell>
          <cell r="O48">
            <v>2777.48</v>
          </cell>
        </row>
        <row r="49">
          <cell r="N49" t="str">
            <v>C233989</v>
          </cell>
          <cell r="O49">
            <v>1987.8123549186253</v>
          </cell>
        </row>
        <row r="50">
          <cell r="N50" t="str">
            <v>C233991</v>
          </cell>
          <cell r="O50">
            <v>32716.549999999996</v>
          </cell>
        </row>
        <row r="51">
          <cell r="N51" t="str">
            <v>C233997</v>
          </cell>
          <cell r="O51">
            <v>3919.1899999999996</v>
          </cell>
        </row>
        <row r="52">
          <cell r="N52" t="str">
            <v>C233998</v>
          </cell>
          <cell r="O52">
            <v>162.47999999999999</v>
          </cell>
        </row>
        <row r="53">
          <cell r="B53" t="str">
            <v xml:space="preserve"> FNP</v>
          </cell>
          <cell r="N53" t="str">
            <v>C244003</v>
          </cell>
          <cell r="O53">
            <v>1614.21</v>
          </cell>
        </row>
        <row r="54">
          <cell r="B54" t="str">
            <v>Étiquettes de lignes</v>
          </cell>
          <cell r="N54" t="str">
            <v>C244007</v>
          </cell>
          <cell r="O54">
            <v>20897.760000000002</v>
          </cell>
        </row>
        <row r="55">
          <cell r="B55" t="str">
            <v>C192026</v>
          </cell>
          <cell r="N55" t="str">
            <v>C244030</v>
          </cell>
          <cell r="O55">
            <v>13129.05</v>
          </cell>
        </row>
        <row r="56">
          <cell r="B56" t="str">
            <v>C202695</v>
          </cell>
          <cell r="N56" t="str">
            <v>C244043</v>
          </cell>
          <cell r="O56">
            <v>24312.32</v>
          </cell>
        </row>
        <row r="57">
          <cell r="B57" t="str">
            <v>C212808</v>
          </cell>
          <cell r="N57" t="str">
            <v>C244053</v>
          </cell>
          <cell r="O57">
            <v>5340.64</v>
          </cell>
        </row>
        <row r="58">
          <cell r="B58" t="str">
            <v>C212809</v>
          </cell>
          <cell r="N58" t="str">
            <v>C244079</v>
          </cell>
          <cell r="O58">
            <v>37388.25</v>
          </cell>
        </row>
        <row r="59">
          <cell r="B59" t="str">
            <v>C213086</v>
          </cell>
          <cell r="N59" t="str">
            <v>C244087</v>
          </cell>
          <cell r="O59">
            <v>1118.8</v>
          </cell>
        </row>
        <row r="60">
          <cell r="B60" t="str">
            <v>C213109</v>
          </cell>
          <cell r="N60" t="str">
            <v>C244109</v>
          </cell>
          <cell r="O60">
            <v>551.2512905036333</v>
          </cell>
        </row>
        <row r="61">
          <cell r="B61" t="str">
            <v>C213202</v>
          </cell>
          <cell r="N61" t="str">
            <v>C244110</v>
          </cell>
          <cell r="O61">
            <v>2623.25</v>
          </cell>
        </row>
        <row r="62">
          <cell r="B62" t="str">
            <v>C223346</v>
          </cell>
          <cell r="N62" t="str">
            <v>C244116</v>
          </cell>
          <cell r="O62">
            <v>57314.85</v>
          </cell>
        </row>
        <row r="63">
          <cell r="B63" t="str">
            <v>C223378</v>
          </cell>
          <cell r="N63" t="str">
            <v>C244166</v>
          </cell>
          <cell r="O63">
            <v>4584.47</v>
          </cell>
        </row>
        <row r="64">
          <cell r="B64" t="str">
            <v>C223477</v>
          </cell>
          <cell r="N64" t="str">
            <v>C244182</v>
          </cell>
          <cell r="O64">
            <v>630.9</v>
          </cell>
        </row>
        <row r="65">
          <cell r="B65" t="str">
            <v>C223521</v>
          </cell>
          <cell r="N65" t="str">
            <v>C244193</v>
          </cell>
          <cell r="O65">
            <v>4448</v>
          </cell>
        </row>
        <row r="66">
          <cell r="B66" t="str">
            <v>C223547</v>
          </cell>
          <cell r="N66" t="str">
            <v>C244227</v>
          </cell>
          <cell r="O66">
            <v>4814.37</v>
          </cell>
        </row>
        <row r="67">
          <cell r="B67" t="str">
            <v>C233733</v>
          </cell>
          <cell r="N67" t="str">
            <v>C244233</v>
          </cell>
          <cell r="O67">
            <v>1460.15</v>
          </cell>
        </row>
        <row r="68">
          <cell r="B68" t="str">
            <v>C233745</v>
          </cell>
          <cell r="N68" t="str">
            <v>C244273</v>
          </cell>
          <cell r="O68">
            <v>17000</v>
          </cell>
        </row>
        <row r="69">
          <cell r="B69" t="str">
            <v>C233755</v>
          </cell>
          <cell r="N69" t="str">
            <v>C244305</v>
          </cell>
          <cell r="O69">
            <v>7604.6303238445589</v>
          </cell>
        </row>
        <row r="70">
          <cell r="B70" t="str">
            <v>C233858</v>
          </cell>
          <cell r="N70" t="str">
            <v>C244330</v>
          </cell>
          <cell r="O70">
            <v>3336.6640003799243</v>
          </cell>
        </row>
        <row r="71">
          <cell r="B71" t="str">
            <v>C233900</v>
          </cell>
          <cell r="N71" t="str">
            <v>C244331</v>
          </cell>
          <cell r="O71">
            <v>13350.843142187503</v>
          </cell>
        </row>
        <row r="72">
          <cell r="B72" t="str">
            <v>C233908</v>
          </cell>
          <cell r="N72" t="str">
            <v>C244351</v>
          </cell>
          <cell r="O72">
            <v>4465.1499999999996</v>
          </cell>
        </row>
        <row r="73">
          <cell r="B73" t="str">
            <v>C233916</v>
          </cell>
          <cell r="N73" t="str">
            <v>C244355</v>
          </cell>
          <cell r="O73">
            <v>10244.699999999999</v>
          </cell>
        </row>
        <row r="74">
          <cell r="B74" t="str">
            <v>C233967</v>
          </cell>
          <cell r="N74" t="str">
            <v>C244357</v>
          </cell>
          <cell r="O74">
            <v>566.51</v>
          </cell>
        </row>
        <row r="75">
          <cell r="B75" t="str">
            <v>C244013</v>
          </cell>
          <cell r="N75" t="str">
            <v>C244370</v>
          </cell>
          <cell r="O75">
            <v>1293.69</v>
          </cell>
        </row>
        <row r="76">
          <cell r="B76" t="str">
            <v>C244109</v>
          </cell>
          <cell r="N76" t="str">
            <v>C244388</v>
          </cell>
          <cell r="O76">
            <v>2661.71</v>
          </cell>
        </row>
        <row r="77">
          <cell r="B77" t="str">
            <v>C244120</v>
          </cell>
          <cell r="N77" t="str">
            <v>C254411</v>
          </cell>
          <cell r="O77">
            <v>11503.62</v>
          </cell>
        </row>
        <row r="78">
          <cell r="B78" t="str">
            <v>C244122</v>
          </cell>
          <cell r="N78" t="str">
            <v>C254503</v>
          </cell>
          <cell r="O78">
            <v>1177.4015268557634</v>
          </cell>
        </row>
        <row r="79">
          <cell r="B79" t="str">
            <v>C244143</v>
          </cell>
          <cell r="N79" t="str">
            <v>C254504</v>
          </cell>
          <cell r="O79">
            <v>2092.8000000000002</v>
          </cell>
        </row>
        <row r="80">
          <cell r="B80" t="str">
            <v>C244183</v>
          </cell>
          <cell r="N80" t="str">
            <v>C254528</v>
          </cell>
          <cell r="O80">
            <v>2788.5000450000002</v>
          </cell>
        </row>
        <row r="81">
          <cell r="B81" t="str">
            <v>C244206</v>
          </cell>
          <cell r="N81" t="str">
            <v>C254542</v>
          </cell>
          <cell r="O81">
            <v>409.96781634145589</v>
          </cell>
        </row>
        <row r="82">
          <cell r="B82" t="str">
            <v>C244210</v>
          </cell>
          <cell r="N82" t="str">
            <v>Total général</v>
          </cell>
          <cell r="O82">
            <v>2019361.7943303611</v>
          </cell>
        </row>
        <row r="83">
          <cell r="B83" t="str">
            <v>C244218</v>
          </cell>
        </row>
        <row r="84">
          <cell r="B84" t="str">
            <v>C244227</v>
          </cell>
        </row>
        <row r="85">
          <cell r="B85" t="str">
            <v>C244254</v>
          </cell>
        </row>
        <row r="86">
          <cell r="B86" t="str">
            <v>C244315</v>
          </cell>
        </row>
        <row r="87">
          <cell r="B87" t="str">
            <v>C244335</v>
          </cell>
        </row>
        <row r="88">
          <cell r="B88" t="str">
            <v>C244352</v>
          </cell>
        </row>
        <row r="89">
          <cell r="B89" t="str">
            <v>C244384</v>
          </cell>
        </row>
        <row r="90">
          <cell r="B90" t="str">
            <v>C244385</v>
          </cell>
        </row>
        <row r="91">
          <cell r="B91" t="str">
            <v>C244401</v>
          </cell>
        </row>
        <row r="92">
          <cell r="B92" t="str">
            <v>C254426</v>
          </cell>
        </row>
        <row r="93">
          <cell r="B93" t="str">
            <v>Total général</v>
          </cell>
        </row>
        <row r="99">
          <cell r="B99" t="str">
            <v xml:space="preserve"> FNP</v>
          </cell>
        </row>
        <row r="100">
          <cell r="B100" t="str">
            <v>Étiquettes de lignes</v>
          </cell>
        </row>
        <row r="101">
          <cell r="B101" t="str">
            <v>ACH</v>
          </cell>
        </row>
        <row r="102">
          <cell r="B102" t="str">
            <v>ADAFRUIT INDUSTRIES, LLC</v>
          </cell>
        </row>
        <row r="103">
          <cell r="B103" t="str">
            <v>ADHETEC</v>
          </cell>
        </row>
        <row r="104">
          <cell r="B104" t="str">
            <v>ADVANTECH EUROPE B.V.</v>
          </cell>
        </row>
        <row r="105">
          <cell r="B105" t="str">
            <v>AERO CABIN SOLUTIONS</v>
          </cell>
        </row>
        <row r="106">
          <cell r="B106" t="str">
            <v>AERO3D</v>
          </cell>
        </row>
        <row r="107">
          <cell r="B107" t="str">
            <v>AEROPORT CASTRES MAZAMET</v>
          </cell>
        </row>
        <row r="108">
          <cell r="B108" t="str">
            <v>AIR COST CONTROL</v>
          </cell>
        </row>
        <row r="109">
          <cell r="B109" t="str">
            <v>AIR SALVAGE INTERNATIONAL</v>
          </cell>
        </row>
        <row r="110">
          <cell r="B110" t="str">
            <v>AIRBUS SAS</v>
          </cell>
        </row>
        <row r="111">
          <cell r="B111" t="str">
            <v xml:space="preserve">AIRFLOW SCIENCES CORPORATION </v>
          </cell>
        </row>
        <row r="112">
          <cell r="B112" t="str">
            <v>AIROD TECHNOLOGIES</v>
          </cell>
        </row>
        <row r="113">
          <cell r="B113" t="str">
            <v>ALTRAN</v>
          </cell>
        </row>
        <row r="114">
          <cell r="B114" t="str">
            <v>AMAC AEROSPACE (SWITZERLAND) AG</v>
          </cell>
        </row>
        <row r="115">
          <cell r="B115" t="str">
            <v>AVENGER AEROSPACE</v>
          </cell>
        </row>
        <row r="116">
          <cell r="B116" t="str">
            <v>AVIATION GRAPHIX CE GMBH</v>
          </cell>
        </row>
        <row r="117">
          <cell r="B117" t="str">
            <v>B MESURE</v>
          </cell>
        </row>
        <row r="118">
          <cell r="B118" t="str">
            <v>BDEX AVIATION</v>
          </cell>
        </row>
        <row r="119">
          <cell r="B119" t="str">
            <v>BERTRANDT TECHNOLOGY FRANCE SAS</v>
          </cell>
        </row>
        <row r="120">
          <cell r="B120" t="str">
            <v>BLAGNAC CONSULTANCE AERONAUTIQUE</v>
          </cell>
        </row>
        <row r="121">
          <cell r="B121" t="str">
            <v>BLOCKENSTOCK</v>
          </cell>
        </row>
        <row r="122">
          <cell r="B122" t="str">
            <v>BORGHINO</v>
          </cell>
        </row>
        <row r="123">
          <cell r="B123" t="str">
            <v>BOULANGER COLOMIERS</v>
          </cell>
        </row>
        <row r="124">
          <cell r="B124" t="str">
            <v xml:space="preserve">CASTORAMA           </v>
          </cell>
        </row>
        <row r="125">
          <cell r="B125" t="str">
            <v>CHELTON AVIONICS, CANYON AEROCONNECT</v>
          </cell>
        </row>
        <row r="126">
          <cell r="B126" t="str">
            <v>CIPEM</v>
          </cell>
        </row>
        <row r="127">
          <cell r="B127" t="str">
            <v>CLASS'CROUTE</v>
          </cell>
        </row>
        <row r="128">
          <cell r="B128" t="str">
            <v>COMPOSITE INDUSTRIE HUTCHINSON</v>
          </cell>
        </row>
        <row r="129">
          <cell r="B129" t="str">
            <v>COMPUTATIONAL METHODS LLC</v>
          </cell>
        </row>
        <row r="130">
          <cell r="B130" t="str">
            <v xml:space="preserve">CONTINENTAL AUTOMOTIVE FRANCE SAS       </v>
          </cell>
        </row>
        <row r="131">
          <cell r="B131" t="str">
            <v>ECRIN SYSTEMS</v>
          </cell>
        </row>
        <row r="132">
          <cell r="B132" t="str">
            <v>ELEC SUD-OUEST</v>
          </cell>
        </row>
        <row r="133">
          <cell r="B133" t="str">
            <v>ELECTRO RENT</v>
          </cell>
        </row>
        <row r="134">
          <cell r="B134" t="str">
            <v>ELITE AVIATION SUPPORT LLC</v>
          </cell>
        </row>
        <row r="135">
          <cell r="B135" t="str">
            <v>ENERCON TECHNOLOGIES EUROPE AG</v>
          </cell>
        </row>
        <row r="136">
          <cell r="B136" t="str">
            <v>EXPLEO France</v>
          </cell>
        </row>
        <row r="137">
          <cell r="B137" t="str">
            <v xml:space="preserve">EXPLEO FRANCE </v>
          </cell>
        </row>
        <row r="138">
          <cell r="B138" t="str">
            <v>GLENAIR</v>
          </cell>
        </row>
        <row r="139">
          <cell r="B139" t="str">
            <v>GOGO BUSINESS AVIATION</v>
          </cell>
        </row>
        <row r="140">
          <cell r="B140" t="str">
            <v>GPI SAS</v>
          </cell>
        </row>
        <row r="141">
          <cell r="B141" t="str">
            <v>HELI AIR MONACO</v>
          </cell>
        </row>
        <row r="142">
          <cell r="B142" t="str">
            <v>HOTTINGER BRUEL &amp; KJAER FRANCE SAS</v>
          </cell>
        </row>
        <row r="143">
          <cell r="B143" t="str">
            <v xml:space="preserve">HOTTINGER BRUEL &amp; KJAER FRANCE SAS </v>
          </cell>
        </row>
        <row r="144">
          <cell r="B144" t="str">
            <v>IAERO</v>
          </cell>
        </row>
        <row r="145">
          <cell r="B145" t="str">
            <v>INTEGRIS COMPOSITES (EX TENCATE)</v>
          </cell>
        </row>
        <row r="146">
          <cell r="B146" t="str">
            <v>KL-PROJECTS BV</v>
          </cell>
        </row>
        <row r="147">
          <cell r="B147" t="str">
            <v>KYNOPPE</v>
          </cell>
        </row>
        <row r="148">
          <cell r="B148" t="str">
            <v>LIFE 3D</v>
          </cell>
        </row>
        <row r="149">
          <cell r="B149" t="str">
            <v>LOCADIF</v>
          </cell>
        </row>
        <row r="150">
          <cell r="B150" t="str">
            <v>LOGO SKY</v>
          </cell>
        </row>
        <row r="151">
          <cell r="B151" t="str">
            <v xml:space="preserve">LUFTHANSA TECHNIK                                                                                  </v>
          </cell>
        </row>
        <row r="152">
          <cell r="B152" t="str">
            <v>MAP TECHNOLOGIES</v>
          </cell>
        </row>
        <row r="153">
          <cell r="B153" t="str">
            <v xml:space="preserve">MID CONTINENT CONTROLS         </v>
          </cell>
        </row>
        <row r="154">
          <cell r="B154" t="str">
            <v>MOMENT</v>
          </cell>
        </row>
        <row r="155">
          <cell r="B155" t="str">
            <v xml:space="preserve">NEHIA </v>
          </cell>
        </row>
        <row r="156">
          <cell r="B156" t="str">
            <v>OXYTRONIC</v>
          </cell>
        </row>
        <row r="157">
          <cell r="B157" t="str">
            <v>PCB PIEZOTRONICS</v>
          </cell>
        </row>
        <row r="158">
          <cell r="B158" t="str">
            <v>PORTALLIANCE ENGINEERING</v>
          </cell>
        </row>
        <row r="159">
          <cell r="B159" t="str">
            <v xml:space="preserve">PORTALLIANCE ENGINEERING </v>
          </cell>
        </row>
        <row r="160">
          <cell r="B160" t="str">
            <v>PRODEX</v>
          </cell>
        </row>
        <row r="161">
          <cell r="B161" t="str">
            <v>PROPONENT</v>
          </cell>
        </row>
        <row r="162">
          <cell r="B162" t="str">
            <v>RAM MOUNTS BENELUX</v>
          </cell>
        </row>
        <row r="163">
          <cell r="B163" t="str">
            <v>ROCKWELL COLLINS INC.</v>
          </cell>
        </row>
        <row r="164">
          <cell r="B164" t="str">
            <v>RS COMPONENTS</v>
          </cell>
        </row>
        <row r="165">
          <cell r="B165" t="str">
            <v>SDA</v>
          </cell>
        </row>
        <row r="166">
          <cell r="B166" t="str">
            <v>SOPEMEA</v>
          </cell>
        </row>
        <row r="167">
          <cell r="B167" t="str">
            <v>TACITA DYNAMICS SAS</v>
          </cell>
        </row>
        <row r="168">
          <cell r="B168" t="str">
            <v xml:space="preserve">TENCATE </v>
          </cell>
        </row>
        <row r="169">
          <cell r="B169" t="str">
            <v xml:space="preserve">THIOT INGENIERIE                                                </v>
          </cell>
        </row>
        <row r="170">
          <cell r="B170" t="str">
            <v>TOUT &amp; BON</v>
          </cell>
        </row>
        <row r="171">
          <cell r="B171" t="str">
            <v>VIASAT UK</v>
          </cell>
        </row>
        <row r="172">
          <cell r="B172" t="str">
            <v>VIMOTECH LCC</v>
          </cell>
        </row>
        <row r="173">
          <cell r="B173" t="str">
            <v>WESCAM INC.</v>
          </cell>
        </row>
        <row r="174">
          <cell r="B174" t="str">
            <v>XENON AERO SAS</v>
          </cell>
        </row>
        <row r="175">
          <cell r="B175" t="str">
            <v>XOMETRY EUROPE GMBH</v>
          </cell>
        </row>
        <row r="176">
          <cell r="B176" t="str">
            <v>ZELIN</v>
          </cell>
        </row>
        <row r="177">
          <cell r="B177" t="str">
            <v>ZELIN SAS</v>
          </cell>
        </row>
        <row r="178">
          <cell r="B178" t="str">
            <v>Total général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"/>
      <sheetName val="FNP achats"/>
      <sheetName val="OT interne"/>
      <sheetName val="CCA achats"/>
      <sheetName val="Data"/>
      <sheetName val="TCD"/>
      <sheetName val="Feuil3"/>
      <sheetName val="Compta Ana"/>
    </sheetNames>
    <sheetDataSet>
      <sheetData sheetId="0" refreshError="1"/>
      <sheetData sheetId="1" refreshError="1">
        <row r="1049">
          <cell r="D1049" t="str">
            <v>C233967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5E855-F4FF-44E3-AE9A-09BEF9DFBFA1}" name="Tableau5617192223242425262827293031333432353620383961719241822254140424344104746" displayName="Tableau5617192223242425262827293031333432353620383961719241822254140424344104746" ref="A4:CD226" totalsRowShown="0" headerRowDxfId="166" dataDxfId="165" headerRowBorderDxfId="163" tableBorderDxfId="164" totalsRowBorderDxfId="162">
  <autoFilter ref="A4:CD226" xr:uid="{F845E855-F4FF-44E3-AE9A-09BEF9DFBFA1}"/>
  <tableColumns count="82">
    <tableColumn id="1" xr3:uid="{06412C6B-CD9E-4E14-8FEE-0A9019516C98}" name="Comments" dataDxfId="160" totalsRowDxfId="161"/>
    <tableColumn id="84" xr3:uid="{284E3626-ED73-4686-A27E-62A46497F4DF}" name="REVUE RAF" dataDxfId="158" totalsRowDxfId="159"/>
    <tableColumn id="54" xr3:uid="{1096B611-FBBB-4583-9B12-045B9DA40299}" name="Statut Clipper" dataDxfId="156" totalsRowDxfId="157">
      <calculatedColumnFormula>_xlfn.XLOOKUP(Tableau5617192223242425262827293031333432353620383961719241822254140424344104746[[#This Row],[Num Projets]],#REF!,#REF!,FALSE)</calculatedColumnFormula>
    </tableColumn>
    <tableColumn id="70" xr3:uid="{533769FD-E474-4A7D-9F7E-DB70CE6B8CED}" name="GTM" dataDxfId="154" totalsRowDxfId="155"/>
    <tableColumn id="55" xr3:uid="{BB96E460-555C-4ED0-BD7E-AE1BC54583E0}" name="Pôle" dataDxfId="152" totalsRowDxfId="153">
      <calculatedColumnFormula>_xlfn.XLOOKUP(Tableau5617192223242425262827293031333432353620383961719241822254140424344104746[[#This Row],[Num Projets]],#REF!,#REF!,FALSE)</calculatedColumnFormula>
    </tableColumn>
    <tableColumn id="56" xr3:uid="{5E9AE1DB-C652-469C-AC08-73CAB5D3F07F}" name="Statut suivi de projets" dataDxfId="150" totalsRowDxfId="151">
      <calculatedColumnFormula>_xlfn.XLOOKUP(Tableau5617192223242425262827293031333432353620383961719241822254140424344104746[[#This Row],[Num Projets]],#REF!,#REF!,"newavr",0)</calculatedColumnFormula>
    </tableColumn>
    <tableColumn id="76" xr3:uid="{C5FBBF73-4325-438D-9902-3ACEA892EC91}" name="Top custo" dataDxfId="148" totalsRowDxfId="149"/>
    <tableColumn id="2" xr3:uid="{16DF9DE0-35A2-4FB6-8407-70A85ABE19EB}" name="Num Projets" dataDxfId="146" totalsRowDxfId="147"/>
    <tableColumn id="3" xr3:uid="{CEB5DF8D-CBCF-43EC-8094-F2D023EFACFE}" name="Projets" dataDxfId="144" totalsRowDxfId="145">
      <calculatedColumnFormula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calculatedColumnFormula>
    </tableColumn>
    <tableColumn id="23" xr3:uid="{2FB11B86-71E5-4209-AFBA-5E8307B6A300}" name="Ref Interne" dataDxfId="142" totalsRowDxfId="143">
      <calculatedColumnFormula>VLOOKUP(Tableau5617192223242425262827293031333432353620383961719241822254140424344104746[[#This Row],[Num Projets]],#REF!,36,FALSE)</calculatedColumnFormula>
    </tableColumn>
    <tableColumn id="4" xr3:uid="{A08C4394-B790-4B50-9703-63E2006CD914}" name="Réunion RAF" dataDxfId="140" totalsRowDxfId="141"/>
    <tableColumn id="5" xr3:uid="{F70C8440-3092-49CD-8257-C8D9614AA649}" name="Client" dataDxfId="138" totalsRowDxfId="139">
      <calculatedColumnFormula>_xlfn.XLOOKUP(Tableau5617192223242425262827293031333432353620383961719241822254140424344104746[[#This Row],[Num Projets]],#REF!,#REF!,_xlfn.XLOOKUP(Tableau5617192223242425262827293031333432353620383961719241822254140424344104746[[#This Row],[Num Projets]],#REF!,#REF!,0,0),0)</calculatedColumnFormula>
    </tableColumn>
    <tableColumn id="6" xr3:uid="{9E7D2387-CFEF-425D-A3B4-8426E302BBEA}" name="CdP" dataDxfId="136" totalsRowDxfId="137">
      <calculatedColumnFormula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calculatedColumnFormula>
    </tableColumn>
    <tableColumn id="7" xr3:uid="{9A359854-81D7-4A94-8A88-6422343A2850}" name="Date début" dataDxfId="134" totalsRowDxfId="135">
      <calculatedColumnFormula>VLOOKUP(H5,#REF!,7,FALSE)</calculatedColumnFormula>
    </tableColumn>
    <tableColumn id="8" xr3:uid="{D2E418AB-45F6-40BC-82CA-F3B49B432A1A}" name="Date fin" dataDxfId="132" totalsRowDxfId="133"/>
    <tableColumn id="9" xr3:uid="{7F6881CF-E807-4C01-979B-B2F8D37E3B4F}" name="Total Budget_x000a_€" dataDxfId="130" totalsRowDxfId="131">
      <calculatedColumnFormula>VLOOKUP(H5,#REF!,7,FALSE)</calculatedColumnFormula>
    </tableColumn>
    <tableColumn id="10" xr3:uid="{453A761A-9877-485B-AC39-F0B441FB20E2}" name="Ecart Budget M-1_x000a_€" dataDxfId="128" totalsRowDxfId="129">
      <calculatedColumnFormula>Tableau5617192223242425262827293031333432353620383961719241822254140424344104746[[#This Row],[Total Budget
€]]-IFERROR(VLOOKUP(H5,#REF!,8,FALSE),0)</calculatedColumnFormula>
    </tableColumn>
    <tableColumn id="11" xr3:uid="{8CE3B97E-A9E9-4A06-B347-9D405A63B66C}" name="Total Dépensé Engagé_x000a_€" dataDxfId="126" totalsRowDxfId="127">
      <calculatedColumnFormula>AD5+AI5+Tableau5617192223242425262827293031333432353620383961719241822254140424344104746[[#This Row],[Int Commandé OT
€]]+AX5</calculatedColumnFormula>
    </tableColumn>
    <tableColumn id="12" xr3:uid="{573B8E2A-ADE6-48A6-861D-A2A6BBE93A5A}" name="Total Dépensé Enregistré_x000a_€" dataDxfId="124" totalsRowDxfId="125">
      <calculatedColumnFormula>AD5+AJ5+Tableau5617192223242425262827293031333432353620383961719241822254140424344104746[[#This Row],[Int Réalisé OT
€]]+AX5</calculatedColumnFormula>
    </tableColumn>
    <tableColumn id="13" xr3:uid="{EE987C7C-F57E-4264-B513-560D1994DA4D}" name="Total Marge Projeté_x000a_%" dataDxfId="122" totalsRowDxfId="123" dataCellStyle="Normal 3" totalsRowCellStyle="Normal 3">
      <calculatedColumnFormula>IF(P5=0,0,1-(((AD5+AI5+AX5+AP5)+(AE5+AM5+AY5+BC5+AR5))/P5))</calculatedColumnFormula>
    </tableColumn>
    <tableColumn id="90" xr3:uid="{C1CA49C5-D95E-46A9-941E-9D07519D37F2}" name="Ecart Marge Projeté M-1_x000a_%" dataDxfId="120" totalsRowDxfId="121" dataCellStyle="Pourcentage" totalsRowCellStyle="Pourcentage">
      <calculatedColumnFormula>Tableau5617192223242425262827293031333432353620383961719241822254140424344104746[[#This Row],[Total Marge Projeté
%]]-IFERROR(VLOOKUP(Tableau5617192223242425262827293031333432353620383961719241822254140424344104746[[#This Row],[Num Projets]],#REF!,12,FALSE),0)</calculatedColumnFormula>
    </tableColumn>
    <tableColumn id="83" xr3:uid="{9DBE8FA1-3100-4C66-ABF2-B9153BBB4F62}" name="Objectif de marge %" dataDxfId="118" totalsRowDxfId="119" dataCellStyle="Normal 3" totalsRowCellStyle="Normal 3">
      <calculatedColumnFormula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calculatedColumnFormula>
    </tableColumn>
    <tableColumn id="14" xr3:uid="{D3C8193E-36EA-4E7F-86F3-0A0B0EF23BC7}" name="Budget Heures_x000a_Hrs" dataDxfId="116" totalsRowDxfId="117"/>
    <tableColumn id="15" xr3:uid="{9F0EC691-E3FB-432D-B66B-440657F2A415}" name="Réel Heures Internes_x000a_Hrs" dataDxfId="115">
      <calculatedColumnFormula>IFERROR(VLOOKUP(H5,#REF!,2,FALSE),0)</calculatedColumnFormula>
    </tableColumn>
    <tableColumn id="16" xr3:uid="{96F9DA03-531A-49A4-88EE-1CC0F81240E7}" name="Réel Heures ST_x000a_Hrs" dataDxfId="113" totalsRowDxfId="114">
      <calculatedColumnFormula>IFERROR(VLOOKUP(H5,#REF!,3,FALSE),0)</calculatedColumnFormula>
    </tableColumn>
    <tableColumn id="17" xr3:uid="{AD49D551-8A5C-40F8-A2E9-1F333EA12747}" name="RAF Heures_x000a_Hrs" dataDxfId="111" totalsRowDxfId="112">
      <calculatedColumnFormula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calculatedColumnFormula>
    </tableColumn>
    <tableColumn id="18" xr3:uid="{F7E2880E-1A41-4A18-8731-150488B3E501}" name="RAF Heures M-1_x000a_Hrs" dataDxfId="109" totalsRowDxfId="110">
      <calculatedColumnFormula>IFERROR(VLOOKUP(H5,#REF!,18,FALSE),0)</calculatedColumnFormula>
    </tableColumn>
    <tableColumn id="19" xr3:uid="{1011D4E2-5994-4C4A-BB32-EEBF2BF2C8B9}" name="Ecart Heures vs M-1_x000a_Hrs" dataDxfId="107" totalsRowDxfId="108">
      <calculatedColumnFormula>SUM(X5:Y5)-IFERROR(VLOOKUP(H5,#REF!,16,FALSE),0)-IFERROR(VLOOKUP(H5,#REF!,17,FALSE),0)</calculatedColumnFormula>
    </tableColumn>
    <tableColumn id="22" xr3:uid="{825B6B46-519F-4DCF-B2EE-7C6E4E6CCE17}" name="Budget Heures Valorisées_x000a_€" dataDxfId="105" totalsRowDxfId="106"/>
    <tableColumn id="24" xr3:uid="{6A7A6D42-B5DC-4D42-B7D5-331847E76EE7}" name="Réel Heures Valorisées_x000a_€" dataDxfId="103" totalsRowDxfId="104" totalsRowCellStyle="Monétaire">
      <calculatedColumnFormula>(X5*VLOOKUP(H5,#REF!,2,FALSE)+Y5*VLOOKUP(H5,#REF!,3,FALSE))</calculatedColumnFormula>
    </tableColumn>
    <tableColumn id="25" xr3:uid="{732EA6D3-CB47-4C6A-AA17-56CD94D18291}" name="RAF Heures Valorisées_x000a_€" dataDxfId="101" totalsRowDxfId="102" totalsRowCellStyle="Monétaire">
      <calculatedColumnFormula>Z5*47.8</calculatedColumnFormula>
    </tableColumn>
    <tableColumn id="26" xr3:uid="{8A567318-C66D-48A1-82B7-51E0F70C5C82}" name="Marge prévisionnelle Heures_x000a_%" dataDxfId="99" totalsRowDxfId="100" dataCellStyle="Normal 3" totalsRowCellStyle="Normal 3">
      <calculatedColumnFormula>IF(AC5=0,0,1-((AD5+AE5)/AC5))</calculatedColumnFormula>
    </tableColumn>
    <tableColumn id="27" xr3:uid="{DD8FF318-5866-4829-8BAE-F4F1573103B4}" name="Budget Achat HT_x000a_€" dataDxfId="97" totalsRowDxfId="98">
      <calculatedColumnFormula>IFERROR(VLOOKUP(H5,#REF!,3,FALSE),0)+IFERROR(VLOOKUP(H5,#REF!,3,FALSE),0)</calculatedColumnFormula>
    </tableColumn>
    <tableColumn id="88" xr3:uid="{2A060508-6C8D-4057-B344-5CE3FB5581DA}" name="Prévi HA coûts = nomenaf" dataDxfId="95" totalsRowDxfId="96" dataCellStyle="Monétaire" totalsRowCellStyle="Monétaire">
      <calculatedColumnFormula>IFERROR(VLOOKUP(Tableau5617192223242425262827293031333432353620383961719241822254140424344104746[[#This Row],[Num Projets]],#REF!,2,FALSE),0)</calculatedColumnFormula>
    </tableColumn>
    <tableColumn id="28" xr3:uid="{1854E29F-9908-4461-8592-218121E6DAF1}" name="Achats commandés HT_x000a_€" dataDxfId="93" totalsRowDxfId="94" totalsRowCellStyle="Monétaire"/>
    <tableColumn id="29" xr3:uid="{59E7B127-A64D-4E9F-A56F-D3AED0DF8FFC}" name="Achats enregistrés HT_x000a_€" dataDxfId="91" totalsRowDxfId="92">
      <calculatedColumnFormula>IFERROR(VLOOKUP(H5,#REF!,11,FALSE),0)-IFERROR(VLOOKUP(H5,#REF!,10,FALSE),0)+Tableau5617192223242425262827293031333432353620383961719241822254140424344104746[[#This Row],[dont FNP à date (€ HT)]]</calculatedColumnFormula>
    </tableColumn>
    <tableColumn id="30" xr3:uid="{F6CAFBEF-CD10-4768-8CC1-54D04AF2A008}" name="Commandé-Enregistré yc FNP" dataDxfId="89" totalsRowDxfId="90">
      <calculatedColumnFormula>AI5-AJ5</calculatedColumnFormula>
    </tableColumn>
    <tableColumn id="45" xr3:uid="{8CD8239D-2A7C-4F3E-8A4D-B19E52E8243E}" name="dont FNP à date (€ HT)" dataDxfId="87" totalsRowDxfId="88">
      <calculatedColumnFormula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calculatedColumnFormula>
    </tableColumn>
    <tableColumn id="31" xr3:uid="{CDC04FF9-16C4-4D6B-A200-C2922107FD5E}" name="RAF Achats_x000a_€" dataDxfId="85" totalsRowDxfId="86">
      <calculatedColumnFormula>IF(Tableau5617192223242425262827293031333432353620383961719241822254140424344104746[[#This Row],[RAF Achats M-1
€]]=0,0,AN5-AO5)</calculatedColumnFormula>
    </tableColumn>
    <tableColumn id="32" xr3:uid="{2F2BCAB1-A441-49CD-8D92-3077906321C9}" name="RAF Achats M-1_x000a_€" dataDxfId="83" totalsRowDxfId="84" dataCellStyle="Monétaire" totalsRowCellStyle="Monétaire">
      <calculatedColumnFormula>IFERROR(VLOOKUP(H5,#REF!,31,FALSE),0)</calculatedColumnFormula>
    </tableColumn>
    <tableColumn id="33" xr3:uid="{AD1F7B36-A5B3-4E7D-A27D-2294A82B3B6A}" name="Ecart Achats vs M-1_x000a_€" dataDxfId="81" totalsRowDxfId="82" dataCellStyle="Monétaire" totalsRowCellStyle="Monétaire">
      <calculatedColumnFormula>AI5+-IFERROR(VLOOKUP(H5,#REF!,27,FALSE),0)</calculatedColumnFormula>
    </tableColumn>
    <tableColumn id="79" xr3:uid="{EFD81F5D-435C-42C2-860D-5D2DBC4E2500}" name="Int Commandé OT_x000a_€" dataDxfId="79" totalsRowDxfId="80" dataCellStyle="Monétaire" totalsRowCellStyle="Monétaire">
      <calculatedColumnFormula>IFERROR(VLOOKUP(Tableau5617192223242425262827293031333432353620383961719241822254140424344104746[[#This Row],[Num Projets]],#REF!,2,FALSE),0)</calculatedColumnFormula>
    </tableColumn>
    <tableColumn id="20" xr3:uid="{C0D8E083-FD24-4261-B19D-39D432C4B8C6}" name="Int Réalisé OT_x000a_€" dataDxfId="77" totalsRowDxfId="78" dataCellStyle="Monétaire" totalsRowCellStyle="Monétaire">
      <calculatedColumnFormula>_xlfn.XLOOKUP(H5,[2]Synth!$N:$N,[2]Synth!$O:$O,0,FALSE)+_xlfn.XLOOKUP(Tableau5617192223242425262827293031333432353620383961719241822254140424344104746[[#This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calculatedColumnFormula>
    </tableColumn>
    <tableColumn id="21" xr3:uid="{B986B8DD-61AB-41FF-ADD2-B374FD9E0D73}" name="RAF Int OT_x000a_€" dataDxfId="75" totalsRowDxfId="76" dataCellStyle="Monétaire" totalsRowCellStyle="Monétaire"/>
    <tableColumn id="81" xr3:uid="{B7B94144-1023-4A97-AD2D-5A2F935011F0}" name="RAF OT M-1_x000a_€" dataDxfId="73" totalsRowDxfId="74" dataCellStyle="Monétaire" totalsRowCellStyle="Monétaire">
      <calculatedColumnFormula>+IFERROR(VLOOKUP(H5,#REF!,36,FALSE),0)</calculatedColumnFormula>
    </tableColumn>
    <tableColumn id="80" xr3:uid="{F8BA25D0-1137-403A-A803-681532D74C56}" name="Ecart Int OT vs M-1_x000a_€" dataDxfId="71" totalsRowDxfId="72" dataCellStyle="Monétaire" totalsRowCellStyle="Monétaire">
      <calculatedColumnFormula>Tableau5617192223242425262827293031333432353620383961719241822254140424344104746[[#This Row],[Int Commandé OT
€]]-IFERROR(VLOOKUP(Tableau5617192223242425262827293031333432353620383961719241822254140424344104746[[#This Row],[Num Projets]],#REF!,34,FALSE),0)</calculatedColumnFormula>
    </tableColumn>
    <tableColumn id="34" xr3:uid="{6D988BA9-DD1B-4F81-818A-C1AD931F7D04}" name="Marge prévisionnelle Achats_x000a_%" dataDxfId="69" totalsRowDxfId="70" dataCellStyle="Normal 3" totalsRowCellStyle="Normal 3">
      <calculatedColumnFormula>IF(AG5=0,0,1-((AI5+AM5+Tableau5617192223242425262827293031333432353620383961719241822254140424344104746[[#This Row],[Int Commandé OT
€]]+Tableau5617192223242425262827293031333432353620383961719241822254140424344104746[[#This Row],[RAF Int OT
€]])/AG5))</calculatedColumnFormula>
    </tableColumn>
    <tableColumn id="35" xr3:uid="{73A28836-33EE-4298-9360-048D99C24AA6}" name="Budget Mission_x000a_ €" dataDxfId="67" totalsRowDxfId="68">
      <calculatedColumnFormula>IFERROR(VLOOKUP(H5,#REF!,4,FALSE),0)+IFERROR(VLOOKUP(H5,#REF!,4,FALSE),0)</calculatedColumnFormula>
    </tableColumn>
    <tableColumn id="89" xr3:uid="{841A8B24-BC4E-46F6-823B-11EE4D9163F3}" name="Prévisionnel Missions_x000a_€" dataDxfId="65" totalsRowDxfId="66" dataCellStyle="Monétaire" totalsRowCellStyle="Monétaire">
      <calculatedColumnFormula>IFERROR(VLOOKUP(Tableau5617192223242425262827293031333432353620383961719241822254140424344104746[[#This Row],[Num Projets]],#REF!,3,FALSE),0)</calculatedColumnFormula>
    </tableColumn>
    <tableColumn id="36" xr3:uid="{4BBBB0F2-BF4C-4B38-8D3B-EB6EBB6669E9}" name="Réel Mission_x000a_€" dataDxfId="63" totalsRowDxfId="64" dataCellStyle="Milliers" totalsRowCellStyle="Milliers">
      <calculatedColumnFormula>IFERROR(VLOOKUP(Tableau5617192223242425262827293031333432353620383961719241822254140424344104746[[#This Row],[Num Projets]],#REF!,10,FALSE),0)</calculatedColumnFormula>
    </tableColumn>
    <tableColumn id="37" xr3:uid="{5A7F44F8-AE7C-4EF7-B9D0-8085E503DD43}" name="RAF Mission_x000a_€" dataDxfId="61" totalsRowDxfId="62">
      <calculatedColumnFormula>Tableau5617192223242425262827293031333432353620383961719241822254140424344104746[[#This Row],[Budget Mission
 €]]/1.2-AX5</calculatedColumnFormula>
    </tableColumn>
    <tableColumn id="38" xr3:uid="{7769BF53-9D54-4E17-888E-DC93582DB962}" name="RAF Mission M-1_x000a_€" dataDxfId="59" totalsRowDxfId="60" dataCellStyle="Milliers" totalsRowCellStyle="Milliers">
      <calculatedColumnFormula>IFERROR(VLOOKUP(H5,#REF!,43,FALSE),0)</calculatedColumnFormula>
    </tableColumn>
    <tableColumn id="39" xr3:uid="{86718046-18B8-499F-977E-8AB2A2D7058A}" name="Ecart Mission vs M-1_x000a_€" dataDxfId="57" totalsRowDxfId="58" totalsRowCellStyle="Monétaire">
      <calculatedColumnFormula>AX5-IFERROR(VLOOKUP(H5,#REF!,42,FALSE),0)</calculatedColumnFormula>
    </tableColumn>
    <tableColumn id="40" xr3:uid="{F16DFA41-D602-425B-B86E-1D4609429956}" name="Marge prévisionnelle Mission_x000a_%" dataDxfId="55" totalsRowDxfId="56" dataCellStyle="Normal 3" totalsRowCellStyle="Normal 3">
      <calculatedColumnFormula>IF(AV5=0,0,(1-((AX5+AY5)/AV5)))</calculatedColumnFormula>
    </tableColumn>
    <tableColumn id="51" xr3:uid="{49EB9EC3-4B9E-408A-B3F2-CFAAB1A03556}" name="Provisions pour risques" dataDxfId="53" totalsRowDxfId="54" dataCellStyle="Monétaire" totalsRowCellStyle="Monétaire">
      <calculatedColumnFormula>IFERROR(VLOOKUP(H5,#REF!,47,FALSE),IFERROR(VLOOKUP(H5,#REF!,5,FALSE),0)+IFERROR(VLOOKUP(H5,#REF!,5,FALSE),0))</calculatedColumnFormula>
    </tableColumn>
    <tableColumn id="41" xr3:uid="{D5DB6187-0DC2-4FC7-BD28-E531899A6CD9}" name="Facturation globale projet à date (€ HT) " dataDxfId="51" totalsRowDxfId="52">
      <calculatedColumnFormula>IFERROR(VLOOKUP(H5,#REF!,2,FALSE),0)</calculatedColumnFormula>
    </tableColumn>
    <tableColumn id="42" xr3:uid="{D3BFE551-CD41-4AE6-90C3-CD8C07833C31}" name="CA fin N-1" dataDxfId="49" totalsRowDxfId="50" totalsRowCellStyle="Monétaire">
      <calculatedColumnFormula>IFERROR(VLOOKUP(H5,#REF!,49,FALSE),0)</calculatedColumnFormula>
    </tableColumn>
    <tableColumn id="43" xr3:uid="{D5A44CB2-0E60-40CB-BE0C-24DC3509B837}" name="CA N à date (€ HT) " dataDxfId="47" totalsRowDxfId="48">
      <calculatedColumnFormula>BI5*P5-BE5</calculatedColumnFormula>
    </tableColumn>
    <tableColumn id="44" xr3:uid="{FC79B986-0840-4F7C-8D8F-FD5EE98F65B2}" name="Consommé global Enregistré à date (€ HT)" dataDxfId="45" totalsRowDxfId="46">
      <calculatedColumnFormula>S5</calculatedColumnFormula>
    </tableColumn>
    <tableColumn id="46" xr3:uid="{059FDDBC-8E21-489B-ACEC-0D41A4A5DE3F}" name="RaF Global à terminaison à date (€ HT)" dataDxfId="43" totalsRowDxfId="44">
      <calculatedColumnFormula>AE5+ (AI5-AJ5+AM5+Tableau5617192223242425262827293031333432353620383961719241822254140424344104746[[#This Row],[Int Commandé OT
€]]-Tableau5617192223242425262827293031333432353620383961719241822254140424344104746[[#This Row],[Int Réalisé OT
€]]+AR5) +AY5+BC5</calculatedColumnFormula>
    </tableColumn>
    <tableColumn id="47" xr3:uid="{0D720B1A-1401-4835-8AF5-B689FD447AB9}" name="Avancement Global Financier basé sur Enregistré à date (%)" dataDxfId="41" totalsRowDxfId="42" dataCellStyle="Normal 3" totalsRowCellStyle="Normal 3">
      <calculatedColumnFormula>IF(BG5+BH5=0,100%,BG5/(BG5+BH5))</calculatedColumnFormula>
    </tableColumn>
    <tableColumn id="48" xr3:uid="{17C678F0-251F-4F3A-B4AE-8DCA9A4C5AAA}" name="Avancement Global Facturation à date (%)" dataDxfId="39" totalsRowDxfId="40" dataCellStyle="Normal 3" totalsRowCellStyle="Normal 3">
      <calculatedColumnFormula>IF(P5=0, 0, BD5/P5)</calculatedColumnFormula>
    </tableColumn>
    <tableColumn id="49" xr3:uid="{04E4B265-0B66-4017-A015-47CBC148257B}" name="PCA basé sur Enregistré à date (€)" dataDxfId="37" totalsRowDxfId="38">
      <calculatedColumnFormula>IF((BI5-BJ5)&gt;0,0,(BI5-BJ5)*P5)</calculatedColumnFormula>
    </tableColumn>
    <tableColumn id="50" xr3:uid="{D77DCD14-7B0B-4497-825C-FF0AC9945FFB}" name="FAE basé sur Enregistré à date (€)" dataDxfId="35" totalsRowDxfId="36">
      <calculatedColumnFormula>IF((BI5-BJ5)&gt;0,(BI5-BJ5)*P5,0)</calculatedColumnFormula>
    </tableColumn>
    <tableColumn id="52" xr3:uid="{5D632A19-47A7-4C24-8D2F-2688F197CE67}" name="Valeur vente Ingenieur (€ HT)" dataDxfId="33" totalsRowDxfId="34" dataCellStyle="Milliers" totalsRowCellStyle="Milliers">
      <calculatedColumnFormula>IFERROR(VLOOKUP(H5,'[1]2023sep'!H:CA,54,FALSE),105)</calculatedColumnFormula>
    </tableColumn>
    <tableColumn id="53" xr3:uid="{5B56A41B-D81C-4EBC-ADA7-665F70C4A41E}" name="Objectif fin d'année" dataDxfId="31" totalsRowDxfId="32">
      <calculatedColumnFormula>Tableau5617192223242425262827293031333432353620383961719241822254140424344104746[[#This Row],[Avancement Global Financier basé sur Enregistré à date (%)]]</calculatedColumnFormula>
    </tableColumn>
    <tableColumn id="57" xr3:uid="{B62AD061-A7B9-4A54-AC3E-6C6076F3039F}" name="Cohérence Budget" dataDxfId="29" totalsRowDxfId="30">
      <calculatedColumnFormula>P5-AC5-AG5-AV5-Tableau5617192223242425262827293031333432353620383961719241822254140424344104746[[#This Row],[Provisions pour risques]]</calculatedColumnFormula>
    </tableColumn>
    <tableColumn id="59" xr3:uid="{10E8C4C2-6636-49E4-8903-516C4AEBB9FB}" name="ecart couts à terminaison vs M-1" dataDxfId="27" totalsRowDxfId="28">
      <calculatedColumnFormula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calculatedColumnFormula>
    </tableColumn>
    <tableColumn id="60" xr3:uid="{40387AEA-BFEF-4D59-8B49-130EC0C97B5F}" name="écart avancement" dataDxfId="25" totalsRowDxfId="26">
      <calculatedColumnFormula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calculatedColumnFormula>
    </tableColumn>
    <tableColumn id="61" xr3:uid="{54AFFCFB-B5F6-453A-A486-3EFB8131AC7A}" name="CA Y" dataDxfId="23" totalsRowDxfId="24" dataCellStyle="Monétaire" totalsRowCellStyle="Monétaire">
      <calculatedColumnFormula>BF5</calculatedColumnFormula>
    </tableColumn>
    <tableColumn id="62" xr3:uid="{58BBE7B1-13C6-4AB2-9CEF-26D292F299EE}" name="Charges Y" dataDxfId="21" totalsRowDxfId="22">
      <calculatedColumnFormula>Tableau5617192223242425262827293031333432353620383961719241822254140424344104746[[#This Row],[Consommé global Enregistré à date (€ HT)]]-IFERROR(VLOOKUP(H5,#REF!,50,FALSE),0)</calculatedColumnFormula>
    </tableColumn>
    <tableColumn id="63" xr3:uid="{FCBFD9B1-DA85-4D0F-B802-15380816914E}" name="Marge Y" dataDxfId="19" totalsRowDxfId="20" dataCellStyle="Normal">
      <calculatedColumnFormula>BR5-BS5</calculatedColumnFormula>
    </tableColumn>
    <tableColumn id="64" xr3:uid="{B1722DBA-8CD3-4BDE-A807-94A358FA35E3}" name="Facturation Y" dataDxfId="17" totalsRowDxfId="18" dataCellStyle="Monétaire" totalsRowCellStyle="Monétaire">
      <calculatedColumnFormula>BD5-IFERROR(VLOOKUP(H5,#REF!,47,FALSE),0)</calculatedColumnFormula>
    </tableColumn>
    <tableColumn id="65" xr3:uid="{4C41EC85-A074-4F1D-BF0D-11B4A6BE1380}" name="CA mois" dataDxfId="15" totalsRowDxfId="16">
      <calculatedColumnFormula>+BF5+Tableau5617192223242425262827293031333432353620383961719241822254140424344104746[[#This Row],[CA fin N-1]]-IFERROR(VLOOKUP(H5,#REF!,49,FALSE),0)-IFERROR(VLOOKUP(H5,#REF!,50,FALSE),0)</calculatedColumnFormula>
    </tableColumn>
    <tableColumn id="66" xr3:uid="{576F279E-AD21-4AC5-B958-358912A67556}" name="Charges mois" dataDxfId="13" totalsRowDxfId="14" dataCellStyle="Monétaire" totalsRowCellStyle="Monétaire">
      <calculatedColumnFormula>BG5-IFERROR(VLOOKUP(H5,#REF!,51,FALSE),0)</calculatedColumnFormula>
    </tableColumn>
    <tableColumn id="67" xr3:uid="{E804FB5C-8924-458A-BE2A-3DA0B2E2703D}" name="Marge mois" dataDxfId="11" totalsRowDxfId="12" dataCellStyle="Normal">
      <calculatedColumnFormula>BV5-BW5</calculatedColumnFormula>
    </tableColumn>
    <tableColumn id="68" xr3:uid="{9D789DE2-08E9-41CD-806C-5114D106DD52}" name="Facturation mois" dataDxfId="9" totalsRowDxfId="10" dataCellStyle="Monétaire" totalsRowCellStyle="Monétaire">
      <calculatedColumnFormula>BD5-IFERROR(VLOOKUP(H5,#REF!,48,FALSE),0)</calculatedColumnFormula>
    </tableColumn>
    <tableColumn id="69" xr3:uid="{F2E206A2-6F8E-4A0C-AC96-41F065022F50}" name="Remaining Forecast" dataDxfId="7" totalsRowDxfId="8">
      <calculatedColumnFormula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calculatedColumnFormula>
    </tableColumn>
    <tableColumn id="58" xr3:uid="{1E93DFA7-C1AA-4ED0-8991-42EFBF2EA6DD}" name="test m-1" dataDxfId="5" totalsRowDxfId="6">
      <calculatedColumnFormula>VLOOKUP(Tableau5617192223242425262827293031333432353620383961719241822254140424344104746[[#This Row],[Num Projets]],#REF!,1,FALSE)</calculatedColumnFormula>
    </tableColumn>
    <tableColumn id="86" xr3:uid="{0AE45CB0-D61C-41CE-9EC2-D58311469E8E}" name="hrs à fin s21" dataDxfId="3" totalsRowDxfId="4"/>
    <tableColumn id="85" xr3:uid="{4BA4B574-31D3-4262-B882-FCBAC31A1EDC}" name="RaF (h) MO à fin s21" dataDxfId="1" totalsRowDxfId="2"/>
    <tableColumn id="71" xr3:uid="{E0CEBCE4-99BA-4C9D-94F8-3F8044CF983D}" name="RaF (h) MO à fin s22" dataDxfId="0">
      <calculatedColumnFormula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1"/>
  <sheetViews>
    <sheetView tabSelected="1" topLeftCell="E1" workbookViewId="0">
      <selection sqref="A1:XFD1048576"/>
    </sheetView>
  </sheetViews>
  <sheetFormatPr baseColWidth="10" defaultColWidth="20.5703125" defaultRowHeight="12" outlineLevelCol="1" x14ac:dyDescent="0.2"/>
  <cols>
    <col min="1" max="1" width="39" style="246" customWidth="1"/>
    <col min="2" max="2" width="13.42578125" style="327" hidden="1" customWidth="1" outlineLevel="1"/>
    <col min="3" max="3" width="10.42578125" style="328" hidden="1" customWidth="1" outlineLevel="1"/>
    <col min="4" max="4" width="10.42578125" style="235" hidden="1" customWidth="1" outlineLevel="1" collapsed="1"/>
    <col min="5" max="5" width="10.42578125" style="235" customWidth="1" collapsed="1"/>
    <col min="6" max="6" width="13" style="235" customWidth="1"/>
    <col min="7" max="7" width="13" style="235" hidden="1" customWidth="1" outlineLevel="1"/>
    <col min="8" max="8" width="10.42578125" style="235" customWidth="1" collapsed="1"/>
    <col min="9" max="9" width="28.5703125" style="246" customWidth="1"/>
    <col min="10" max="10" width="25.5703125" style="246" customWidth="1"/>
    <col min="11" max="11" width="16" style="246" hidden="1" customWidth="1" outlineLevel="1"/>
    <col min="12" max="12" width="16.5703125" style="235" customWidth="1" collapsed="1"/>
    <col min="13" max="13" width="6.5703125" style="235" customWidth="1" outlineLevel="1"/>
    <col min="14" max="14" width="11" style="249" customWidth="1"/>
    <col min="15" max="15" width="11" style="235" customWidth="1"/>
    <col min="16" max="16" width="15.5703125" style="239" customWidth="1"/>
    <col min="17" max="17" width="15.5703125" style="240" customWidth="1"/>
    <col min="18" max="18" width="15.5703125" style="239" customWidth="1"/>
    <col min="19" max="19" width="15.5703125" style="239" hidden="1" customWidth="1" outlineLevel="1"/>
    <col min="20" max="20" width="15.5703125" style="258" customWidth="1" collapsed="1"/>
    <col min="21" max="22" width="15.5703125" style="258" customWidth="1" outlineLevel="1"/>
    <col min="23" max="23" width="13.140625" style="241" customWidth="1"/>
    <col min="24" max="26" width="12.42578125" style="241" customWidth="1"/>
    <col min="27" max="27" width="13.5703125" style="241" hidden="1" customWidth="1" outlineLevel="1"/>
    <col min="28" max="28" width="12.42578125" style="241" hidden="1" customWidth="1" outlineLevel="1"/>
    <col min="29" max="29" width="12.85546875" style="239" customWidth="1" collapsed="1"/>
    <col min="30" max="30" width="14.5703125" style="250" hidden="1" customWidth="1" outlineLevel="1"/>
    <col min="31" max="31" width="12.85546875" style="250" hidden="1" customWidth="1" outlineLevel="1"/>
    <col min="32" max="32" width="17.42578125" style="258" customWidth="1" collapsed="1"/>
    <col min="33" max="34" width="14.85546875" style="239" customWidth="1"/>
    <col min="35" max="35" width="14.5703125" style="259" customWidth="1"/>
    <col min="36" max="37" width="14.85546875" style="239" customWidth="1"/>
    <col min="38" max="38" width="14.85546875" style="239" hidden="1" customWidth="1" outlineLevel="1"/>
    <col min="39" max="39" width="14.85546875" style="239" customWidth="1" collapsed="1"/>
    <col min="40" max="40" width="14.85546875" style="239" hidden="1" customWidth="1" outlineLevel="1"/>
    <col min="41" max="41" width="16.85546875" style="250" hidden="1" customWidth="1" outlineLevel="1"/>
    <col min="42" max="42" width="16.5703125" style="239" customWidth="1" collapsed="1"/>
    <col min="43" max="44" width="16.5703125" style="239" customWidth="1"/>
    <col min="45" max="46" width="16.5703125" style="239" hidden="1" customWidth="1" outlineLevel="1"/>
    <col min="47" max="47" width="18.42578125" style="329" customWidth="1" collapsed="1"/>
    <col min="48" max="48" width="14.5703125" style="330" customWidth="1"/>
    <col min="49" max="49" width="14.5703125" style="330" customWidth="1" outlineLevel="1"/>
    <col min="50" max="50" width="14.5703125" style="331" customWidth="1"/>
    <col min="51" max="51" width="14.5703125" style="239" customWidth="1"/>
    <col min="52" max="52" width="14.5703125" style="239" hidden="1" customWidth="1" outlineLevel="1"/>
    <col min="53" max="53" width="14.5703125" style="250" hidden="1" customWidth="1" outlineLevel="1"/>
    <col min="54" max="54" width="17.5703125" style="235" customWidth="1" collapsed="1"/>
    <col min="55" max="55" width="13.5703125" style="235" customWidth="1"/>
    <col min="56" max="56" width="17.42578125" style="235" customWidth="1"/>
    <col min="57" max="57" width="15.85546875" style="261" customWidth="1"/>
    <col min="58" max="58" width="17.42578125" style="235" bestFit="1" customWidth="1"/>
    <col min="59" max="59" width="23.85546875" style="235" customWidth="1"/>
    <col min="60" max="60" width="15" style="329" customWidth="1"/>
    <col min="61" max="61" width="15.42578125" style="258" customWidth="1"/>
    <col min="62" max="62" width="14.5703125" style="258" customWidth="1"/>
    <col min="63" max="63" width="16.85546875" style="235" hidden="1" customWidth="1" outlineLevel="1"/>
    <col min="64" max="64" width="17" style="235" hidden="1" customWidth="1" outlineLevel="1"/>
    <col min="65" max="65" width="11.85546875" style="332" hidden="1" customWidth="1" outlineLevel="1" collapsed="1"/>
    <col min="66" max="66" width="13" style="235" customWidth="1" collapsed="1"/>
    <col min="67" max="67" width="15.85546875" style="235" bestFit="1" customWidth="1"/>
    <col min="68" max="68" width="13" style="235" customWidth="1"/>
    <col min="69" max="69" width="16.42578125" style="333" hidden="1" customWidth="1" outlineLevel="1"/>
    <col min="70" max="70" width="16" style="235" customWidth="1" collapsed="1"/>
    <col min="71" max="71" width="14.5703125" style="329" bestFit="1" customWidth="1"/>
    <col min="72" max="72" width="17.42578125" style="329" bestFit="1" customWidth="1"/>
    <col min="73" max="73" width="13.5703125" style="329" customWidth="1"/>
    <col min="74" max="74" width="17.42578125" style="329" bestFit="1" customWidth="1"/>
    <col min="75" max="75" width="15.5703125" style="235" hidden="1" customWidth="1" outlineLevel="1"/>
    <col min="76" max="76" width="17.85546875" style="235" hidden="1" customWidth="1" outlineLevel="1"/>
    <col min="77" max="77" width="15.85546875" style="235" hidden="1" customWidth="1" outlineLevel="1"/>
    <col min="78" max="78" width="15.42578125" style="235" hidden="1" customWidth="1" outlineLevel="1"/>
    <col min="79" max="79" width="13.140625" style="235" customWidth="1" collapsed="1"/>
    <col min="80" max="80" width="22.5703125" style="235" customWidth="1"/>
    <col min="81" max="82" width="12.140625" style="329" customWidth="1"/>
    <col min="83" max="16384" width="20.5703125" style="235"/>
  </cols>
  <sheetData>
    <row r="1" spans="1:82" x14ac:dyDescent="0.25">
      <c r="A1" s="235"/>
      <c r="B1" s="236"/>
      <c r="C1" s="237"/>
      <c r="F1" s="238"/>
      <c r="G1" s="238"/>
      <c r="H1" s="235">
        <v>1</v>
      </c>
      <c r="I1" s="235">
        <f t="shared" ref="I1:BT1" si="0">H1+1</f>
        <v>2</v>
      </c>
      <c r="J1" s="235"/>
      <c r="K1" s="235">
        <f>I1+1</f>
        <v>3</v>
      </c>
      <c r="L1" s="235">
        <f t="shared" si="0"/>
        <v>4</v>
      </c>
      <c r="M1" s="235">
        <f t="shared" si="0"/>
        <v>5</v>
      </c>
      <c r="N1" s="235">
        <f>M1+1</f>
        <v>6</v>
      </c>
      <c r="O1" s="235">
        <f t="shared" si="0"/>
        <v>7</v>
      </c>
      <c r="P1" s="239">
        <f t="shared" si="0"/>
        <v>8</v>
      </c>
      <c r="Q1" s="240">
        <f t="shared" si="0"/>
        <v>9</v>
      </c>
      <c r="R1" s="239">
        <f t="shared" si="0"/>
        <v>10</v>
      </c>
      <c r="S1" s="239">
        <f t="shared" si="0"/>
        <v>11</v>
      </c>
      <c r="T1" s="235">
        <f t="shared" si="0"/>
        <v>12</v>
      </c>
      <c r="U1" s="235">
        <f t="shared" si="0"/>
        <v>13</v>
      </c>
      <c r="V1" s="235">
        <f t="shared" si="0"/>
        <v>14</v>
      </c>
      <c r="W1" s="241">
        <f t="shared" si="0"/>
        <v>15</v>
      </c>
      <c r="X1" s="241">
        <f t="shared" si="0"/>
        <v>16</v>
      </c>
      <c r="Y1" s="241">
        <f t="shared" si="0"/>
        <v>17</v>
      </c>
      <c r="Z1" s="241">
        <f t="shared" si="0"/>
        <v>18</v>
      </c>
      <c r="AA1" s="241">
        <f t="shared" si="0"/>
        <v>19</v>
      </c>
      <c r="AB1" s="241">
        <f t="shared" si="0"/>
        <v>20</v>
      </c>
      <c r="AC1" s="239">
        <f t="shared" si="0"/>
        <v>21</v>
      </c>
      <c r="AD1" s="239">
        <f>AC1+1</f>
        <v>22</v>
      </c>
      <c r="AE1" s="239">
        <f>AD1+1</f>
        <v>23</v>
      </c>
      <c r="AF1" s="235">
        <f t="shared" si="0"/>
        <v>24</v>
      </c>
      <c r="AG1" s="239">
        <f t="shared" si="0"/>
        <v>25</v>
      </c>
      <c r="AH1" s="239">
        <f>AG1+1</f>
        <v>26</v>
      </c>
      <c r="AI1" s="239">
        <f t="shared" si="0"/>
        <v>27</v>
      </c>
      <c r="AJ1" s="239">
        <f t="shared" si="0"/>
        <v>28</v>
      </c>
      <c r="AK1" s="239">
        <f t="shared" si="0"/>
        <v>29</v>
      </c>
      <c r="AL1" s="239">
        <f t="shared" si="0"/>
        <v>30</v>
      </c>
      <c r="AM1" s="239">
        <f t="shared" si="0"/>
        <v>31</v>
      </c>
      <c r="AN1" s="239">
        <f t="shared" si="0"/>
        <v>32</v>
      </c>
      <c r="AO1" s="239">
        <f t="shared" si="0"/>
        <v>33</v>
      </c>
      <c r="AP1" s="239">
        <f t="shared" si="0"/>
        <v>34</v>
      </c>
      <c r="AQ1" s="239">
        <f t="shared" si="0"/>
        <v>35</v>
      </c>
      <c r="AR1" s="239">
        <f t="shared" si="0"/>
        <v>36</v>
      </c>
      <c r="AS1" s="239">
        <f t="shared" si="0"/>
        <v>37</v>
      </c>
      <c r="AT1" s="239">
        <f t="shared" si="0"/>
        <v>38</v>
      </c>
      <c r="AU1" s="235">
        <f t="shared" si="0"/>
        <v>39</v>
      </c>
      <c r="AV1" s="239">
        <f t="shared" si="0"/>
        <v>40</v>
      </c>
      <c r="AW1" s="239">
        <f t="shared" si="0"/>
        <v>41</v>
      </c>
      <c r="AX1" s="239">
        <f t="shared" si="0"/>
        <v>42</v>
      </c>
      <c r="AY1" s="239">
        <f t="shared" si="0"/>
        <v>43</v>
      </c>
      <c r="AZ1" s="239">
        <f t="shared" si="0"/>
        <v>44</v>
      </c>
      <c r="BA1" s="239">
        <f t="shared" si="0"/>
        <v>45</v>
      </c>
      <c r="BB1" s="235">
        <f t="shared" si="0"/>
        <v>46</v>
      </c>
      <c r="BC1" s="235">
        <f t="shared" si="0"/>
        <v>47</v>
      </c>
      <c r="BD1" s="235">
        <f t="shared" si="0"/>
        <v>48</v>
      </c>
      <c r="BE1" s="235">
        <f t="shared" si="0"/>
        <v>49</v>
      </c>
      <c r="BF1" s="235">
        <f t="shared" si="0"/>
        <v>50</v>
      </c>
      <c r="BG1" s="235">
        <f t="shared" si="0"/>
        <v>51</v>
      </c>
      <c r="BH1" s="235">
        <f t="shared" si="0"/>
        <v>52</v>
      </c>
      <c r="BI1" s="235">
        <f t="shared" si="0"/>
        <v>53</v>
      </c>
      <c r="BJ1" s="235">
        <f t="shared" si="0"/>
        <v>54</v>
      </c>
      <c r="BK1" s="235">
        <f t="shared" si="0"/>
        <v>55</v>
      </c>
      <c r="BL1" s="235">
        <f t="shared" si="0"/>
        <v>56</v>
      </c>
      <c r="BM1" s="235">
        <f t="shared" si="0"/>
        <v>57</v>
      </c>
      <c r="BN1" s="235">
        <f t="shared" si="0"/>
        <v>58</v>
      </c>
      <c r="BO1" s="235">
        <f t="shared" si="0"/>
        <v>59</v>
      </c>
      <c r="BP1" s="235">
        <f t="shared" si="0"/>
        <v>60</v>
      </c>
      <c r="BQ1" s="235">
        <f t="shared" si="0"/>
        <v>61</v>
      </c>
      <c r="BR1" s="235">
        <f t="shared" si="0"/>
        <v>62</v>
      </c>
      <c r="BS1" s="235">
        <f t="shared" si="0"/>
        <v>63</v>
      </c>
      <c r="BT1" s="235">
        <f t="shared" si="0"/>
        <v>64</v>
      </c>
      <c r="BU1" s="235">
        <f t="shared" ref="BU1:CC1" si="1">BT1+1</f>
        <v>65</v>
      </c>
      <c r="BV1" s="235">
        <f t="shared" si="1"/>
        <v>66</v>
      </c>
      <c r="BW1" s="235">
        <f t="shared" si="1"/>
        <v>67</v>
      </c>
      <c r="BX1" s="235">
        <f t="shared" si="1"/>
        <v>68</v>
      </c>
      <c r="BY1" s="235">
        <f t="shared" si="1"/>
        <v>69</v>
      </c>
      <c r="BZ1" s="235">
        <f t="shared" si="1"/>
        <v>70</v>
      </c>
      <c r="CA1" s="235">
        <f t="shared" si="1"/>
        <v>71</v>
      </c>
      <c r="CB1" s="235">
        <f t="shared" si="1"/>
        <v>72</v>
      </c>
      <c r="CC1" s="235">
        <f t="shared" si="1"/>
        <v>73</v>
      </c>
      <c r="CD1" s="235"/>
    </row>
    <row r="2" spans="1:82" ht="12.75" customHeight="1" x14ac:dyDescent="0.25">
      <c r="A2" s="242"/>
      <c r="B2" s="243"/>
      <c r="C2" s="244"/>
      <c r="D2" s="238"/>
      <c r="E2" s="238"/>
      <c r="F2" s="238"/>
      <c r="G2" s="238"/>
      <c r="I2" s="245">
        <v>162096.24278467099</v>
      </c>
      <c r="J2" s="245"/>
      <c r="L2" s="247" t="e">
        <f>P118*(1-#REF!)</f>
        <v>#REF!</v>
      </c>
      <c r="M2" s="248"/>
      <c r="P2" s="250"/>
      <c r="Q2" s="251"/>
      <c r="R2" s="252"/>
      <c r="S2" s="250"/>
      <c r="T2" s="253"/>
      <c r="U2" s="253"/>
      <c r="V2" s="253"/>
      <c r="W2" s="254"/>
      <c r="X2" s="255">
        <v>73878.47</v>
      </c>
      <c r="Y2" s="256">
        <v>16834.550000000003</v>
      </c>
      <c r="Z2" s="256">
        <v>40724.771388676192</v>
      </c>
      <c r="AA2" s="257" t="s">
        <v>389</v>
      </c>
      <c r="AB2" s="254"/>
      <c r="AC2" s="250"/>
      <c r="AG2" s="250"/>
      <c r="AH2" s="250"/>
      <c r="AJ2" s="250"/>
      <c r="AK2" s="250"/>
      <c r="AL2" s="260" t="s">
        <v>390</v>
      </c>
      <c r="AM2" s="250"/>
      <c r="AN2" s="250">
        <v>5682014.9398201993</v>
      </c>
      <c r="AO2" s="250">
        <v>162351.02472600032</v>
      </c>
      <c r="AP2" s="250">
        <v>2621626.1760000004</v>
      </c>
      <c r="AQ2" s="260" t="s">
        <v>390</v>
      </c>
      <c r="AR2" s="250">
        <v>-63845.836000000025</v>
      </c>
      <c r="AS2" s="250"/>
      <c r="AT2" s="250"/>
      <c r="AU2" s="258"/>
      <c r="AV2" s="250"/>
      <c r="AW2" s="250"/>
      <c r="AX2" s="250"/>
      <c r="AY2" s="250"/>
      <c r="AZ2" s="250"/>
      <c r="BB2" s="258"/>
      <c r="BC2" s="261"/>
      <c r="BD2" s="261"/>
      <c r="BF2" s="261"/>
      <c r="BG2" s="261"/>
      <c r="BH2" s="261"/>
      <c r="BI2" s="262"/>
      <c r="BJ2" s="262"/>
      <c r="BK2" s="261"/>
      <c r="BL2" s="261"/>
      <c r="BM2" s="263"/>
      <c r="BN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B2" s="264"/>
      <c r="CC2" s="264"/>
      <c r="CD2" s="264"/>
    </row>
    <row r="3" spans="1:82" ht="22.35" customHeight="1" x14ac:dyDescent="0.25">
      <c r="A3" s="242"/>
      <c r="B3" s="265" t="s">
        <v>391</v>
      </c>
      <c r="C3" s="266" t="s">
        <v>392</v>
      </c>
      <c r="E3" s="238"/>
      <c r="F3" s="238"/>
      <c r="G3" s="238"/>
      <c r="I3" s="245" t="e">
        <f>L2-L3</f>
        <v>#REF!</v>
      </c>
      <c r="J3" s="245"/>
      <c r="L3" s="247">
        <v>10206866.5126411</v>
      </c>
      <c r="M3" s="248"/>
      <c r="O3" s="238"/>
      <c r="P3" s="252" t="e">
        <f>SUBTOTAL(9,Tableau5617192223242425262827293031333432353620383961719241822254140424344104746[Total Budget
€])</f>
        <v>#REF!</v>
      </c>
      <c r="Q3" s="252" t="e">
        <f>SUBTOTAL(9,Tableau5617192223242425262827293031333432353620383961719241822254140424344104746[Ecart Budget M-1
€])</f>
        <v>#REF!</v>
      </c>
      <c r="R3" s="252" t="e">
        <f>SUBTOTAL(9,Tableau5617192223242425262827293031333432353620383961719241822254140424344104746[Total Dépensé Engagé
€])</f>
        <v>#REF!</v>
      </c>
      <c r="S3" s="252" t="e">
        <f>SUBTOTAL(9,Tableau5617192223242425262827293031333432353620383961719241822254140424344104746[Total Dépensé Enregistré
€])</f>
        <v>#REF!</v>
      </c>
      <c r="T3" s="253" t="e">
        <f>IF(P3=0,0,1-(((AD3+AI3+AX3+AP3)+(AE3+AM3+AY3+BC3+AR3))/P3))</f>
        <v>#REF!</v>
      </c>
      <c r="U3" s="253"/>
      <c r="V3" s="253" t="e">
        <f>IF(P3&lt;&gt;0,AC3/P3*59%+(1-AC3/P3)*20%,0%)</f>
        <v>#REF!</v>
      </c>
      <c r="W3" s="267" t="e">
        <f>SUBTOTAL(9,Tableau5617192223242425262827293031333432353620383961719241822254140424344104746[Budget Heures
Hrs])</f>
        <v>#REF!</v>
      </c>
      <c r="X3" s="267">
        <f>SUBTOTAL(9,Tableau5617192223242425262827293031333432353620383961719241822254140424344104746[Réel Heures Internes
Hrs])</f>
        <v>13.5</v>
      </c>
      <c r="Y3" s="267">
        <f>SUBTOTAL(9,Tableau5617192223242425262827293031333432353620383961719241822254140424344104746[Réel Heures ST
Hrs])</f>
        <v>0</v>
      </c>
      <c r="Z3" s="267">
        <f>SUBTOTAL(9,Tableau5617192223242425262827293031333432353620383961719241822254140424344104746[RAF Heures
Hrs])</f>
        <v>104732.72234105713</v>
      </c>
      <c r="AA3" s="267">
        <f>SUBTOTAL(9,Tableau5617192223242425262827293031333432353620383961719241822254140424344104746[RAF Heures M-1
Hrs])</f>
        <v>0</v>
      </c>
      <c r="AB3" s="267">
        <f>SUBTOTAL(9,Tableau5617192223242425262827293031333432353620383961719241822254140424344104746[Ecart Heures vs M-1
Hrs])</f>
        <v>13.5</v>
      </c>
      <c r="AC3" s="268" t="e">
        <f>SUBTOTAL(9,Tableau5617192223242425262827293031333432353620383961719241822254140424344104746[Budget Heures Valorisées
€])</f>
        <v>#REF!</v>
      </c>
      <c r="AD3" s="252" t="e">
        <f>SUBTOTAL(9,AD5:AD310)</f>
        <v>#REF!</v>
      </c>
      <c r="AE3" s="252">
        <f>SUBTOTAL(9,AE5:AE310)</f>
        <v>5006224.1279025292</v>
      </c>
      <c r="AF3" s="258" t="e">
        <f>IF(AC3=0,0,1-((AD3+AE3)/AC3))</f>
        <v>#REF!</v>
      </c>
      <c r="AG3" s="252" t="e">
        <f>SUBTOTAL(9,Tableau5617192223242425262827293031333432353620383961719241822254140424344104746[Budget Achat HT
€])</f>
        <v>#REF!</v>
      </c>
      <c r="AH3" s="252">
        <f>SUBTOTAL(9,Tableau5617192223242425262827293031333432353620383961719241822254140424344104746[Prévi HA coûts = nomenaf])</f>
        <v>0</v>
      </c>
      <c r="AI3" s="252">
        <f>SUBTOTAL(9,Tableau5617192223242425262827293031333432353620383961719241822254140424344104746[Achats commandés HT
€])</f>
        <v>272671.89</v>
      </c>
      <c r="AJ3" s="252">
        <f>SUBTOTAL(9,Tableau5617192223242425262827293031333432353620383961719241822254140424344104746[Achats enregistrés HT
€])</f>
        <v>1009784.4196005899</v>
      </c>
      <c r="AK3" s="252">
        <f>SUBTOTAL(9,Tableau5617192223242425262827293031333432353620383961719241822254140424344104746[Commandé-Enregistré yc FNP])</f>
        <v>-737112.52960059</v>
      </c>
      <c r="AL3" s="252">
        <f>SUBTOTAL(9,Tableau5617192223242425262827293031333432353620383961719241822254140424344104746[dont FNP à date (€ HT)])</f>
        <v>745464.09960059007</v>
      </c>
      <c r="AM3" s="252">
        <f>SUBTOTAL(9,Tableau5617192223242425262827293031333432353620383961719241822254140424344104746[RAF Achats
€])</f>
        <v>16690</v>
      </c>
      <c r="AN3" s="252">
        <f>SUBTOTAL(9,Tableau5617192223242425262827293031333432353620383961719241822254140424344104746[RAF Achats M-1
€])</f>
        <v>0</v>
      </c>
      <c r="AO3" s="252">
        <f>SUBTOTAL(9,Tableau5617192223242425262827293031333432353620383961719241822254140424344104746[Ecart Achats vs M-1
€])</f>
        <v>272671.89</v>
      </c>
      <c r="AP3" s="252">
        <f>SUBTOTAL(9,Tableau5617192223242425262827293031333432353620383961719241822254140424344104746[Int Commandé OT
€])</f>
        <v>5103.1000000000004</v>
      </c>
      <c r="AQ3" s="252">
        <f>SUBTOTAL(9,Tableau5617192223242425262827293031333432353620383961719241822254140424344104746[Int Réalisé OT
€])</f>
        <v>2585421.5756021342</v>
      </c>
      <c r="AR3" s="252">
        <f>SUBTOTAL(9,Tableau5617192223242425262827293031333432353620383961719241822254140424344104746[RAF Int OT
€])</f>
        <v>0</v>
      </c>
      <c r="AS3" s="252">
        <f>SUBTOTAL(9,Tableau5617192223242425262827293031333432353620383961719241822254140424344104746[RAF OT M-1
€])</f>
        <v>0</v>
      </c>
      <c r="AT3" s="252">
        <f>SUBTOTAL(9,Tableau5617192223242425262827293031333432353620383961719241822254140424344104746[Ecart Int OT vs M-1
€])</f>
        <v>5103.1000000000004</v>
      </c>
      <c r="AU3" s="258" t="e">
        <f>IF(AG3=0,0,1-((AI3+AM3)/AG3))</f>
        <v>#REF!</v>
      </c>
      <c r="AV3" s="252" t="e">
        <f>SUBTOTAL(9,Tableau5617192223242425262827293031333432353620383961719241822254140424344104746[Budget Mission
 €])</f>
        <v>#REF!</v>
      </c>
      <c r="AW3" s="252">
        <f>SUBTOTAL(9,Tableau5617192223242425262827293031333432353620383961719241822254140424344104746[Prévisionnel Missions
€])</f>
        <v>0</v>
      </c>
      <c r="AX3" s="252">
        <f>SUBTOTAL(9,Tableau5617192223242425262827293031333432353620383961719241822254140424344104746[Réel Mission
€])</f>
        <v>331.86000000000058</v>
      </c>
      <c r="AY3" s="252">
        <f>SUBTOTAL(9,Tableau5617192223242425262827293031333432353620383961719241822254140424344104746[RAF Mission
€])</f>
        <v>2354.81</v>
      </c>
      <c r="AZ3" s="252">
        <f>SUBTOTAL(9,Tableau5617192223242425262827293031333432353620383961719241822254140424344104746[RAF Mission M-1
€])</f>
        <v>0</v>
      </c>
      <c r="BA3" s="252">
        <f>SUBTOTAL(9,Tableau5617192223242425262827293031333432353620383961719241822254140424344104746[Ecart Mission vs M-1
€])</f>
        <v>331.86000000000058</v>
      </c>
      <c r="BB3" s="258" t="e">
        <f>IF(AV3=0,0,(1-((AX3+AY3)/AV3)))</f>
        <v>#REF!</v>
      </c>
      <c r="BC3" s="269">
        <f>SUBTOTAL(9,Tableau5617192223242425262827293031333432353620383961719241822254140424344104746[Provisions pour risques])</f>
        <v>1531976</v>
      </c>
      <c r="BD3" s="269">
        <f>SUBTOTAL(9,Tableau5617192223242425262827293031333432353620383961719241822254140424344104746[Facturation globale projet à date (€ HT) ])</f>
        <v>0</v>
      </c>
      <c r="BE3" s="269">
        <f>SUBTOTAL(9,Tableau5617192223242425262827293031333432353620383961719241822254140424344104746[CA fin N-1])</f>
        <v>0</v>
      </c>
      <c r="BF3" s="269" t="e">
        <f>SUBTOTAL(9,Tableau5617192223242425262827293031333432353620383961719241822254140424344104746[CA N à date (€ HT) ])</f>
        <v>#REF!</v>
      </c>
      <c r="BG3" s="269" t="e">
        <f>SUBTOTAL(9,Tableau5617192223242425262827293031333432353620383961719241822254140424344104746[Consommé global Enregistré à date (€ HT)])</f>
        <v>#REF!</v>
      </c>
      <c r="BH3" s="269">
        <f>SUBTOTAL(9,Tableau5617192223242425262827293031333432353620383961719241822254140424344104746[RaF Global à terminaison à date (€ HT)])</f>
        <v>3239813.9326998079</v>
      </c>
      <c r="BI3" s="270" t="e">
        <f>IF(BG3+BH3=0,100%,BG3/(BG3+BH3))</f>
        <v>#REF!</v>
      </c>
      <c r="BJ3" s="270" t="e">
        <f>IF(P3=0, 0, BD3/P3)</f>
        <v>#REF!</v>
      </c>
      <c r="BK3" s="269" t="e">
        <f>SUBTOTAL(9,Tableau5617192223242425262827293031333432353620383961719241822254140424344104746[PCA basé sur Enregistré à date (€)])</f>
        <v>#REF!</v>
      </c>
      <c r="BL3" s="269" t="e">
        <f>SUBTOTAL(9,Tableau5617192223242425262827293031333432353620383961719241822254140424344104746[FAE basé sur Enregistré à date (€)])</f>
        <v>#REF!</v>
      </c>
      <c r="BM3" s="263"/>
      <c r="BN3" s="261"/>
      <c r="BO3" s="269" t="e">
        <f>SUBTOTAL(9,Tableau5617192223242425262827293031333432353620383961719241822254140424344104746[Cohérence Budget])</f>
        <v>#REF!</v>
      </c>
      <c r="BP3" s="269" t="e">
        <f>SUBTOTAL(9,Tableau5617192223242425262827293031333432353620383961719241822254140424344104746[ecart couts à terminaison vs M-1])</f>
        <v>#REF!</v>
      </c>
      <c r="BQ3" s="269"/>
      <c r="BR3" s="269" t="e">
        <f>SUBTOTAL(9,Tableau5617192223242425262827293031333432353620383961719241822254140424344104746[CA Y])</f>
        <v>#REF!</v>
      </c>
      <c r="BS3" s="269" t="e">
        <f>SUBTOTAL(9,Tableau5617192223242425262827293031333432353620383961719241822254140424344104746[Charges Y])</f>
        <v>#REF!</v>
      </c>
      <c r="BT3" s="269" t="e">
        <f>SUBTOTAL(9,Tableau5617192223242425262827293031333432353620383961719241822254140424344104746[Marge Y])</f>
        <v>#REF!</v>
      </c>
      <c r="BU3" s="269">
        <f>SUBTOTAL(9,Tableau5617192223242425262827293031333432353620383961719241822254140424344104746[Facturation Y])</f>
        <v>0</v>
      </c>
      <c r="BV3" s="269" t="e">
        <f>SUBTOTAL(9,Tableau5617192223242425262827293031333432353620383961719241822254140424344104746[CA mois])</f>
        <v>#REF!</v>
      </c>
      <c r="BW3" s="269" t="e">
        <f>SUBTOTAL(9,Tableau5617192223242425262827293031333432353620383961719241822254140424344104746[Charges mois])</f>
        <v>#REF!</v>
      </c>
      <c r="BX3" s="269" t="e">
        <f>SUBTOTAL(9,Tableau5617192223242425262827293031333432353620383961719241822254140424344104746[Marge mois])</f>
        <v>#REF!</v>
      </c>
      <c r="BY3" s="269">
        <f>SUBTOTAL(9,Tableau5617192223242425262827293031333432353620383961719241822254140424344104746[Facturation mois])</f>
        <v>0</v>
      </c>
      <c r="BZ3" s="269" t="e">
        <f>SUBTOTAL(9,Tableau5617192223242425262827293031333432353620383961719241822254140424344104746[Remaining Forecast])</f>
        <v>#REF!</v>
      </c>
      <c r="CA3" s="269"/>
      <c r="CB3" s="271">
        <f>SUM(Tableau5617192223242425262827293031333432353620383961719241822254140424344104746[hrs à fin s21])</f>
        <v>90713.02</v>
      </c>
      <c r="CC3" s="271">
        <f>SUM(Tableau5617192223242425262827293031333432353620383961719241822254140424344104746[RaF (h) MO à fin s21])</f>
        <v>40724.771388676192</v>
      </c>
      <c r="CD3" s="271">
        <f>SUBTOTAL(9,Tableau5617192223242425262827293031333432353620383961719241822254140424344104746[RaF (h) MO à fin s22])</f>
        <v>-90699.520000000004</v>
      </c>
    </row>
    <row r="4" spans="1:82" ht="44.45" customHeight="1" x14ac:dyDescent="0.25">
      <c r="A4" s="272" t="s">
        <v>393</v>
      </c>
      <c r="B4" s="273" t="s">
        <v>394</v>
      </c>
      <c r="C4" s="274" t="s">
        <v>395</v>
      </c>
      <c r="D4" s="275" t="s">
        <v>396</v>
      </c>
      <c r="E4" s="275" t="s">
        <v>397</v>
      </c>
      <c r="F4" s="275" t="s">
        <v>398</v>
      </c>
      <c r="G4" s="275" t="s">
        <v>399</v>
      </c>
      <c r="H4" s="275" t="s">
        <v>400</v>
      </c>
      <c r="I4" s="276" t="s">
        <v>401</v>
      </c>
      <c r="J4" s="276" t="s">
        <v>402</v>
      </c>
      <c r="K4" s="275" t="s">
        <v>403</v>
      </c>
      <c r="L4" s="275" t="s">
        <v>404</v>
      </c>
      <c r="M4" s="275" t="s">
        <v>405</v>
      </c>
      <c r="N4" s="277" t="s">
        <v>406</v>
      </c>
      <c r="O4" s="278" t="s">
        <v>407</v>
      </c>
      <c r="P4" s="279" t="s">
        <v>408</v>
      </c>
      <c r="Q4" s="280" t="s">
        <v>409</v>
      </c>
      <c r="R4" s="279" t="s">
        <v>410</v>
      </c>
      <c r="S4" s="279" t="s">
        <v>411</v>
      </c>
      <c r="T4" s="281" t="s">
        <v>412</v>
      </c>
      <c r="U4" s="281" t="s">
        <v>413</v>
      </c>
      <c r="V4" s="281" t="s">
        <v>414</v>
      </c>
      <c r="W4" s="282" t="s">
        <v>415</v>
      </c>
      <c r="X4" s="282" t="s">
        <v>416</v>
      </c>
      <c r="Y4" s="282" t="s">
        <v>417</v>
      </c>
      <c r="Z4" s="282" t="s">
        <v>418</v>
      </c>
      <c r="AA4" s="283" t="s">
        <v>419</v>
      </c>
      <c r="AB4" s="283" t="s">
        <v>420</v>
      </c>
      <c r="AC4" s="284" t="s">
        <v>421</v>
      </c>
      <c r="AD4" s="285" t="s">
        <v>422</v>
      </c>
      <c r="AE4" s="285" t="s">
        <v>423</v>
      </c>
      <c r="AF4" s="286" t="s">
        <v>424</v>
      </c>
      <c r="AG4" s="287" t="s">
        <v>425</v>
      </c>
      <c r="AH4" s="288" t="s">
        <v>426</v>
      </c>
      <c r="AI4" s="289" t="s">
        <v>427</v>
      </c>
      <c r="AJ4" s="290" t="s">
        <v>428</v>
      </c>
      <c r="AK4" s="290" t="s">
        <v>429</v>
      </c>
      <c r="AL4" s="291" t="s">
        <v>430</v>
      </c>
      <c r="AM4" s="290" t="s">
        <v>431</v>
      </c>
      <c r="AN4" s="290" t="s">
        <v>432</v>
      </c>
      <c r="AO4" s="287" t="s">
        <v>433</v>
      </c>
      <c r="AP4" s="292" t="s">
        <v>434</v>
      </c>
      <c r="AQ4" s="293" t="s">
        <v>435</v>
      </c>
      <c r="AR4" s="292" t="s">
        <v>436</v>
      </c>
      <c r="AS4" s="292" t="s">
        <v>437</v>
      </c>
      <c r="AT4" s="292" t="s">
        <v>438</v>
      </c>
      <c r="AU4" s="294" t="s">
        <v>439</v>
      </c>
      <c r="AV4" s="295" t="s">
        <v>440</v>
      </c>
      <c r="AW4" s="295" t="s">
        <v>441</v>
      </c>
      <c r="AX4" s="296" t="s">
        <v>442</v>
      </c>
      <c r="AY4" s="296" t="s">
        <v>443</v>
      </c>
      <c r="AZ4" s="296" t="s">
        <v>444</v>
      </c>
      <c r="BA4" s="296" t="s">
        <v>445</v>
      </c>
      <c r="BB4" s="297" t="s">
        <v>446</v>
      </c>
      <c r="BC4" s="298" t="s">
        <v>447</v>
      </c>
      <c r="BD4" s="299" t="s">
        <v>448</v>
      </c>
      <c r="BE4" s="300" t="s">
        <v>449</v>
      </c>
      <c r="BF4" s="300" t="s">
        <v>450</v>
      </c>
      <c r="BG4" s="300" t="s">
        <v>451</v>
      </c>
      <c r="BH4" s="300" t="s">
        <v>452</v>
      </c>
      <c r="BI4" s="301" t="s">
        <v>453</v>
      </c>
      <c r="BJ4" s="301" t="s">
        <v>454</v>
      </c>
      <c r="BK4" s="300" t="s">
        <v>455</v>
      </c>
      <c r="BL4" s="300" t="s">
        <v>456</v>
      </c>
      <c r="BM4" s="302" t="s">
        <v>457</v>
      </c>
      <c r="BN4" s="300" t="s">
        <v>458</v>
      </c>
      <c r="BO4" s="303" t="s">
        <v>459</v>
      </c>
      <c r="BP4" s="304" t="s">
        <v>460</v>
      </c>
      <c r="BQ4" s="304" t="s">
        <v>461</v>
      </c>
      <c r="BR4" s="304" t="s">
        <v>462</v>
      </c>
      <c r="BS4" s="305" t="s">
        <v>463</v>
      </c>
      <c r="BT4" s="305" t="s">
        <v>464</v>
      </c>
      <c r="BU4" s="305" t="s">
        <v>465</v>
      </c>
      <c r="BV4" s="306" t="s">
        <v>466</v>
      </c>
      <c r="BW4" s="307" t="s">
        <v>467</v>
      </c>
      <c r="BX4" s="308" t="s">
        <v>468</v>
      </c>
      <c r="BY4" s="308" t="s">
        <v>469</v>
      </c>
      <c r="BZ4" s="305" t="s">
        <v>470</v>
      </c>
      <c r="CA4" s="309" t="s">
        <v>471</v>
      </c>
      <c r="CB4" s="310" t="s">
        <v>472</v>
      </c>
      <c r="CC4" s="310" t="s">
        <v>473</v>
      </c>
      <c r="CD4" s="310" t="s">
        <v>474</v>
      </c>
    </row>
    <row r="5" spans="1:82" ht="13.5" customHeight="1" x14ac:dyDescent="0.25">
      <c r="A5" s="311" t="s">
        <v>0</v>
      </c>
      <c r="B5" s="1"/>
      <c r="C5" s="2" t="e">
        <f>_xlfn.XLOOKUP(Tableau5617192223242425262827293031333432353620383961719241822254140424344104746[[#This Row],[Num Projets]],#REF!,#REF!,FALSE)</f>
        <v>#REF!</v>
      </c>
      <c r="D5" s="3" t="s">
        <v>1</v>
      </c>
      <c r="E5" s="3" t="e">
        <f>_xlfn.XLOOKUP(Tableau5617192223242425262827293031333432353620383961719241822254140424344104746[[#This Row],[Num Projets]],#REF!,#REF!,FALSE)</f>
        <v>#REF!</v>
      </c>
      <c r="F5" s="3" t="e">
        <f>_xlfn.XLOOKUP(Tableau5617192223242425262827293031333432353620383961719241822254140424344104746[[#This Row],[Num Projets]],#REF!,#REF!,"newavr",0)</f>
        <v>#REF!</v>
      </c>
      <c r="G5" s="3" t="s">
        <v>2</v>
      </c>
      <c r="H5" s="3" t="s">
        <v>3</v>
      </c>
      <c r="I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" s="4" t="e">
        <f>VLOOKUP(Tableau5617192223242425262827293031333432353620383961719241822254140424344104746[[#This Row],[Num Projets]],#REF!,36,FALSE)</f>
        <v>#REF!</v>
      </c>
      <c r="K5" s="5" t="s">
        <v>4</v>
      </c>
      <c r="L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" s="3" t="e">
        <f>SUBSTITUTE(_xlfn.XLOOKUP(Tableau5617192223242425262827293031333432353620383961719241822254140424344104746[[#This Row],[Num Projets]],#REF!,#REF!,FALSE)," ","")</f>
        <v>#REF!</v>
      </c>
      <c r="N5" s="7" t="e">
        <f>VLOOKUP(H5,#REF!,7,FALSE)</f>
        <v>#REF!</v>
      </c>
      <c r="O5" s="7" t="e">
        <f>IF(VLOOKUP(H5,#REF!,27,FALSE)=0,"",VLOOKUP(H5,#REF!,27,FALSE))</f>
        <v>#REF!</v>
      </c>
      <c r="P5" s="8" t="e">
        <f>VLOOKUP(H5,#REF!,2,FALSE)</f>
        <v>#REF!</v>
      </c>
      <c r="Q5" s="9" t="e">
        <f>Tableau5617192223242425262827293031333432353620383961719241822254140424344104746[[#This Row],[Total Budget
€]]-IFERROR(VLOOKUP(H5,#REF!,8,FALSE),0)</f>
        <v>#REF!</v>
      </c>
      <c r="R5" s="10" t="e">
        <f>AD5+AI5+Tableau5617192223242425262827293031333432353620383961719241822254140424344104746[[#This Row],[Int Commandé OT
€]]+AX5</f>
        <v>#REF!</v>
      </c>
      <c r="S5" s="10" t="e">
        <f>AD5+AJ5+Tableau5617192223242425262827293031333432353620383961719241822254140424344104746[[#This Row],[Int Réalisé OT
€]]+AX5</f>
        <v>#REF!</v>
      </c>
      <c r="T5" s="11" t="e">
        <f t="shared" ref="T5:T68" si="2">IF(P5=0,0,1-(((AD5+AI5+AX5+AP5)+(AE5+AM5+AY5+BC5+AR5))/P5))</f>
        <v>#REF!</v>
      </c>
      <c r="U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" s="12">
        <f>IFERROR(VLOOKUP(H5,#REF!,2,FALSE),0)</f>
        <v>0</v>
      </c>
      <c r="X5" s="13">
        <f>IFERROR(VLOOKUP(H5,#REF!,2,FALSE),0)</f>
        <v>0</v>
      </c>
      <c r="Y5" s="13">
        <f>IFERROR(VLOOKUP(H5,#REF!,3,FALSE),0)</f>
        <v>0</v>
      </c>
      <c r="Z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</v>
      </c>
      <c r="AA5" s="13">
        <f>IFERROR(VLOOKUP(H5,#REF!,18,FALSE),0)</f>
        <v>0</v>
      </c>
      <c r="AB5" s="13">
        <f>SUM(X5:Y5)-IFERROR(VLOOKUP(H5,#REF!,16,FALSE),0)-IFERROR(VLOOKUP(H5,#REF!,17,FALSE),0)</f>
        <v>0</v>
      </c>
      <c r="AC5" s="15">
        <f>W5*BM5</f>
        <v>0</v>
      </c>
      <c r="AD5" s="8" t="e">
        <f>(X5*VLOOKUP(H5,#REF!,2,FALSE)+Y5*VLOOKUP(H5,#REF!,3,FALSE))</f>
        <v>#REF!</v>
      </c>
      <c r="AE5" s="8">
        <f t="shared" ref="AE5:AE68" si="3">Z5*47.8</f>
        <v>143.39999999999998</v>
      </c>
      <c r="AF5" s="16">
        <f t="shared" ref="AF5:AF68" si="4">IF(AC5=0,0,1-((AD5+AE5)/AC5))</f>
        <v>0</v>
      </c>
      <c r="AG5" s="8">
        <f>IFERROR(VLOOKUP(H5,#REF!,3,FALSE),0)+IFERROR(VLOOKUP(H5,#REF!,3,FALSE),0)</f>
        <v>0</v>
      </c>
      <c r="AH5" s="8">
        <f>IFERROR(VLOOKUP(Tableau5617192223242425262827293031333432353620383961719241822254140424344104746[[#This Row],[Num Projets]],#REF!,2,FALSE),0)</f>
        <v>0</v>
      </c>
      <c r="AI5" s="17">
        <f>+IFERROR(VLOOKUP(H5,#REF!,2,FALSE),0)-Tableau5617192223242425262827293031333432353620383961719241822254140424344104746[[#This Row],[Int Commandé OT
€]]</f>
        <v>0</v>
      </c>
      <c r="AJ5" s="8">
        <f>IFERROR(VLOOKUP(H5,#REF!,11,FALSE),0)-IFERROR(VLOOKUP(H5,#REF!,10,FALSE),0)+Tableau5617192223242425262827293031333432353620383961719241822254140424344104746[[#This Row],[dont FNP à date (€ HT)]]</f>
        <v>0</v>
      </c>
      <c r="AK5" s="15">
        <f>AI5-AJ5</f>
        <v>0</v>
      </c>
      <c r="AL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" s="19">
        <f>IF(Tableau5617192223242425262827293031333432353620383961719241822254140424344104746[[#This Row],[RAF Achats M-1
€]]=0,0,AN5-AO5)</f>
        <v>0</v>
      </c>
      <c r="AN5" s="8">
        <f>IFERROR(VLOOKUP(H5,#REF!,31,FALSE),0)</f>
        <v>0</v>
      </c>
      <c r="AO5" s="8">
        <f>AI5+-IFERROR(VLOOKUP(H5,#REF!,27,FALSE),0)</f>
        <v>0</v>
      </c>
      <c r="AP5" s="20">
        <f>IFERROR(VLOOKUP(Tableau5617192223242425262827293031333432353620383961719241822254140424344104746[[#This Row],[Num Projets]],#REF!,2,FALSE),0)</f>
        <v>0</v>
      </c>
      <c r="AQ5" s="20">
        <f>_xlfn.XLOOKUP(H5,[2]Synth!$N:$N,[2]Synth!$O:$O,0,FALSE)+_xlfn.XLOOKUP(Tableau5617192223242425262827293031333432353620383961719241822254140424344104746[[#This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" s="21">
        <v>0</v>
      </c>
      <c r="AS5" s="20">
        <f>+IFERROR(VLOOKUP(H5,#REF!,36,FALSE),0)</f>
        <v>0</v>
      </c>
      <c r="AT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" s="22">
        <f>IF(AG5=0,0,1-((AI5+AM5+Tableau5617192223242425262827293031333432353620383961719241822254140424344104746[[#This Row],[Int Commandé OT
€]]+Tableau5617192223242425262827293031333432353620383961719241822254140424344104746[[#This Row],[RAF Int OT
€]])/AG5))</f>
        <v>0</v>
      </c>
      <c r="AV5" s="8">
        <f>IFERROR(VLOOKUP(H5,#REF!,4,FALSE),0)+IFERROR(VLOOKUP(H5,#REF!,4,FALSE),0)</f>
        <v>0</v>
      </c>
      <c r="AW5" s="8">
        <f>IFERROR(VLOOKUP(Tableau5617192223242425262827293031333432353620383961719241822254140424344104746[[#This Row],[Num Projets]],#REF!,3,FALSE),0)</f>
        <v>0</v>
      </c>
      <c r="AX5" s="20">
        <f>IFERROR(VLOOKUP(Tableau5617192223242425262827293031333432353620383961719241822254140424344104746[[#This Row],[Num Projets]],#REF!,10,FALSE),0)</f>
        <v>0</v>
      </c>
      <c r="AY5" s="23">
        <f>Tableau5617192223242425262827293031333432353620383961719241822254140424344104746[[#This Row],[Budget Mission
 €]]/1.2-AX5</f>
        <v>0</v>
      </c>
      <c r="AZ5" s="8">
        <f>IFERROR(VLOOKUP(H5,#REF!,43,FALSE),0)</f>
        <v>0</v>
      </c>
      <c r="BA5" s="8">
        <f>AX5-IFERROR(VLOOKUP(H5,#REF!,42,FALSE),0)</f>
        <v>0</v>
      </c>
      <c r="BB5" s="16">
        <f>IF(AV5=0,0,(1-((AX5+AY5)/AV5)))</f>
        <v>0</v>
      </c>
      <c r="BC5" s="24">
        <f>IFERROR(VLOOKUP(H5,#REF!,47,FALSE),IFERROR(VLOOKUP(H5,#REF!,5,FALSE),0)+IFERROR(VLOOKUP(H5,#REF!,5,FALSE),0))</f>
        <v>0</v>
      </c>
      <c r="BD5" s="25">
        <f>IFERROR(VLOOKUP(H5,#REF!,2,FALSE),0)</f>
        <v>0</v>
      </c>
      <c r="BE5" s="25">
        <f>IFERROR(VLOOKUP(H5,#REF!,49,FALSE),0)</f>
        <v>0</v>
      </c>
      <c r="BF5" s="26" t="e">
        <f t="shared" ref="BF5:BF68" si="5">BI5*P5-BE5</f>
        <v>#REF!</v>
      </c>
      <c r="BG5" s="26" t="e">
        <f t="shared" ref="BG5:BG68" si="6">S5</f>
        <v>#REF!</v>
      </c>
      <c r="BH5" s="27">
        <f>AE5+ (AI5-AJ5+AM5+Tableau5617192223242425262827293031333432353620383961719241822254140424344104746[[#This Row],[Int Commandé OT
€]]-Tableau5617192223242425262827293031333432353620383961719241822254140424344104746[[#This Row],[Int Réalisé OT
€]]+AR5) +AY5+BC5</f>
        <v>143.39999999999998</v>
      </c>
      <c r="BI5" s="16" t="e">
        <f t="shared" ref="BI5:BI20" si="7">IF(BG5+BH5=0,100%,BG5/(BG5+BH5))</f>
        <v>#REF!</v>
      </c>
      <c r="BJ5" s="16" t="e">
        <f t="shared" ref="BJ5:BJ68" si="8">IF(P5=0, 0, BD5/P5)</f>
        <v>#REF!</v>
      </c>
      <c r="BK5" s="27" t="e">
        <f t="shared" ref="BK5:BK68" si="9">IF((BI5-BJ5)&gt;0,0,(BI5-BJ5)*P5)</f>
        <v>#REF!</v>
      </c>
      <c r="BL5" s="26" t="e">
        <f t="shared" ref="BL5:BL68" si="10">IF((BI5-BJ5)&gt;0,(BI5-BJ5)*P5,0)</f>
        <v>#REF!</v>
      </c>
      <c r="BM5" s="28">
        <f>IFERROR(VLOOKUP(H5,'[1]2023dec'!H:CA,54,FALSE),105)</f>
        <v>93.052109204231286</v>
      </c>
      <c r="BN5" s="29">
        <v>0.5</v>
      </c>
      <c r="BO5" s="30" t="e">
        <f>P5-AC5-AG5-AV5-Tableau5617192223242425262827293031333432353620383961719241822254140424344104746[[#This Row],[Provisions pour risques]]</f>
        <v>#REF!</v>
      </c>
      <c r="BP5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5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5" s="33" t="e">
        <f t="shared" ref="BR5:BR29" si="11">BF5</f>
        <v>#REF!</v>
      </c>
      <c r="BS5" s="34" t="e">
        <f>Tableau5617192223242425262827293031333432353620383961719241822254140424344104746[[#This Row],[Consommé global Enregistré à date (€ HT)]]-IFERROR(VLOOKUP(H5,#REF!,50,FALSE),0)</f>
        <v>#REF!</v>
      </c>
      <c r="BT5" s="35" t="e">
        <f t="shared" ref="BT5:BT29" si="12">BR5-BS5</f>
        <v>#REF!</v>
      </c>
      <c r="BU5" s="36">
        <f>BD5-IFERROR(VLOOKUP(H5,#REF!,47,FALSE),0)</f>
        <v>0</v>
      </c>
      <c r="BV5" s="37" t="e">
        <f>+BF5+Tableau5617192223242425262827293031333432353620383961719241822254140424344104746[[#This Row],[CA fin N-1]]-IFERROR(VLOOKUP(H5,#REF!,49,FALSE),0)-IFERROR(VLOOKUP(H5,#REF!,50,FALSE),0)</f>
        <v>#REF!</v>
      </c>
      <c r="BW5" s="33" t="e">
        <f>BG5-IFERROR(VLOOKUP(H5,#REF!,51,FALSE),0)</f>
        <v>#REF!</v>
      </c>
      <c r="BX5" s="35" t="e">
        <f t="shared" ref="BX5:BX29" si="13">BV5-BW5</f>
        <v>#REF!</v>
      </c>
      <c r="BY5" s="36">
        <f>BD5-IFERROR(VLOOKUP(H5,#REF!,48,FALSE),0)</f>
        <v>0</v>
      </c>
      <c r="BZ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" s="39" t="e">
        <f>VLOOKUP(Tableau5617192223242425262827293031333432353620383961719241822254140424344104746[[#This Row],[Num Projets]],#REF!,1,FALSE)</f>
        <v>#REF!</v>
      </c>
      <c r="CB5" s="40">
        <v>3</v>
      </c>
      <c r="CC5" s="40">
        <v>0</v>
      </c>
      <c r="CD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</v>
      </c>
    </row>
    <row r="6" spans="1:82" ht="13.5" customHeight="1" x14ac:dyDescent="0.25">
      <c r="A6" s="311" t="s">
        <v>5</v>
      </c>
      <c r="B6" s="1"/>
      <c r="C6" s="2" t="e">
        <f>_xlfn.XLOOKUP(Tableau5617192223242425262827293031333432353620383961719241822254140424344104746[[#This Row],[Num Projets]],#REF!,#REF!,FALSE)</f>
        <v>#REF!</v>
      </c>
      <c r="D6" s="3" t="s">
        <v>6</v>
      </c>
      <c r="E6" s="3" t="e">
        <f>_xlfn.XLOOKUP(Tableau5617192223242425262827293031333432353620383961719241822254140424344104746[[#This Row],[Num Projets]],#REF!,#REF!,FALSE)</f>
        <v>#REF!</v>
      </c>
      <c r="F6" s="3" t="s">
        <v>7</v>
      </c>
      <c r="G6" s="3" t="s">
        <v>2</v>
      </c>
      <c r="H6" s="3" t="s">
        <v>8</v>
      </c>
      <c r="I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" s="4" t="e">
        <f>VLOOKUP(Tableau5617192223242425262827293031333432353620383961719241822254140424344104746[[#This Row],[Num Projets]],#REF!,36,FALSE)</f>
        <v>#REF!</v>
      </c>
      <c r="K6" s="5" t="s">
        <v>9</v>
      </c>
      <c r="L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" s="3" t="e">
        <f>SUBSTITUTE(_xlfn.XLOOKUP(Tableau5617192223242425262827293031333432353620383961719241822254140424344104746[[#This Row],[Num Projets]],#REF!,#REF!,FALSE)," ","")</f>
        <v>#REF!</v>
      </c>
      <c r="N6" s="7" t="e">
        <f>VLOOKUP(H6,#REF!,7,FALSE)</f>
        <v>#REF!</v>
      </c>
      <c r="O6" s="7" t="e">
        <f>IF(VLOOKUP(H6,#REF!,27,FALSE)=0,"",VLOOKUP(H6,#REF!,27,FALSE))</f>
        <v>#REF!</v>
      </c>
      <c r="P6" s="8" t="e">
        <f>VLOOKUP(H6,#REF!,2,FALSE)</f>
        <v>#REF!</v>
      </c>
      <c r="Q6" s="9" t="e">
        <f>Tableau5617192223242425262827293031333432353620383961719241822254140424344104746[[#This Row],[Total Budget
€]]-IFERROR(VLOOKUP(H6,#REF!,8,FALSE),0)</f>
        <v>#REF!</v>
      </c>
      <c r="R6" s="10" t="e">
        <f>AD6+AI6+Tableau5617192223242425262827293031333432353620383961719241822254140424344104746[[#This Row],[Int Commandé OT
€]]+AX6</f>
        <v>#REF!</v>
      </c>
      <c r="S6" s="10" t="e">
        <f>AD6+AJ6+Tableau5617192223242425262827293031333432353620383961719241822254140424344104746[[#This Row],[Int Réalisé OT
€]]+AX6</f>
        <v>#REF!</v>
      </c>
      <c r="T6" s="11" t="e">
        <f t="shared" si="2"/>
        <v>#REF!</v>
      </c>
      <c r="U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" s="12">
        <f>IFERROR(VLOOKUP(H6,#REF!,2,FALSE),0)</f>
        <v>0</v>
      </c>
      <c r="X6" s="13">
        <f>IFERROR(VLOOKUP(H6,#REF!,2,FALSE),0)</f>
        <v>0</v>
      </c>
      <c r="Y6" s="13">
        <f>IFERROR(VLOOKUP(H6,#REF!,3,FALSE),0)</f>
        <v>0</v>
      </c>
      <c r="Z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29.5</v>
      </c>
      <c r="AA6" s="13">
        <f>IFERROR(VLOOKUP(H6,#REF!,18,FALSE),0)</f>
        <v>0</v>
      </c>
      <c r="AB6" s="13">
        <f>SUM(X6:Y6)-IFERROR(VLOOKUP(H6,#REF!,16,FALSE),0)-IFERROR(VLOOKUP(H6,#REF!,17,FALSE),0)</f>
        <v>0</v>
      </c>
      <c r="AC6" s="15">
        <f>W6*BM6</f>
        <v>0</v>
      </c>
      <c r="AD6" s="8" t="e">
        <f>(X6*VLOOKUP(H6,#REF!,2,FALSE)+Y6*VLOOKUP(H6,#REF!,3,FALSE))</f>
        <v>#REF!</v>
      </c>
      <c r="AE6" s="8">
        <f t="shared" si="3"/>
        <v>1410.1</v>
      </c>
      <c r="AF6" s="16">
        <f t="shared" si="4"/>
        <v>0</v>
      </c>
      <c r="AG6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6" s="8">
        <f>IFERROR(VLOOKUP(Tableau5617192223242425262827293031333432353620383961719241822254140424344104746[[#This Row],[Num Projets]],#REF!,2,FALSE),0)</f>
        <v>0</v>
      </c>
      <c r="AI6" s="17">
        <f>+IFERROR(VLOOKUP(H6,#REF!,2,FALSE),0)-Tableau5617192223242425262827293031333432353620383961719241822254140424344104746[[#This Row],[Int Commandé OT
€]]</f>
        <v>0</v>
      </c>
      <c r="AJ6" s="8">
        <f>IFERROR(VLOOKUP(H6,#REF!,11,FALSE),0)-IFERROR(VLOOKUP(H6,#REF!,10,FALSE),0)+Tableau5617192223242425262827293031333432353620383961719241822254140424344104746[[#This Row],[dont FNP à date (€ HT)]]</f>
        <v>0</v>
      </c>
      <c r="AK6" s="15">
        <f t="shared" ref="AK6:AK69" si="14">AI6-AJ6</f>
        <v>0</v>
      </c>
      <c r="AL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" s="19">
        <f>IF(Tableau5617192223242425262827293031333432353620383961719241822254140424344104746[[#This Row],[RAF Achats M-1
€]]=0,0,AN6-AO6)</f>
        <v>0</v>
      </c>
      <c r="AN6" s="8">
        <f>IFERROR(VLOOKUP(H6,#REF!,31,FALSE),0)</f>
        <v>0</v>
      </c>
      <c r="AO6" s="8">
        <f>AI6+-IFERROR(VLOOKUP(H6,#REF!,27,FALSE),0)</f>
        <v>0</v>
      </c>
      <c r="AP6" s="20">
        <f>IFERROR(VLOOKUP(Tableau5617192223242425262827293031333432353620383961719241822254140424344104746[[#This Row],[Num Projets]],#REF!,2,FALSE),0)</f>
        <v>0</v>
      </c>
      <c r="AQ6" s="20">
        <f>_xlfn.XLOOKUP(H6,[2]Synth!$N:$N,[2]Synth!$O:$O,0,FALSE)+_xlfn.XLOOKUP(Tableau5617192223242425262827293031333432353620383961719241822254140424344104746[[#This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" s="21">
        <v>0</v>
      </c>
      <c r="AS6" s="20">
        <f>+IFERROR(VLOOKUP(H6,#REF!,36,FALSE),0)</f>
        <v>0</v>
      </c>
      <c r="AT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" s="22" t="e">
        <f>IF(AG6=0,0,1-((AI6+AM6+Tableau5617192223242425262827293031333432353620383961719241822254140424344104746[[#This Row],[Int Commandé OT
€]]+Tableau5617192223242425262827293031333432353620383961719241822254140424344104746[[#This Row],[RAF Int OT
€]])/AG6))</f>
        <v>#REF!</v>
      </c>
      <c r="AV6" s="8">
        <f>IFERROR(VLOOKUP(H6,#REF!,4,FALSE),0)+IFERROR(VLOOKUP(H6,#REF!,4,FALSE),0)</f>
        <v>0</v>
      </c>
      <c r="AW6" s="8">
        <f>IFERROR(VLOOKUP(Tableau5617192223242425262827293031333432353620383961719241822254140424344104746[[#This Row],[Num Projets]],#REF!,3,FALSE),0)</f>
        <v>0</v>
      </c>
      <c r="AX6" s="20">
        <f>IFERROR(VLOOKUP(Tableau5617192223242425262827293031333432353620383961719241822254140424344104746[[#This Row],[Num Projets]],#REF!,10,FALSE),0)</f>
        <v>0</v>
      </c>
      <c r="AY6" s="23">
        <f>Tableau5617192223242425262827293031333432353620383961719241822254140424344104746[[#This Row],[Budget Mission
 €]]/1.2-AX6</f>
        <v>0</v>
      </c>
      <c r="AZ6" s="8">
        <f>IFERROR(VLOOKUP(H6,#REF!,43,FALSE),0)</f>
        <v>0</v>
      </c>
      <c r="BA6" s="8">
        <f>AX6-IFERROR(VLOOKUP(H6,#REF!,42,FALSE),0)</f>
        <v>0</v>
      </c>
      <c r="BB6" s="16">
        <f t="shared" ref="BB6:BB29" si="15">IF(AV6=0,0,(1-((AX6+AY6)/AV6)))</f>
        <v>0</v>
      </c>
      <c r="BC6" s="24">
        <f>IFERROR(VLOOKUP(H6,#REF!,47,FALSE),IFERROR(VLOOKUP(H6,#REF!,5,FALSE),0)+IFERROR(VLOOKUP(H6,#REF!,5,FALSE),0))</f>
        <v>0</v>
      </c>
      <c r="BD6" s="25">
        <f>IFERROR(VLOOKUP(H6,#REF!,2,FALSE),0)</f>
        <v>0</v>
      </c>
      <c r="BE6" s="25">
        <f>IFERROR(VLOOKUP(H6,#REF!,49,FALSE),0)</f>
        <v>0</v>
      </c>
      <c r="BF6" s="26" t="e">
        <f t="shared" si="5"/>
        <v>#REF!</v>
      </c>
      <c r="BG6" s="26" t="e">
        <f t="shared" si="6"/>
        <v>#REF!</v>
      </c>
      <c r="BH6" s="27">
        <f>AE6+ (AI6-AJ6+AM6+Tableau5617192223242425262827293031333432353620383961719241822254140424344104746[[#This Row],[Int Commandé OT
€]]-Tableau5617192223242425262827293031333432353620383961719241822254140424344104746[[#This Row],[Int Réalisé OT
€]]+AR6) +AY6+BC6</f>
        <v>1410.1</v>
      </c>
      <c r="BI6" s="16" t="e">
        <f t="shared" si="7"/>
        <v>#REF!</v>
      </c>
      <c r="BJ6" s="16" t="e">
        <f t="shared" si="8"/>
        <v>#REF!</v>
      </c>
      <c r="BK6" s="27" t="e">
        <f t="shared" si="9"/>
        <v>#REF!</v>
      </c>
      <c r="BL6" s="26" t="e">
        <f t="shared" si="10"/>
        <v>#REF!</v>
      </c>
      <c r="BM6" s="28">
        <f>IFERROR(VLOOKUP(H6,'[1]2023dec'!H:CA,54,FALSE),105)</f>
        <v>96.010407640590657</v>
      </c>
      <c r="BN6" s="29" t="e">
        <f>Tableau5617192223242425262827293031333432353620383961719241822254140424344104746[[#This Row],[Avancement Global Financier basé sur Enregistré à date (%)]]</f>
        <v>#REF!</v>
      </c>
      <c r="BO6" s="30" t="e">
        <f>P6-AC6-AG6-AV6-Tableau5617192223242425262827293031333432353620383961719241822254140424344104746[[#This Row],[Provisions pour risques]]</f>
        <v>#REF!</v>
      </c>
      <c r="BP6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6" s="33" t="e">
        <f t="shared" si="11"/>
        <v>#REF!</v>
      </c>
      <c r="BS6" s="34" t="e">
        <f>Tableau5617192223242425262827293031333432353620383961719241822254140424344104746[[#This Row],[Consommé global Enregistré à date (€ HT)]]-IFERROR(VLOOKUP(H6,#REF!,50,FALSE),0)</f>
        <v>#REF!</v>
      </c>
      <c r="BT6" s="35" t="e">
        <f t="shared" si="12"/>
        <v>#REF!</v>
      </c>
      <c r="BU6" s="36">
        <f>BD6-IFERROR(VLOOKUP(H6,#REF!,47,FALSE),0)</f>
        <v>0</v>
      </c>
      <c r="BV6" s="37" t="e">
        <f>+BF6+Tableau5617192223242425262827293031333432353620383961719241822254140424344104746[[#This Row],[CA fin N-1]]-IFERROR(VLOOKUP(H6,#REF!,49,FALSE),0)-IFERROR(VLOOKUP(H6,#REF!,50,FALSE),0)</f>
        <v>#REF!</v>
      </c>
      <c r="BW6" s="33" t="e">
        <f>BG6-IFERROR(VLOOKUP(H6,#REF!,51,FALSE),0)</f>
        <v>#REF!</v>
      </c>
      <c r="BX6" s="35" t="e">
        <f t="shared" si="13"/>
        <v>#REF!</v>
      </c>
      <c r="BY6" s="36">
        <f>BD6-IFERROR(VLOOKUP(H6,#REF!,48,FALSE),0)</f>
        <v>0</v>
      </c>
      <c r="BZ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" s="39" t="e">
        <f>VLOOKUP(Tableau5617192223242425262827293031333432353620383961719241822254140424344104746[[#This Row],[Num Projets]],#REF!,1,FALSE)</f>
        <v>#REF!</v>
      </c>
      <c r="CB6" s="40">
        <v>29.5</v>
      </c>
      <c r="CC6" s="40">
        <v>0</v>
      </c>
      <c r="CD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-29.5</v>
      </c>
    </row>
    <row r="7" spans="1:82" ht="13.5" customHeight="1" x14ac:dyDescent="0.25">
      <c r="A7" s="311" t="s">
        <v>10</v>
      </c>
      <c r="B7" s="1"/>
      <c r="C7" s="2" t="e">
        <f>_xlfn.XLOOKUP(Tableau5617192223242425262827293031333432353620383961719241822254140424344104746[[#This Row],[Num Projets]],#REF!,#REF!,FALSE)</f>
        <v>#REF!</v>
      </c>
      <c r="D7" s="3" t="s">
        <v>11</v>
      </c>
      <c r="E7" s="3" t="e">
        <f>_xlfn.XLOOKUP(Tableau5617192223242425262827293031333432353620383961719241822254140424344104746[[#This Row],[Num Projets]],#REF!,#REF!,FALSE)</f>
        <v>#REF!</v>
      </c>
      <c r="F7" s="3" t="e">
        <f>_xlfn.XLOOKUP(Tableau5617192223242425262827293031333432353620383961719241822254140424344104746[[#This Row],[Num Projets]],#REF!,#REF!,"newavr",0)</f>
        <v>#REF!</v>
      </c>
      <c r="G7" s="3" t="s">
        <v>12</v>
      </c>
      <c r="H7" s="3" t="s">
        <v>13</v>
      </c>
      <c r="I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" s="4" t="e">
        <f>VLOOKUP(Tableau5617192223242425262827293031333432353620383961719241822254140424344104746[[#This Row],[Num Projets]],#REF!,36,FALSE)</f>
        <v>#REF!</v>
      </c>
      <c r="K7" s="5" t="s">
        <v>14</v>
      </c>
      <c r="L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" s="3" t="e">
        <f>SUBSTITUTE(_xlfn.XLOOKUP(Tableau5617192223242425262827293031333432353620383961719241822254140424344104746[[#This Row],[Num Projets]],#REF!,#REF!,FALSE)," ","")</f>
        <v>#REF!</v>
      </c>
      <c r="N7" s="7" t="e">
        <f>VLOOKUP(H7,#REF!,7,FALSE)</f>
        <v>#REF!</v>
      </c>
      <c r="O7" s="7" t="e">
        <f>IF(VLOOKUP(H7,#REF!,27,FALSE)=0,"",VLOOKUP(H7,#REF!,27,FALSE))</f>
        <v>#REF!</v>
      </c>
      <c r="P7" s="8" t="e">
        <f>VLOOKUP(H7,#REF!,2,FALSE)</f>
        <v>#REF!</v>
      </c>
      <c r="Q7" s="9" t="e">
        <f>Tableau5617192223242425262827293031333432353620383961719241822254140424344104746[[#This Row],[Total Budget
€]]-IFERROR(VLOOKUP(H7,#REF!,8,FALSE),0)</f>
        <v>#REF!</v>
      </c>
      <c r="R7" s="10" t="e">
        <f>AD7+AI7+Tableau5617192223242425262827293031333432353620383961719241822254140424344104746[[#This Row],[Int Commandé OT
€]]+AX7</f>
        <v>#REF!</v>
      </c>
      <c r="S7" s="10" t="e">
        <f>AD7+AJ7+Tableau5617192223242425262827293031333432353620383961719241822254140424344104746[[#This Row],[Int Réalisé OT
€]]+AX7</f>
        <v>#REF!</v>
      </c>
      <c r="T7" s="11" t="e">
        <f t="shared" si="2"/>
        <v>#REF!</v>
      </c>
      <c r="U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" s="42">
        <v>0</v>
      </c>
      <c r="X7" s="13">
        <f>IFERROR(VLOOKUP(H7,#REF!,2,FALSE),0)</f>
        <v>0</v>
      </c>
      <c r="Y7" s="13">
        <f>IFERROR(VLOOKUP(H7,#REF!,3,FALSE),0)</f>
        <v>0</v>
      </c>
      <c r="Z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</v>
      </c>
      <c r="AA7" s="13">
        <f>IFERROR(VLOOKUP(H7,#REF!,18,FALSE),0)</f>
        <v>0</v>
      </c>
      <c r="AB7" s="13">
        <f>SUM(X7:Y7)-IFERROR(VLOOKUP(H7,#REF!,16,FALSE),0)-IFERROR(VLOOKUP(H7,#REF!,17,FALSE),0)</f>
        <v>0</v>
      </c>
      <c r="AC7" s="15">
        <f>W7*BM7</f>
        <v>0</v>
      </c>
      <c r="AD7" s="8" t="e">
        <f>(X7*VLOOKUP(H7,#REF!,2,FALSE)+Y7*VLOOKUP(H7,#REF!,3,FALSE))</f>
        <v>#REF!</v>
      </c>
      <c r="AE7" s="8">
        <f t="shared" si="3"/>
        <v>239</v>
      </c>
      <c r="AF7" s="16">
        <f t="shared" si="4"/>
        <v>0</v>
      </c>
      <c r="AG7" s="8">
        <f>IFERROR(VLOOKUP(H7,#REF!,3,FALSE),0)+IFERROR(VLOOKUP(H7,#REF!,3,FALSE),0)</f>
        <v>0</v>
      </c>
      <c r="AH7" s="8">
        <f>IFERROR(VLOOKUP(Tableau5617192223242425262827293031333432353620383961719241822254140424344104746[[#This Row],[Num Projets]],#REF!,2,FALSE),0)</f>
        <v>0</v>
      </c>
      <c r="AI7" s="17">
        <f>+IFERROR(VLOOKUP(H7,#REF!,2,FALSE),0)-Tableau5617192223242425262827293031333432353620383961719241822254140424344104746[[#This Row],[Int Commandé OT
€]]</f>
        <v>0</v>
      </c>
      <c r="AJ7" s="8">
        <f>IFERROR(VLOOKUP(H7,#REF!,11,FALSE),0)-IFERROR(VLOOKUP(H7,#REF!,10,FALSE),0)+Tableau5617192223242425262827293031333432353620383961719241822254140424344104746[[#This Row],[dont FNP à date (€ HT)]]</f>
        <v>0</v>
      </c>
      <c r="AK7" s="15">
        <f t="shared" si="14"/>
        <v>0</v>
      </c>
      <c r="AL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" s="19">
        <f>IF(Tableau5617192223242425262827293031333432353620383961719241822254140424344104746[[#This Row],[RAF Achats M-1
€]]=0,0,AN7-AO7)</f>
        <v>0</v>
      </c>
      <c r="AN7" s="8">
        <f>IFERROR(VLOOKUP(H7,#REF!,31,FALSE),0)</f>
        <v>0</v>
      </c>
      <c r="AO7" s="8">
        <f>AI7+-IFERROR(VLOOKUP(H7,#REF!,27,FALSE),0)</f>
        <v>0</v>
      </c>
      <c r="AP7" s="20">
        <f>IFERROR(VLOOKUP(Tableau5617192223242425262827293031333432353620383961719241822254140424344104746[[#This Row],[Num Projets]],#REF!,2,FALSE),0)</f>
        <v>0</v>
      </c>
      <c r="AQ7" s="20">
        <f>_xlfn.XLOOKUP(H7,[2]Synth!$N:$N,[2]Synth!$O:$O,0,FALSE)+_xlfn.XLOOKUP(Tableau5617192223242425262827293031333432353620383961719241822254140424344104746[[#This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" s="21">
        <v>0</v>
      </c>
      <c r="AS7" s="20">
        <f>+IFERROR(VLOOKUP(H7,#REF!,36,FALSE),0)</f>
        <v>0</v>
      </c>
      <c r="AT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" s="22">
        <f>IF(AG7=0,0,1-((AI7+AM7+Tableau5617192223242425262827293031333432353620383961719241822254140424344104746[[#This Row],[Int Commandé OT
€]]+Tableau5617192223242425262827293031333432353620383961719241822254140424344104746[[#This Row],[RAF Int OT
€]])/AG7))</f>
        <v>0</v>
      </c>
      <c r="AV7" s="8">
        <f>IFERROR(VLOOKUP(H7,#REF!,4,FALSE),0)+IFERROR(VLOOKUP(H7,#REF!,4,FALSE),0)</f>
        <v>0</v>
      </c>
      <c r="AW7" s="8">
        <f>IFERROR(VLOOKUP(Tableau5617192223242425262827293031333432353620383961719241822254140424344104746[[#This Row],[Num Projets]],#REF!,3,FALSE),0)</f>
        <v>0</v>
      </c>
      <c r="AX7" s="20">
        <f>IFERROR(VLOOKUP(Tableau5617192223242425262827293031333432353620383961719241822254140424344104746[[#This Row],[Num Projets]],#REF!,10,FALSE),0)</f>
        <v>0</v>
      </c>
      <c r="AY7" s="23">
        <f>Tableau5617192223242425262827293031333432353620383961719241822254140424344104746[[#This Row],[Budget Mission
 €]]/1.2-AX7</f>
        <v>0</v>
      </c>
      <c r="AZ7" s="8">
        <f>IFERROR(VLOOKUP(H7,#REF!,43,FALSE),0)</f>
        <v>0</v>
      </c>
      <c r="BA7" s="8">
        <f>AX7-IFERROR(VLOOKUP(H7,#REF!,42,FALSE),0)</f>
        <v>0</v>
      </c>
      <c r="BB7" s="16">
        <f t="shared" si="15"/>
        <v>0</v>
      </c>
      <c r="BC7" s="24">
        <f>IFERROR(VLOOKUP(H7,#REF!,47,FALSE),IFERROR(VLOOKUP(H7,#REF!,5,FALSE),0)+IFERROR(VLOOKUP(H7,#REF!,5,FALSE),0))</f>
        <v>0</v>
      </c>
      <c r="BD7" s="25">
        <f>IFERROR(VLOOKUP(H7,#REF!,2,FALSE),0)</f>
        <v>0</v>
      </c>
      <c r="BE7" s="25">
        <f>IFERROR(VLOOKUP(H7,#REF!,49,FALSE),0)</f>
        <v>0</v>
      </c>
      <c r="BF7" s="26" t="e">
        <f t="shared" si="5"/>
        <v>#REF!</v>
      </c>
      <c r="BG7" s="26" t="e">
        <f t="shared" si="6"/>
        <v>#REF!</v>
      </c>
      <c r="BH7" s="27">
        <f>AE7+ (AI7-AJ7+AM7+Tableau5617192223242425262827293031333432353620383961719241822254140424344104746[[#This Row],[Int Commandé OT
€]]-Tableau5617192223242425262827293031333432353620383961719241822254140424344104746[[#This Row],[Int Réalisé OT
€]]+AR7) +AY7+BC7</f>
        <v>239</v>
      </c>
      <c r="BI7" s="16" t="e">
        <f t="shared" si="7"/>
        <v>#REF!</v>
      </c>
      <c r="BJ7" s="16" t="e">
        <f t="shared" si="8"/>
        <v>#REF!</v>
      </c>
      <c r="BK7" s="27" t="e">
        <f t="shared" si="9"/>
        <v>#REF!</v>
      </c>
      <c r="BL7" s="26" t="e">
        <f t="shared" si="10"/>
        <v>#REF!</v>
      </c>
      <c r="BM7" s="28">
        <f>IFERROR(VLOOKUP(H7,'[1]2023dec'!H:CA,54,FALSE),105)</f>
        <v>93.023255813953483</v>
      </c>
      <c r="BN7" s="29">
        <v>1</v>
      </c>
      <c r="BO7" s="30" t="e">
        <f>P7-AC7-AG7-AV7-Tableau5617192223242425262827293031333432353620383961719241822254140424344104746[[#This Row],[Provisions pour risques]]</f>
        <v>#REF!</v>
      </c>
      <c r="BP7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7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7" s="33" t="e">
        <f t="shared" si="11"/>
        <v>#REF!</v>
      </c>
      <c r="BS7" s="34" t="e">
        <f>Tableau5617192223242425262827293031333432353620383961719241822254140424344104746[[#This Row],[Consommé global Enregistré à date (€ HT)]]-IFERROR(VLOOKUP(H7,#REF!,50,FALSE),0)</f>
        <v>#REF!</v>
      </c>
      <c r="BT7" s="35" t="e">
        <f t="shared" si="12"/>
        <v>#REF!</v>
      </c>
      <c r="BU7" s="36">
        <f>BD7-IFERROR(VLOOKUP(H7,#REF!,47,FALSE),0)</f>
        <v>0</v>
      </c>
      <c r="BV7" s="37" t="e">
        <f>+BF7+Tableau5617192223242425262827293031333432353620383961719241822254140424344104746[[#This Row],[CA fin N-1]]-IFERROR(VLOOKUP(H7,#REF!,49,FALSE),0)-IFERROR(VLOOKUP(H7,#REF!,50,FALSE),0)</f>
        <v>#REF!</v>
      </c>
      <c r="BW7" s="33" t="e">
        <f>BG7-IFERROR(VLOOKUP(H7,#REF!,51,FALSE),0)</f>
        <v>#REF!</v>
      </c>
      <c r="BX7" s="35" t="e">
        <f t="shared" si="13"/>
        <v>#REF!</v>
      </c>
      <c r="BY7" s="36">
        <f>BD7-IFERROR(VLOOKUP(H7,#REF!,48,FALSE),0)</f>
        <v>0</v>
      </c>
      <c r="BZ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" s="39" t="e">
        <f>VLOOKUP(Tableau5617192223242425262827293031333432353620383961719241822254140424344104746[[#This Row],[Num Projets]],#REF!,1,FALSE)</f>
        <v>#REF!</v>
      </c>
      <c r="CB7" s="40">
        <v>5</v>
      </c>
      <c r="CC7" s="40">
        <v>0</v>
      </c>
      <c r="CD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</v>
      </c>
    </row>
    <row r="8" spans="1:82" ht="13.5" customHeight="1" x14ac:dyDescent="0.25">
      <c r="A8" s="311" t="s">
        <v>15</v>
      </c>
      <c r="B8" s="1"/>
      <c r="C8" s="2" t="e">
        <f>_xlfn.XLOOKUP(Tableau5617192223242425262827293031333432353620383961719241822254140424344104746[[#This Row],[Num Projets]],#REF!,#REF!,FALSE)</f>
        <v>#REF!</v>
      </c>
      <c r="D8" s="3" t="s">
        <v>6</v>
      </c>
      <c r="E8" s="3" t="e">
        <f>_xlfn.XLOOKUP(Tableau5617192223242425262827293031333432353620383961719241822254140424344104746[[#This Row],[Num Projets]],#REF!,#REF!,FALSE)</f>
        <v>#REF!</v>
      </c>
      <c r="F8" s="3" t="s">
        <v>7</v>
      </c>
      <c r="G8" s="3" t="s">
        <v>2</v>
      </c>
      <c r="H8" s="3" t="s">
        <v>16</v>
      </c>
      <c r="I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" s="4" t="e">
        <f>VLOOKUP(Tableau5617192223242425262827293031333432353620383961719241822254140424344104746[[#This Row],[Num Projets]],#REF!,36,FALSE)</f>
        <v>#REF!</v>
      </c>
      <c r="K8" s="5" t="s">
        <v>9</v>
      </c>
      <c r="L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" s="3" t="e">
        <f>SUBSTITUTE(_xlfn.XLOOKUP(Tableau5617192223242425262827293031333432353620383961719241822254140424344104746[[#This Row],[Num Projets]],#REF!,#REF!,FALSE)," ","")</f>
        <v>#REF!</v>
      </c>
      <c r="N8" s="7" t="e">
        <f>VLOOKUP(H8,#REF!,7,FALSE)</f>
        <v>#REF!</v>
      </c>
      <c r="O8" s="7" t="e">
        <f>IF(VLOOKUP(H8,#REF!,27,FALSE)=0,"",VLOOKUP(H8,#REF!,27,FALSE))</f>
        <v>#REF!</v>
      </c>
      <c r="P8" s="8" t="e">
        <f>VLOOKUP(H8,#REF!,2,FALSE)</f>
        <v>#REF!</v>
      </c>
      <c r="Q8" s="9" t="e">
        <f>Tableau5617192223242425262827293031333432353620383961719241822254140424344104746[[#This Row],[Total Budget
€]]-IFERROR(VLOOKUP(H8,#REF!,8,FALSE),0)</f>
        <v>#REF!</v>
      </c>
      <c r="R8" s="10" t="e">
        <f>AD8+AI8+Tableau5617192223242425262827293031333432353620383961719241822254140424344104746[[#This Row],[Int Commandé OT
€]]+AX8</f>
        <v>#REF!</v>
      </c>
      <c r="S8" s="10" t="e">
        <f>AD8+AJ8+Tableau5617192223242425262827293031333432353620383961719241822254140424344104746[[#This Row],[Int Réalisé OT
€]]+AX8</f>
        <v>#REF!</v>
      </c>
      <c r="T8" s="11" t="e">
        <f t="shared" si="2"/>
        <v>#REF!</v>
      </c>
      <c r="U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" s="12">
        <f>IFERROR(VLOOKUP(H8,#REF!,2,FALSE),0)</f>
        <v>0</v>
      </c>
      <c r="X8" s="13">
        <f>IFERROR(VLOOKUP(H8,#REF!,2,FALSE),0)</f>
        <v>0</v>
      </c>
      <c r="Y8" s="13">
        <f>IFERROR(VLOOKUP(H8,#REF!,3,FALSE),0)</f>
        <v>0</v>
      </c>
      <c r="Z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172.5</v>
      </c>
      <c r="AA8" s="13">
        <f>IFERROR(VLOOKUP(H8,#REF!,18,FALSE),0)</f>
        <v>0</v>
      </c>
      <c r="AB8" s="13">
        <f>SUM(X8:Y8)-IFERROR(VLOOKUP(H8,#REF!,16,FALSE),0)-IFERROR(VLOOKUP(H8,#REF!,17,FALSE),0)</f>
        <v>0</v>
      </c>
      <c r="AC8" s="15">
        <f>W8*BM8</f>
        <v>0</v>
      </c>
      <c r="AD8" s="8" t="e">
        <f>(X8*VLOOKUP(H8,#REF!,2,FALSE)+Y8*VLOOKUP(H8,#REF!,3,FALSE))</f>
        <v>#REF!</v>
      </c>
      <c r="AE8" s="8">
        <f t="shared" si="3"/>
        <v>8245.5</v>
      </c>
      <c r="AF8" s="16">
        <f t="shared" si="4"/>
        <v>0</v>
      </c>
      <c r="AG8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8" s="8">
        <f>IFERROR(VLOOKUP(Tableau5617192223242425262827293031333432353620383961719241822254140424344104746[[#This Row],[Num Projets]],#REF!,2,FALSE),0)</f>
        <v>0</v>
      </c>
      <c r="AI8" s="17">
        <f>+IFERROR(VLOOKUP(H8,#REF!,2,FALSE),0)-Tableau5617192223242425262827293031333432353620383961719241822254140424344104746[[#This Row],[Int Commandé OT
€]]</f>
        <v>0</v>
      </c>
      <c r="AJ8" s="8">
        <f>IFERROR(VLOOKUP(H8,#REF!,11,FALSE),0)-IFERROR(VLOOKUP(H8,#REF!,10,FALSE),0)+Tableau5617192223242425262827293031333432353620383961719241822254140424344104746[[#This Row],[dont FNP à date (€ HT)]]</f>
        <v>0</v>
      </c>
      <c r="AK8" s="15">
        <f t="shared" si="14"/>
        <v>0</v>
      </c>
      <c r="AL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" s="19">
        <f>IF(Tableau5617192223242425262827293031333432353620383961719241822254140424344104746[[#This Row],[RAF Achats M-1
€]]=0,0,AN8-AO8)</f>
        <v>0</v>
      </c>
      <c r="AN8" s="8">
        <f>IFERROR(VLOOKUP(H8,#REF!,31,FALSE),0)</f>
        <v>0</v>
      </c>
      <c r="AO8" s="8">
        <f>AI8+-IFERROR(VLOOKUP(H8,#REF!,27,FALSE),0)</f>
        <v>0</v>
      </c>
      <c r="AP8" s="20">
        <f>IFERROR(VLOOKUP(Tableau5617192223242425262827293031333432353620383961719241822254140424344104746[[#This Row],[Num Projets]],#REF!,2,FALSE),0)</f>
        <v>0</v>
      </c>
      <c r="AQ8" s="20">
        <f>_xlfn.XLOOKUP(H8,[2]Synth!$N:$N,[2]Synth!$O:$O,0,FALSE)+_xlfn.XLOOKUP(Tableau5617192223242425262827293031333432353620383961719241822254140424344104746[[#This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" s="21">
        <v>0</v>
      </c>
      <c r="AS8" s="20">
        <f>+IFERROR(VLOOKUP(H8,#REF!,36,FALSE),0)</f>
        <v>0</v>
      </c>
      <c r="AT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" s="22" t="e">
        <f>IF(AG8=0,0,1-((AI8+AM8+Tableau5617192223242425262827293031333432353620383961719241822254140424344104746[[#This Row],[Int Commandé OT
€]]+Tableau5617192223242425262827293031333432353620383961719241822254140424344104746[[#This Row],[RAF Int OT
€]])/AG8))</f>
        <v>#REF!</v>
      </c>
      <c r="AV8" s="8">
        <f>IFERROR(VLOOKUP(H8,#REF!,4,FALSE),0)+IFERROR(VLOOKUP(H8,#REF!,4,FALSE),0)</f>
        <v>0</v>
      </c>
      <c r="AW8" s="8">
        <f>IFERROR(VLOOKUP(Tableau5617192223242425262827293031333432353620383961719241822254140424344104746[[#This Row],[Num Projets]],#REF!,3,FALSE),0)</f>
        <v>0</v>
      </c>
      <c r="AX8" s="20">
        <f>IFERROR(VLOOKUP(Tableau5617192223242425262827293031333432353620383961719241822254140424344104746[[#This Row],[Num Projets]],#REF!,10,FALSE),0)</f>
        <v>0</v>
      </c>
      <c r="AY8" s="23">
        <v>0</v>
      </c>
      <c r="AZ8" s="8">
        <f>IFERROR(VLOOKUP(H8,#REF!,43,FALSE),0)</f>
        <v>0</v>
      </c>
      <c r="BA8" s="8">
        <f>AX8-IFERROR(VLOOKUP(H8,#REF!,42,FALSE),0)</f>
        <v>0</v>
      </c>
      <c r="BB8" s="16">
        <f t="shared" si="15"/>
        <v>0</v>
      </c>
      <c r="BC8" s="24">
        <f>IFERROR(VLOOKUP(H8,#REF!,47,FALSE),IFERROR(VLOOKUP(H8,#REF!,5,FALSE),0)+IFERROR(VLOOKUP(H8,#REF!,5,FALSE),0))</f>
        <v>0</v>
      </c>
      <c r="BD8" s="25">
        <f>IFERROR(VLOOKUP(H8,#REF!,2,FALSE),0)</f>
        <v>0</v>
      </c>
      <c r="BE8" s="25">
        <f>IFERROR(VLOOKUP(H8,#REF!,49,FALSE),0)</f>
        <v>0</v>
      </c>
      <c r="BF8" s="26" t="e">
        <f t="shared" si="5"/>
        <v>#REF!</v>
      </c>
      <c r="BG8" s="26" t="e">
        <f t="shared" si="6"/>
        <v>#REF!</v>
      </c>
      <c r="BH8" s="27">
        <f>AE8+ (AI8-AJ8+AM8+Tableau5617192223242425262827293031333432353620383961719241822254140424344104746[[#This Row],[Int Commandé OT
€]]-Tableau5617192223242425262827293031333432353620383961719241822254140424344104746[[#This Row],[Int Réalisé OT
€]]+AR8) +AY8+BC8</f>
        <v>8245.5</v>
      </c>
      <c r="BI8" s="16" t="e">
        <f t="shared" si="7"/>
        <v>#REF!</v>
      </c>
      <c r="BJ8" s="16" t="e">
        <f t="shared" si="8"/>
        <v>#REF!</v>
      </c>
      <c r="BK8" s="27" t="e">
        <f t="shared" si="9"/>
        <v>#REF!</v>
      </c>
      <c r="BL8" s="26" t="e">
        <f t="shared" si="10"/>
        <v>#REF!</v>
      </c>
      <c r="BM8" s="28">
        <f>IFERROR(VLOOKUP(H8,'[1]2023dec'!H:CA,54,FALSE),105)</f>
        <v>96.351219512195115</v>
      </c>
      <c r="BN8" s="29">
        <v>1</v>
      </c>
      <c r="BO8" s="30" t="e">
        <f>P8-AC8-AG8-AV8-Tableau5617192223242425262827293031333432353620383961719241822254140424344104746[[#This Row],[Provisions pour risques]]</f>
        <v>#REF!</v>
      </c>
      <c r="BP8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8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8" s="33" t="e">
        <f t="shared" si="11"/>
        <v>#REF!</v>
      </c>
      <c r="BS8" s="34" t="e">
        <f>Tableau5617192223242425262827293031333432353620383961719241822254140424344104746[[#This Row],[Consommé global Enregistré à date (€ HT)]]-IFERROR(VLOOKUP(H8,#REF!,50,FALSE),0)</f>
        <v>#REF!</v>
      </c>
      <c r="BT8" s="35" t="e">
        <f t="shared" si="12"/>
        <v>#REF!</v>
      </c>
      <c r="BU8" s="36">
        <f>BD8-IFERROR(VLOOKUP(H8,#REF!,47,FALSE),0)</f>
        <v>0</v>
      </c>
      <c r="BV8" s="37" t="e">
        <f>+BF8+Tableau5617192223242425262827293031333432353620383961719241822254140424344104746[[#This Row],[CA fin N-1]]-IFERROR(VLOOKUP(H8,#REF!,49,FALSE),0)-IFERROR(VLOOKUP(H8,#REF!,50,FALSE),0)</f>
        <v>#REF!</v>
      </c>
      <c r="BW8" s="33" t="e">
        <f>BG8-IFERROR(VLOOKUP(H8,#REF!,51,FALSE),0)</f>
        <v>#REF!</v>
      </c>
      <c r="BX8" s="35" t="e">
        <f t="shared" si="13"/>
        <v>#REF!</v>
      </c>
      <c r="BY8" s="36">
        <f>BD8-IFERROR(VLOOKUP(H8,#REF!,48,FALSE),0)</f>
        <v>0</v>
      </c>
      <c r="BZ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" s="39" t="e">
        <f>VLOOKUP(Tableau5617192223242425262827293031333432353620383961719241822254140424344104746[[#This Row],[Num Projets]],#REF!,1,FALSE)</f>
        <v>#REF!</v>
      </c>
      <c r="CB8" s="40">
        <v>172.5</v>
      </c>
      <c r="CC8" s="40">
        <v>0</v>
      </c>
      <c r="CD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-172.5</v>
      </c>
    </row>
    <row r="9" spans="1:82" ht="13.5" customHeight="1" x14ac:dyDescent="0.25">
      <c r="A9" s="311" t="s">
        <v>17</v>
      </c>
      <c r="B9" s="43"/>
      <c r="C9" s="2" t="e">
        <f>_xlfn.XLOOKUP(Tableau5617192223242425262827293031333432353620383961719241822254140424344104746[[#This Row],[Num Projets]],#REF!,#REF!,FALSE)</f>
        <v>#REF!</v>
      </c>
      <c r="D9" s="3" t="s">
        <v>6</v>
      </c>
      <c r="E9" s="3" t="e">
        <f>_xlfn.XLOOKUP(Tableau5617192223242425262827293031333432353620383961719241822254140424344104746[[#This Row],[Num Projets]],#REF!,#REF!,FALSE)</f>
        <v>#REF!</v>
      </c>
      <c r="F9" s="3" t="s">
        <v>7</v>
      </c>
      <c r="G9" s="3" t="s">
        <v>2</v>
      </c>
      <c r="H9" s="3" t="s">
        <v>18</v>
      </c>
      <c r="I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" s="4" t="e">
        <f>VLOOKUP(Tableau5617192223242425262827293031333432353620383961719241822254140424344104746[[#This Row],[Num Projets]],#REF!,36,FALSE)</f>
        <v>#REF!</v>
      </c>
      <c r="K9" s="5" t="s">
        <v>9</v>
      </c>
      <c r="L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" s="3" t="e">
        <f>SUBSTITUTE(_xlfn.XLOOKUP(Tableau5617192223242425262827293031333432353620383961719241822254140424344104746[[#This Row],[Num Projets]],#REF!,#REF!,FALSE)," ","")</f>
        <v>#REF!</v>
      </c>
      <c r="N9" s="7" t="e">
        <f>VLOOKUP(H9,#REF!,7,FALSE)</f>
        <v>#REF!</v>
      </c>
      <c r="O9" s="7" t="e">
        <f>IF(VLOOKUP(H9,#REF!,27,FALSE)=0,"",VLOOKUP(H9,#REF!,27,FALSE))</f>
        <v>#REF!</v>
      </c>
      <c r="P9" s="8" t="e">
        <f>VLOOKUP(H9,#REF!,2,FALSE)</f>
        <v>#REF!</v>
      </c>
      <c r="Q9" s="9" t="e">
        <f>Tableau5617192223242425262827293031333432353620383961719241822254140424344104746[[#This Row],[Total Budget
€]]-IFERROR(VLOOKUP(H9,#REF!,8,FALSE),0)</f>
        <v>#REF!</v>
      </c>
      <c r="R9" s="10" t="e">
        <f>AD9+AI9+Tableau5617192223242425262827293031333432353620383961719241822254140424344104746[[#This Row],[Int Commandé OT
€]]+AX9</f>
        <v>#REF!</v>
      </c>
      <c r="S9" s="10" t="e">
        <f>AD9+AJ9+Tableau5617192223242425262827293031333432353620383961719241822254140424344104746[[#This Row],[Int Réalisé OT
€]]+AX9</f>
        <v>#REF!</v>
      </c>
      <c r="T9" s="11" t="e">
        <f t="shared" si="2"/>
        <v>#REF!</v>
      </c>
      <c r="U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" s="12">
        <f>IFERROR(VLOOKUP(H9,#REF!,2,FALSE),0)</f>
        <v>0</v>
      </c>
      <c r="X9" s="13">
        <f>IFERROR(VLOOKUP(H9,#REF!,2,FALSE),0)</f>
        <v>0</v>
      </c>
      <c r="Y9" s="13">
        <f>IFERROR(VLOOKUP(H9,#REF!,3,FALSE),0)</f>
        <v>0</v>
      </c>
      <c r="Z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32.5</v>
      </c>
      <c r="AA9" s="13">
        <f>IFERROR(VLOOKUP(H9,#REF!,18,FALSE),0)</f>
        <v>0</v>
      </c>
      <c r="AB9" s="13">
        <f>SUM(X9:Y9)-IFERROR(VLOOKUP(H9,#REF!,16,FALSE),0)-IFERROR(VLOOKUP(H9,#REF!,17,FALSE),0)</f>
        <v>0</v>
      </c>
      <c r="AC9" s="15">
        <f>W9*BM9</f>
        <v>0</v>
      </c>
      <c r="AD9" s="8" t="e">
        <f>(X9*VLOOKUP(H9,#REF!,2,FALSE)+Y9*VLOOKUP(H9,#REF!,3,FALSE))</f>
        <v>#REF!</v>
      </c>
      <c r="AE9" s="8">
        <f t="shared" si="3"/>
        <v>1553.5</v>
      </c>
      <c r="AF9" s="16">
        <f t="shared" si="4"/>
        <v>0</v>
      </c>
      <c r="AG9" s="8">
        <f>IFERROR(VLOOKUP(H9,#REF!,3,FALSE),0)+IFERROR(VLOOKUP(H9,#REF!,3,FALSE),0)</f>
        <v>0</v>
      </c>
      <c r="AH9" s="8">
        <f>IFERROR(VLOOKUP(Tableau5617192223242425262827293031333432353620383961719241822254140424344104746[[#This Row],[Num Projets]],#REF!,2,FALSE),0)</f>
        <v>0</v>
      </c>
      <c r="AI9" s="17">
        <f>+IFERROR(VLOOKUP(H9,#REF!,2,FALSE),0)-Tableau5617192223242425262827293031333432353620383961719241822254140424344104746[[#This Row],[Int Commandé OT
€]]</f>
        <v>0</v>
      </c>
      <c r="AJ9" s="8">
        <f>IFERROR(VLOOKUP(H9,#REF!,11,FALSE),0)-IFERROR(VLOOKUP(H9,#REF!,10,FALSE),0)+Tableau5617192223242425262827293031333432353620383961719241822254140424344104746[[#This Row],[dont FNP à date (€ HT)]]</f>
        <v>0</v>
      </c>
      <c r="AK9" s="15">
        <f t="shared" si="14"/>
        <v>0</v>
      </c>
      <c r="AL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" s="19">
        <f>IF(Tableau5617192223242425262827293031333432353620383961719241822254140424344104746[[#This Row],[RAF Achats M-1
€]]=0,0,AN9-AO9)</f>
        <v>0</v>
      </c>
      <c r="AN9" s="8">
        <f>IFERROR(VLOOKUP(H9,#REF!,31,FALSE),0)</f>
        <v>0</v>
      </c>
      <c r="AO9" s="8">
        <f>AI9+-IFERROR(VLOOKUP(H9,#REF!,27,FALSE),0)</f>
        <v>0</v>
      </c>
      <c r="AP9" s="20">
        <f>IFERROR(VLOOKUP(Tableau5617192223242425262827293031333432353620383961719241822254140424344104746[[#This Row],[Num Projets]],#REF!,2,FALSE),0)</f>
        <v>0</v>
      </c>
      <c r="AQ9" s="20">
        <f>_xlfn.XLOOKUP(H9,[2]Synth!$N:$N,[2]Synth!$O:$O,0,FALSE)+_xlfn.XLOOKUP(Tableau5617192223242425262827293031333432353620383961719241822254140424344104746[[#This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" s="21">
        <v>0</v>
      </c>
      <c r="AS9" s="20">
        <f>+IFERROR(VLOOKUP(H9,#REF!,36,FALSE),0)</f>
        <v>0</v>
      </c>
      <c r="AT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" s="22">
        <f>IF(AG9=0,0,1-((AI9+AM9+Tableau5617192223242425262827293031333432353620383961719241822254140424344104746[[#This Row],[Int Commandé OT
€]]+Tableau5617192223242425262827293031333432353620383961719241822254140424344104746[[#This Row],[RAF Int OT
€]])/AG9))</f>
        <v>0</v>
      </c>
      <c r="AV9" s="8">
        <f>IFERROR(VLOOKUP(H9,#REF!,4,FALSE),0)+IFERROR(VLOOKUP(H9,#REF!,4,FALSE),0)</f>
        <v>0</v>
      </c>
      <c r="AW9" s="8">
        <f>IFERROR(VLOOKUP(Tableau5617192223242425262827293031333432353620383961719241822254140424344104746[[#This Row],[Num Projets]],#REF!,3,FALSE),0)</f>
        <v>0</v>
      </c>
      <c r="AX9" s="20">
        <f>IFERROR(VLOOKUP(Tableau5617192223242425262827293031333432353620383961719241822254140424344104746[[#This Row],[Num Projets]],#REF!,10,FALSE),0)</f>
        <v>0</v>
      </c>
      <c r="AY9" s="23">
        <f>Tableau5617192223242425262827293031333432353620383961719241822254140424344104746[[#This Row],[Budget Mission
 €]]/1.2-AX9</f>
        <v>0</v>
      </c>
      <c r="AZ9" s="8">
        <f>IFERROR(VLOOKUP(H9,#REF!,43,FALSE),0)</f>
        <v>0</v>
      </c>
      <c r="BA9" s="8">
        <f>AX9-IFERROR(VLOOKUP(H9,#REF!,42,FALSE),0)</f>
        <v>0</v>
      </c>
      <c r="BB9" s="16">
        <f t="shared" si="15"/>
        <v>0</v>
      </c>
      <c r="BC9" s="24">
        <f>IFERROR(VLOOKUP(H9,#REF!,47,FALSE),IFERROR(VLOOKUP(H9,#REF!,5,FALSE),0)+IFERROR(VLOOKUP(H9,#REF!,5,FALSE),0))</f>
        <v>0</v>
      </c>
      <c r="BD9" s="25">
        <f>IFERROR(VLOOKUP(H9,#REF!,2,FALSE),0)</f>
        <v>0</v>
      </c>
      <c r="BE9" s="25">
        <f>IFERROR(VLOOKUP(H9,#REF!,49,FALSE),0)</f>
        <v>0</v>
      </c>
      <c r="BF9" s="26" t="e">
        <f t="shared" si="5"/>
        <v>#REF!</v>
      </c>
      <c r="BG9" s="26" t="e">
        <f t="shared" si="6"/>
        <v>#REF!</v>
      </c>
      <c r="BH9" s="27">
        <f>AE9+ (AI9-AJ9+AM9+Tableau5617192223242425262827293031333432353620383961719241822254140424344104746[[#This Row],[Int Commandé OT
€]]-Tableau5617192223242425262827293031333432353620383961719241822254140424344104746[[#This Row],[Int Réalisé OT
€]]+AR9) +AY9+BC9</f>
        <v>1553.5</v>
      </c>
      <c r="BI9" s="16" t="e">
        <f t="shared" si="7"/>
        <v>#REF!</v>
      </c>
      <c r="BJ9" s="16" t="e">
        <f t="shared" si="8"/>
        <v>#REF!</v>
      </c>
      <c r="BK9" s="27" t="e">
        <f t="shared" si="9"/>
        <v>#REF!</v>
      </c>
      <c r="BL9" s="26" t="e">
        <f t="shared" si="10"/>
        <v>#REF!</v>
      </c>
      <c r="BM9" s="28">
        <f>IFERROR(VLOOKUP(H9,'[1]2023dec'!H:CA,54,FALSE),105)</f>
        <v>96.0061444006149</v>
      </c>
      <c r="BN9" s="29" t="e">
        <f>Tableau5617192223242425262827293031333432353620383961719241822254140424344104746[[#This Row],[Avancement Global Financier basé sur Enregistré à date (%)]]</f>
        <v>#REF!</v>
      </c>
      <c r="BO9" s="30" t="e">
        <f>P9-AC9-AG9-AV9-Tableau5617192223242425262827293031333432353620383961719241822254140424344104746[[#This Row],[Provisions pour risques]]</f>
        <v>#REF!</v>
      </c>
      <c r="BP9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9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9" s="33" t="e">
        <f t="shared" si="11"/>
        <v>#REF!</v>
      </c>
      <c r="BS9" s="34" t="e">
        <f>Tableau5617192223242425262827293031333432353620383961719241822254140424344104746[[#This Row],[Consommé global Enregistré à date (€ HT)]]-IFERROR(VLOOKUP(H9,#REF!,50,FALSE),0)</f>
        <v>#REF!</v>
      </c>
      <c r="BT9" s="35" t="e">
        <f t="shared" si="12"/>
        <v>#REF!</v>
      </c>
      <c r="BU9" s="36">
        <f>BD9-IFERROR(VLOOKUP(H9,#REF!,47,FALSE),0)</f>
        <v>0</v>
      </c>
      <c r="BV9" s="37" t="e">
        <f>+BF9+Tableau5617192223242425262827293031333432353620383961719241822254140424344104746[[#This Row],[CA fin N-1]]-IFERROR(VLOOKUP(H9,#REF!,49,FALSE),0)-IFERROR(VLOOKUP(H9,#REF!,50,FALSE),0)</f>
        <v>#REF!</v>
      </c>
      <c r="BW9" s="33" t="e">
        <f>BG9-IFERROR(VLOOKUP(H9,#REF!,51,FALSE),0)</f>
        <v>#REF!</v>
      </c>
      <c r="BX9" s="35" t="e">
        <f t="shared" si="13"/>
        <v>#REF!</v>
      </c>
      <c r="BY9" s="36">
        <f>BD9-IFERROR(VLOOKUP(H9,#REF!,48,FALSE),0)</f>
        <v>0</v>
      </c>
      <c r="BZ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" s="39" t="e">
        <f>VLOOKUP(Tableau5617192223242425262827293031333432353620383961719241822254140424344104746[[#This Row],[Num Projets]],#REF!,1,FALSE)</f>
        <v>#REF!</v>
      </c>
      <c r="CB9" s="40">
        <v>32.5</v>
      </c>
      <c r="CC9" s="40">
        <v>0</v>
      </c>
      <c r="CD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-32.5</v>
      </c>
    </row>
    <row r="10" spans="1:82" ht="13.5" customHeight="1" x14ac:dyDescent="0.25">
      <c r="A10" s="312" t="s">
        <v>19</v>
      </c>
      <c r="B10" s="1"/>
      <c r="C10" s="2" t="e">
        <f>_xlfn.XLOOKUP(Tableau5617192223242425262827293031333432353620383961719241822254140424344104746[[#This Row],[Num Projets]],#REF!,#REF!,FALSE)</f>
        <v>#REF!</v>
      </c>
      <c r="D10" s="3" t="s">
        <v>1</v>
      </c>
      <c r="E10" s="3" t="e">
        <f>_xlfn.XLOOKUP(Tableau5617192223242425262827293031333432353620383961719241822254140424344104746[[#This Row],[Num Projets]],#REF!,#REF!,FALSE)</f>
        <v>#REF!</v>
      </c>
      <c r="F10" s="3" t="e">
        <f>_xlfn.XLOOKUP(Tableau5617192223242425262827293031333432353620383961719241822254140424344104746[[#This Row],[Num Projets]],#REF!,#REF!,"newavr",0)</f>
        <v>#REF!</v>
      </c>
      <c r="G10" s="44" t="s">
        <v>2</v>
      </c>
      <c r="H10" s="3" t="s">
        <v>20</v>
      </c>
      <c r="I1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" s="4" t="e">
        <f>VLOOKUP(Tableau5617192223242425262827293031333432353620383961719241822254140424344104746[[#This Row],[Num Projets]],#REF!,36,FALSE)</f>
        <v>#REF!</v>
      </c>
      <c r="K10" s="45" t="s">
        <v>21</v>
      </c>
      <c r="L1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" s="44" t="e">
        <f>SUBSTITUTE(_xlfn.XLOOKUP(Tableau5617192223242425262827293031333432353620383961719241822254140424344104746[[#This Row],[Num Projets]],#REF!,#REF!,FALSE)," ","")</f>
        <v>#REF!</v>
      </c>
      <c r="N10" s="7" t="e">
        <f>VLOOKUP(H10,#REF!,7,FALSE)</f>
        <v>#REF!</v>
      </c>
      <c r="O10" s="7" t="e">
        <f>IF(VLOOKUP(H10,#REF!,27,FALSE)=0,"",VLOOKUP(H10,#REF!,27,FALSE))</f>
        <v>#REF!</v>
      </c>
      <c r="P10" s="8">
        <f>Tableau5617192223242425262827293031333432353620383961719241822254140424344104746[[#This Row],[Facturation globale projet à date (€ HT) ]]</f>
        <v>0</v>
      </c>
      <c r="Q10" s="9">
        <f>Tableau5617192223242425262827293031333432353620383961719241822254140424344104746[[#This Row],[Total Budget
€]]-IFERROR(VLOOKUP(H10,#REF!,8,FALSE),0)</f>
        <v>0</v>
      </c>
      <c r="R10" s="15" t="e">
        <f>AD10+AI10+Tableau5617192223242425262827293031333432353620383961719241822254140424344104746[[#This Row],[Int Commandé OT
€]]+AX10</f>
        <v>#REF!</v>
      </c>
      <c r="S10" s="10" t="e">
        <f>AD10+AJ10+Tableau5617192223242425262827293031333432353620383961719241822254140424344104746[[#This Row],[Int Réalisé OT
€]]+AX10</f>
        <v>#REF!</v>
      </c>
      <c r="T10" s="22">
        <f t="shared" si="2"/>
        <v>0</v>
      </c>
      <c r="U10" s="11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0</v>
      </c>
      <c r="V10" s="11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0</v>
      </c>
      <c r="W10" s="8">
        <f>IFERROR(VLOOKUP(H10,#REF!,2,FALSE),0)</f>
        <v>0</v>
      </c>
      <c r="X10" s="15">
        <f>IFERROR(VLOOKUP(H10,#REF!,2,FALSE),0)</f>
        <v>0</v>
      </c>
      <c r="Y10" s="15">
        <f>IFERROR(VLOOKUP(H10,#REF!,3,FALSE),0)</f>
        <v>0</v>
      </c>
      <c r="Z1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1970.5</v>
      </c>
      <c r="AA10" s="15">
        <f>IFERROR(VLOOKUP(H10,#REF!,18,FALSE),0)</f>
        <v>0</v>
      </c>
      <c r="AB10" s="15">
        <f>SUM(X10:Y10)-IFERROR(VLOOKUP(H10,#REF!,16,FALSE),0)-IFERROR(VLOOKUP(H10,#REF!,17,FALSE),0)</f>
        <v>0</v>
      </c>
      <c r="AC10" s="15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0</v>
      </c>
      <c r="AD10" s="46" t="e">
        <f>(X10*VLOOKUP(H10,#REF!,2,FALSE)+Y10*VLOOKUP(H10,#REF!,3,FALSE))</f>
        <v>#REF!</v>
      </c>
      <c r="AE10" s="46">
        <f t="shared" si="3"/>
        <v>94189.9</v>
      </c>
      <c r="AF10" s="47">
        <f t="shared" si="4"/>
        <v>0</v>
      </c>
      <c r="AG10" s="8">
        <f>IFERROR(VLOOKUP(H10,#REF!,3,FALSE),0)+IFERROR(VLOOKUP(H10,#REF!,3,FALSE),0)</f>
        <v>0</v>
      </c>
      <c r="AH10" s="8">
        <f>IFERROR(VLOOKUP(Tableau5617192223242425262827293031333432353620383961719241822254140424344104746[[#This Row],[Num Projets]],#REF!,2,FALSE),0)</f>
        <v>0</v>
      </c>
      <c r="AI10" s="48">
        <f>+IFERROR(VLOOKUP(H10,#REF!,2,FALSE),0)-Tableau5617192223242425262827293031333432353620383961719241822254140424344104746[[#This Row],[Int Commandé OT
€]]-10590.32</f>
        <v>-10590.32</v>
      </c>
      <c r="AJ10" s="8">
        <f>IFERROR(VLOOKUP(H10,#REF!,11,FALSE),0)-IFERROR(VLOOKUP(H10,#REF!,10,FALSE),0)+Tableau5617192223242425262827293031333432353620383961719241822254140424344104746[[#This Row],[dont FNP à date (€ HT)]]</f>
        <v>192.12</v>
      </c>
      <c r="AK10" s="23">
        <f t="shared" si="14"/>
        <v>-10782.44</v>
      </c>
      <c r="AL10" s="49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192.12</v>
      </c>
      <c r="AM10" s="19">
        <f>IF(Tableau5617192223242425262827293031333432353620383961719241822254140424344104746[[#This Row],[RAF Achats M-1
€]]=0,0,AN10-AO10)</f>
        <v>0</v>
      </c>
      <c r="AN10" s="8">
        <f>IFERROR(VLOOKUP(H10,#REF!,31,FALSE),0)</f>
        <v>0</v>
      </c>
      <c r="AO10" s="8">
        <f>AI10+-IFERROR(VLOOKUP(H10,#REF!,27,FALSE),0)</f>
        <v>-10590.32</v>
      </c>
      <c r="AP10" s="20">
        <f>IFERROR(VLOOKUP(Tableau5617192223242425262827293031333432353620383961719241822254140424344104746[[#This Row],[Num Projets]],#REF!,2,FALSE),0)</f>
        <v>0</v>
      </c>
      <c r="AQ10" s="20">
        <f>_xlfn.XLOOKUP(H10,[2]Synth!$N:$N,[2]Synth!$O:$O,0,FALSE)+_xlfn.XLOOKUP(Tableau5617192223242425262827293031333432353620383961719241822254140424344104746[[#This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195.25</v>
      </c>
      <c r="AR10" s="21">
        <v>0</v>
      </c>
      <c r="AS10" s="20">
        <f>+IFERROR(VLOOKUP(H10,#REF!,36,FALSE),0)</f>
        <v>0</v>
      </c>
      <c r="AT1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" s="22">
        <f>IF(AG10=0,0,1-((AI10+AM10+Tableau5617192223242425262827293031333432353620383961719241822254140424344104746[[#This Row],[Int Commandé OT
€]]+Tableau5617192223242425262827293031333432353620383961719241822254140424344104746[[#This Row],[RAF Int OT
€]])/AG10))</f>
        <v>0</v>
      </c>
      <c r="AV10" s="8">
        <f>IFERROR(VLOOKUP(H10,#REF!,4,FALSE),0)+IFERROR(VLOOKUP(H10,#REF!,4,FALSE),0)</f>
        <v>0</v>
      </c>
      <c r="AW10" s="46">
        <f>IFERROR(VLOOKUP(Tableau5617192223242425262827293031333432353620383961719241822254140424344104746[[#This Row],[Num Projets]],#REF!,3,FALSE),0)</f>
        <v>0</v>
      </c>
      <c r="AX10" s="20">
        <f>IFERROR(VLOOKUP(Tableau5617192223242425262827293031333432353620383961719241822254140424344104746[[#This Row],[Num Projets]],#REF!,10,FALSE),0)</f>
        <v>0</v>
      </c>
      <c r="AY10" s="23">
        <v>0</v>
      </c>
      <c r="AZ10" s="8">
        <f>IFERROR(VLOOKUP(H10,#REF!,43,FALSE),0)</f>
        <v>0</v>
      </c>
      <c r="BA10" s="8">
        <f>AX10-IFERROR(VLOOKUP(H10,#REF!,42,FALSE),0)</f>
        <v>0</v>
      </c>
      <c r="BB10" s="47">
        <f t="shared" si="15"/>
        <v>0</v>
      </c>
      <c r="BC10" s="24">
        <f>IFERROR(VLOOKUP(H10,#REF!,47,FALSE),IFERROR(VLOOKUP(H10,#REF!,5,FALSE),0)+IFERROR(VLOOKUP(H10,#REF!,5,FALSE),0))</f>
        <v>0</v>
      </c>
      <c r="BD10" s="25">
        <f>IFERROR(VLOOKUP(H10,#REF!,2,FALSE),0)</f>
        <v>0</v>
      </c>
      <c r="BE10" s="25">
        <f>IFERROR(VLOOKUP(H10,#REF!,49,FALSE),0)</f>
        <v>0</v>
      </c>
      <c r="BF10" s="50" t="e">
        <f t="shared" si="5"/>
        <v>#REF!</v>
      </c>
      <c r="BG10" s="50" t="e">
        <f t="shared" si="6"/>
        <v>#REF!</v>
      </c>
      <c r="BH10" s="51">
        <f>AE10+ (AI10-AJ10+AM10+Tableau5617192223242425262827293031333432353620383961719241822254140424344104746[[#This Row],[Int Commandé OT
€]]-Tableau5617192223242425262827293031333432353620383961719241822254140424344104746[[#This Row],[Int Réalisé OT
€]]+AR10) +AY10+BC10</f>
        <v>83212.209999999992</v>
      </c>
      <c r="BI10" s="47" t="e">
        <f t="shared" si="7"/>
        <v>#REF!</v>
      </c>
      <c r="BJ10" s="47">
        <f t="shared" si="8"/>
        <v>0</v>
      </c>
      <c r="BK10" s="52" t="e">
        <f t="shared" si="9"/>
        <v>#REF!</v>
      </c>
      <c r="BL10" s="53" t="e">
        <f t="shared" si="10"/>
        <v>#REF!</v>
      </c>
      <c r="BM10" s="54">
        <f>IFERROR(VLOOKUP(H10,'[1]2023dec'!H:CA,54,FALSE),105)</f>
        <v>95.040000000380161</v>
      </c>
      <c r="BN10" s="29">
        <v>1</v>
      </c>
      <c r="BO10" s="30">
        <f>P10-AC10-AG10-AV10-Tableau5617192223242425262827293031333432353620383961719241822254140424344104746[[#This Row],[Provisions pour risques]]</f>
        <v>0</v>
      </c>
      <c r="BP10" s="55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0" s="56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0" s="57" t="e">
        <f t="shared" si="11"/>
        <v>#REF!</v>
      </c>
      <c r="BS10" s="58" t="e">
        <f>Tableau5617192223242425262827293031333432353620383961719241822254140424344104746[[#This Row],[Consommé global Enregistré à date (€ HT)]]-IFERROR(VLOOKUP(H10,#REF!,50,FALSE),0)</f>
        <v>#REF!</v>
      </c>
      <c r="BT10" s="59" t="e">
        <f t="shared" si="12"/>
        <v>#REF!</v>
      </c>
      <c r="BU10" s="60">
        <f>BD10-IFERROR(VLOOKUP(H10,#REF!,47,FALSE),0)</f>
        <v>0</v>
      </c>
      <c r="BV10" s="37" t="e">
        <f>+BF10+Tableau5617192223242425262827293031333432353620383961719241822254140424344104746[[#This Row],[CA fin N-1]]-IFERROR(VLOOKUP(H10,#REF!,49,FALSE),0)-IFERROR(VLOOKUP(H10,#REF!,50,FALSE),0)</f>
        <v>#REF!</v>
      </c>
      <c r="BW10" s="57" t="e">
        <f>BG10-IFERROR(VLOOKUP(H10,#REF!,51,FALSE),0)</f>
        <v>#REF!</v>
      </c>
      <c r="BX10" s="59" t="e">
        <f t="shared" si="13"/>
        <v>#REF!</v>
      </c>
      <c r="BY10" s="60">
        <f>BD10-IFERROR(VLOOKUP(H10,#REF!,48,FALSE),0)</f>
        <v>0</v>
      </c>
      <c r="BZ10" s="61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" s="39" t="e">
        <f>VLOOKUP(Tableau5617192223242425262827293031333432353620383961719241822254140424344104746[[#This Row],[Num Projets]],#REF!,1,FALSE)</f>
        <v>#REF!</v>
      </c>
      <c r="CB10" s="40">
        <v>1970.5</v>
      </c>
      <c r="CC10" s="40">
        <v>0</v>
      </c>
      <c r="CD1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-1970.5</v>
      </c>
    </row>
    <row r="11" spans="1:82" ht="13.5" customHeight="1" x14ac:dyDescent="0.25">
      <c r="A11" s="311" t="s">
        <v>22</v>
      </c>
      <c r="B11" s="1"/>
      <c r="C11" s="2" t="e">
        <f>_xlfn.XLOOKUP(Tableau5617192223242425262827293031333432353620383961719241822254140424344104746[[#This Row],[Num Projets]],#REF!,#REF!,FALSE)</f>
        <v>#REF!</v>
      </c>
      <c r="D11" s="3" t="s">
        <v>6</v>
      </c>
      <c r="E11" s="3" t="e">
        <f>_xlfn.XLOOKUP(Tableau5617192223242425262827293031333432353620383961719241822254140424344104746[[#This Row],[Num Projets]],#REF!,#REF!,FALSE)</f>
        <v>#REF!</v>
      </c>
      <c r="F11" s="3" t="s">
        <v>7</v>
      </c>
      <c r="G11" s="3" t="s">
        <v>2</v>
      </c>
      <c r="H11" s="3" t="s">
        <v>23</v>
      </c>
      <c r="I1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" s="4" t="e">
        <f>VLOOKUP(Tableau5617192223242425262827293031333432353620383961719241822254140424344104746[[#This Row],[Num Projets]],#REF!,36,FALSE)</f>
        <v>#REF!</v>
      </c>
      <c r="K11" s="5" t="s">
        <v>9</v>
      </c>
      <c r="L1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" s="3" t="e">
        <f>SUBSTITUTE(_xlfn.XLOOKUP(Tableau5617192223242425262827293031333432353620383961719241822254140424344104746[[#This Row],[Num Projets]],#REF!,#REF!,FALSE)," ","")</f>
        <v>#REF!</v>
      </c>
      <c r="N11" s="7" t="e">
        <f>VLOOKUP(H11,#REF!,7,FALSE)</f>
        <v>#REF!</v>
      </c>
      <c r="O11" s="7" t="e">
        <f>IF(VLOOKUP(H11,#REF!,27,FALSE)=0,"",VLOOKUP(H11,#REF!,27,FALSE))</f>
        <v>#REF!</v>
      </c>
      <c r="P11" s="8" t="e">
        <f>VLOOKUP(H11,#REF!,2,FALSE)</f>
        <v>#REF!</v>
      </c>
      <c r="Q11" s="9" t="e">
        <f>Tableau5617192223242425262827293031333432353620383961719241822254140424344104746[[#This Row],[Total Budget
€]]-IFERROR(VLOOKUP(H11,#REF!,8,FALSE),0)</f>
        <v>#REF!</v>
      </c>
      <c r="R11" s="10" t="e">
        <f>AD11+AI11+Tableau5617192223242425262827293031333432353620383961719241822254140424344104746[[#This Row],[Int Commandé OT
€]]+AX11</f>
        <v>#REF!</v>
      </c>
      <c r="S11" s="10" t="e">
        <f>AD11+AJ11+Tableau5617192223242425262827293031333432353620383961719241822254140424344104746[[#This Row],[Int Réalisé OT
€]]+AX11</f>
        <v>#REF!</v>
      </c>
      <c r="T11" s="11" t="e">
        <f t="shared" si="2"/>
        <v>#REF!</v>
      </c>
      <c r="U1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" s="12">
        <f>IFERROR(VLOOKUP(H11,#REF!,2,FALSE),0)</f>
        <v>0</v>
      </c>
      <c r="X11" s="13">
        <f>IFERROR(VLOOKUP(H11,#REF!,2,FALSE),0)</f>
        <v>0</v>
      </c>
      <c r="Y11" s="13">
        <f>IFERROR(VLOOKUP(H11,#REF!,3,FALSE),0)</f>
        <v>0</v>
      </c>
      <c r="Z1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418.5</v>
      </c>
      <c r="AA11" s="13">
        <f>IFERROR(VLOOKUP(H11,#REF!,18,FALSE),0)</f>
        <v>0</v>
      </c>
      <c r="AB11" s="13">
        <f>SUM(X11:Y11)-IFERROR(VLOOKUP(H11,#REF!,16,FALSE),0)-IFERROR(VLOOKUP(H11,#REF!,17,FALSE),0)</f>
        <v>0</v>
      </c>
      <c r="AC11" s="15">
        <f>W11*BM11</f>
        <v>0</v>
      </c>
      <c r="AD11" s="8" t="e">
        <f>(X11*VLOOKUP(H11,#REF!,2,FALSE)+Y11*VLOOKUP(H11,#REF!,3,FALSE))</f>
        <v>#REF!</v>
      </c>
      <c r="AE11" s="8">
        <f t="shared" si="3"/>
        <v>20004.3</v>
      </c>
      <c r="AF11" s="16">
        <f t="shared" si="4"/>
        <v>0</v>
      </c>
      <c r="AG11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11" s="8">
        <f>IFERROR(VLOOKUP(Tableau5617192223242425262827293031333432353620383961719241822254140424344104746[[#This Row],[Num Projets]],#REF!,2,FALSE),0)</f>
        <v>0</v>
      </c>
      <c r="AI11" s="17">
        <f>+IFERROR(VLOOKUP(H11,#REF!,2,FALSE),0)-Tableau5617192223242425262827293031333432353620383961719241822254140424344104746[[#This Row],[Int Commandé OT
€]]</f>
        <v>0</v>
      </c>
      <c r="AJ11" s="8">
        <f>IFERROR(VLOOKUP(H11,#REF!,11,FALSE),0)-IFERROR(VLOOKUP(H11,#REF!,10,FALSE),0)+Tableau5617192223242425262827293031333432353620383961719241822254140424344104746[[#This Row],[dont FNP à date (€ HT)]]</f>
        <v>0</v>
      </c>
      <c r="AK11" s="15">
        <f t="shared" si="14"/>
        <v>0</v>
      </c>
      <c r="AL1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" s="19">
        <v>0</v>
      </c>
      <c r="AN11" s="8">
        <f>IFERROR(VLOOKUP(H11,#REF!,31,FALSE),0)</f>
        <v>0</v>
      </c>
      <c r="AO11" s="8">
        <f>AI11+-IFERROR(VLOOKUP(H11,#REF!,27,FALSE),0)</f>
        <v>0</v>
      </c>
      <c r="AP11" s="20">
        <f>IFERROR(VLOOKUP(Tableau5617192223242425262827293031333432353620383961719241822254140424344104746[[#This Row],[Num Projets]],#REF!,2,FALSE),0)</f>
        <v>0</v>
      </c>
      <c r="AQ11" s="20">
        <f>_xlfn.XLOOKUP(H11,[2]Synth!$N:$N,[2]Synth!$O:$O,0,FALSE)+_xlfn.XLOOKUP(Tableau5617192223242425262827293031333432353620383961719241822254140424344104746[[#This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" s="21">
        <v>0</v>
      </c>
      <c r="AS11" s="20">
        <f>+IFERROR(VLOOKUP(H11,#REF!,36,FALSE),0)</f>
        <v>0</v>
      </c>
      <c r="AT1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" s="22" t="e">
        <f>IF(AG11=0,0,1-((AI11+AM11+Tableau5617192223242425262827293031333432353620383961719241822254140424344104746[[#This Row],[Int Commandé OT
€]]+Tableau5617192223242425262827293031333432353620383961719241822254140424344104746[[#This Row],[RAF Int OT
€]])/AG11))</f>
        <v>#REF!</v>
      </c>
      <c r="AV11" s="8">
        <f>IFERROR(VLOOKUP(H11,#REF!,4,FALSE),0)+IFERROR(VLOOKUP(H11,#REF!,4,FALSE),0)</f>
        <v>0</v>
      </c>
      <c r="AW11" s="8">
        <f>IFERROR(VLOOKUP(Tableau5617192223242425262827293031333432353620383961719241822254140424344104746[[#This Row],[Num Projets]],#REF!,3,FALSE),0)</f>
        <v>0</v>
      </c>
      <c r="AX11" s="20">
        <f>IFERROR(VLOOKUP(Tableau5617192223242425262827293031333432353620383961719241822254140424344104746[[#This Row],[Num Projets]],#REF!,10,FALSE),0)</f>
        <v>0</v>
      </c>
      <c r="AY11" s="23">
        <f>Tableau5617192223242425262827293031333432353620383961719241822254140424344104746[[#This Row],[Budget Mission
 €]]/1.2-AX11</f>
        <v>0</v>
      </c>
      <c r="AZ11" s="8">
        <f>IFERROR(VLOOKUP(H11,#REF!,43,FALSE),0)</f>
        <v>0</v>
      </c>
      <c r="BA11" s="8">
        <f>AX11-IFERROR(VLOOKUP(H11,#REF!,42,FALSE),0)</f>
        <v>0</v>
      </c>
      <c r="BB11" s="16">
        <f t="shared" si="15"/>
        <v>0</v>
      </c>
      <c r="BC11" s="24">
        <f>IFERROR(VLOOKUP(H11,#REF!,47,FALSE),IFERROR(VLOOKUP(H11,#REF!,5,FALSE),0)+IFERROR(VLOOKUP(H11,#REF!,5,FALSE),0))</f>
        <v>0</v>
      </c>
      <c r="BD11" s="25">
        <f>IFERROR(VLOOKUP(H11,#REF!,2,FALSE),0)</f>
        <v>0</v>
      </c>
      <c r="BE11" s="25">
        <f>IFERROR(VLOOKUP(H11,#REF!,49,FALSE),0)</f>
        <v>0</v>
      </c>
      <c r="BF11" s="26" t="e">
        <f t="shared" si="5"/>
        <v>#REF!</v>
      </c>
      <c r="BG11" s="26" t="e">
        <f t="shared" si="6"/>
        <v>#REF!</v>
      </c>
      <c r="BH11" s="27">
        <f>AE11+ (AI11-AJ11+AM11+Tableau5617192223242425262827293031333432353620383961719241822254140424344104746[[#This Row],[Int Commandé OT
€]]-Tableau5617192223242425262827293031333432353620383961719241822254140424344104746[[#This Row],[Int Réalisé OT
€]]+AR11) +AY11+BC11</f>
        <v>20004.3</v>
      </c>
      <c r="BI11" s="16" t="e">
        <f t="shared" si="7"/>
        <v>#REF!</v>
      </c>
      <c r="BJ11" s="16" t="e">
        <f t="shared" si="8"/>
        <v>#REF!</v>
      </c>
      <c r="BK11" s="27" t="e">
        <f t="shared" si="9"/>
        <v>#REF!</v>
      </c>
      <c r="BL11" s="26" t="e">
        <f t="shared" si="10"/>
        <v>#REF!</v>
      </c>
      <c r="BM11" s="28">
        <f>IFERROR(VLOOKUP(H11,'[1]2023dec'!H:CA,54,FALSE),105)</f>
        <v>96.069868995633186</v>
      </c>
      <c r="BN11" s="29" t="e">
        <f>Tableau5617192223242425262827293031333432353620383961719241822254140424344104746[[#This Row],[Avancement Global Financier basé sur Enregistré à date (%)]]</f>
        <v>#REF!</v>
      </c>
      <c r="BO11" s="30" t="e">
        <f>P11-AC11-AG11-AV11-Tableau5617192223242425262827293031333432353620383961719241822254140424344104746[[#This Row],[Provisions pour risques]]</f>
        <v>#REF!</v>
      </c>
      <c r="BP11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1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1" s="33" t="e">
        <f t="shared" si="11"/>
        <v>#REF!</v>
      </c>
      <c r="BS11" s="34" t="e">
        <f>Tableau5617192223242425262827293031333432353620383961719241822254140424344104746[[#This Row],[Consommé global Enregistré à date (€ HT)]]-IFERROR(VLOOKUP(H11,#REF!,50,FALSE),0)</f>
        <v>#REF!</v>
      </c>
      <c r="BT11" s="35" t="e">
        <f t="shared" si="12"/>
        <v>#REF!</v>
      </c>
      <c r="BU11" s="36">
        <f>BD11-IFERROR(VLOOKUP(H11,#REF!,47,FALSE),0)</f>
        <v>0</v>
      </c>
      <c r="BV11" s="37" t="e">
        <f>+BF11+Tableau5617192223242425262827293031333432353620383961719241822254140424344104746[[#This Row],[CA fin N-1]]-IFERROR(VLOOKUP(H11,#REF!,49,FALSE),0)-IFERROR(VLOOKUP(H11,#REF!,50,FALSE),0)</f>
        <v>#REF!</v>
      </c>
      <c r="BW11" s="33" t="e">
        <f>BG11-IFERROR(VLOOKUP(H11,#REF!,51,FALSE),0)</f>
        <v>#REF!</v>
      </c>
      <c r="BX11" s="35" t="e">
        <f t="shared" si="13"/>
        <v>#REF!</v>
      </c>
      <c r="BY11" s="36">
        <f>BD11-IFERROR(VLOOKUP(H11,#REF!,48,FALSE),0)</f>
        <v>0</v>
      </c>
      <c r="BZ1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" s="39" t="e">
        <f>VLOOKUP(Tableau5617192223242425262827293031333432353620383961719241822254140424344104746[[#This Row],[Num Projets]],#REF!,1,FALSE)</f>
        <v>#REF!</v>
      </c>
      <c r="CB11" s="40">
        <v>418.5</v>
      </c>
      <c r="CC11" s="40">
        <v>0</v>
      </c>
      <c r="CD1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-418.5</v>
      </c>
    </row>
    <row r="12" spans="1:82" ht="13.5" customHeight="1" x14ac:dyDescent="0.25">
      <c r="A12" s="311" t="s">
        <v>24</v>
      </c>
      <c r="B12" s="1"/>
      <c r="C12" s="2" t="e">
        <f>_xlfn.XLOOKUP(Tableau5617192223242425262827293031333432353620383961719241822254140424344104746[[#This Row],[Num Projets]],#REF!,#REF!,FALSE)</f>
        <v>#REF!</v>
      </c>
      <c r="D12" s="3" t="s">
        <v>6</v>
      </c>
      <c r="E12" s="3" t="e">
        <f>_xlfn.XLOOKUP(Tableau5617192223242425262827293031333432353620383961719241822254140424344104746[[#This Row],[Num Projets]],#REF!,#REF!,FALSE)</f>
        <v>#REF!</v>
      </c>
      <c r="F12" s="3" t="s">
        <v>7</v>
      </c>
      <c r="G12" s="3" t="s">
        <v>2</v>
      </c>
      <c r="H12" s="3" t="s">
        <v>25</v>
      </c>
      <c r="I1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" s="4" t="e">
        <f>VLOOKUP(Tableau5617192223242425262827293031333432353620383961719241822254140424344104746[[#This Row],[Num Projets]],#REF!,36,FALSE)</f>
        <v>#REF!</v>
      </c>
      <c r="K12" s="5" t="s">
        <v>9</v>
      </c>
      <c r="L1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" s="3" t="e">
        <f>SUBSTITUTE(_xlfn.XLOOKUP(Tableau5617192223242425262827293031333432353620383961719241822254140424344104746[[#This Row],[Num Projets]],#REF!,#REF!,FALSE)," ","")</f>
        <v>#REF!</v>
      </c>
      <c r="N12" s="7" t="e">
        <f>VLOOKUP(H12,#REF!,7,FALSE)</f>
        <v>#REF!</v>
      </c>
      <c r="O12" s="7" t="e">
        <f>IF(VLOOKUP(H12,#REF!,27,FALSE)=0,"",VLOOKUP(H12,#REF!,27,FALSE))</f>
        <v>#REF!</v>
      </c>
      <c r="P12" s="8" t="e">
        <f>VLOOKUP(H12,#REF!,2,FALSE)</f>
        <v>#REF!</v>
      </c>
      <c r="Q12" s="9" t="e">
        <f>Tableau5617192223242425262827293031333432353620383961719241822254140424344104746[[#This Row],[Total Budget
€]]-IFERROR(VLOOKUP(H12,#REF!,8,FALSE),0)</f>
        <v>#REF!</v>
      </c>
      <c r="R12" s="10" t="e">
        <f>AD12+AI12+Tableau5617192223242425262827293031333432353620383961719241822254140424344104746[[#This Row],[Int Commandé OT
€]]+AX12</f>
        <v>#REF!</v>
      </c>
      <c r="S12" s="10" t="e">
        <f>AD12+AJ12+Tableau5617192223242425262827293031333432353620383961719241822254140424344104746[[#This Row],[Int Réalisé OT
€]]+AX12</f>
        <v>#REF!</v>
      </c>
      <c r="T12" s="11" t="e">
        <f t="shared" si="2"/>
        <v>#REF!</v>
      </c>
      <c r="U1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" s="12">
        <f>IFERROR(VLOOKUP(H12,#REF!,2,FALSE),0)</f>
        <v>0</v>
      </c>
      <c r="X12" s="13">
        <f>IFERROR(VLOOKUP(H12,#REF!,2,FALSE),0)</f>
        <v>0</v>
      </c>
      <c r="Y12" s="13">
        <f>IFERROR(VLOOKUP(H12,#REF!,3,FALSE),0)</f>
        <v>0</v>
      </c>
      <c r="Z1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18.5</v>
      </c>
      <c r="AA12" s="13">
        <f>IFERROR(VLOOKUP(H12,#REF!,18,FALSE),0)</f>
        <v>0</v>
      </c>
      <c r="AB12" s="13">
        <f>SUM(X12:Y12)-IFERROR(VLOOKUP(H12,#REF!,16,FALSE),0)-IFERROR(VLOOKUP(H12,#REF!,17,FALSE),0)</f>
        <v>0</v>
      </c>
      <c r="AC12" s="15">
        <f>W12*BM12</f>
        <v>0</v>
      </c>
      <c r="AD12" s="8" t="e">
        <f>(X12*VLOOKUP(H12,#REF!,2,FALSE)+Y12*VLOOKUP(H12,#REF!,3,FALSE))</f>
        <v>#REF!</v>
      </c>
      <c r="AE12" s="8">
        <f t="shared" si="3"/>
        <v>884.3</v>
      </c>
      <c r="AF12" s="16">
        <f t="shared" si="4"/>
        <v>0</v>
      </c>
      <c r="AG12" s="8">
        <f>IFERROR(VLOOKUP(H12,#REF!,3,FALSE),0)+IFERROR(VLOOKUP(H12,#REF!,3,FALSE),0)</f>
        <v>0</v>
      </c>
      <c r="AH12" s="8">
        <f>IFERROR(VLOOKUP(Tableau5617192223242425262827293031333432353620383961719241822254140424344104746[[#This Row],[Num Projets]],#REF!,2,FALSE),0)</f>
        <v>0</v>
      </c>
      <c r="AI12" s="17">
        <f>+IFERROR(VLOOKUP(H12,#REF!,2,FALSE),0)-Tableau5617192223242425262827293031333432353620383961719241822254140424344104746[[#This Row],[Int Commandé OT
€]]</f>
        <v>0</v>
      </c>
      <c r="AJ12" s="8">
        <f>IFERROR(VLOOKUP(H12,#REF!,11,FALSE),0)-IFERROR(VLOOKUP(H12,#REF!,10,FALSE),0)+Tableau5617192223242425262827293031333432353620383961719241822254140424344104746[[#This Row],[dont FNP à date (€ HT)]]</f>
        <v>0</v>
      </c>
      <c r="AK12" s="15">
        <f t="shared" si="14"/>
        <v>0</v>
      </c>
      <c r="AL1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" s="19">
        <f>IF(Tableau5617192223242425262827293031333432353620383961719241822254140424344104746[[#This Row],[RAF Achats M-1
€]]=0,0,AN12-AO12)</f>
        <v>0</v>
      </c>
      <c r="AN12" s="8">
        <f>IFERROR(VLOOKUP(H12,#REF!,31,FALSE),0)</f>
        <v>0</v>
      </c>
      <c r="AO12" s="8">
        <f>AI12+-IFERROR(VLOOKUP(H12,#REF!,27,FALSE),0)</f>
        <v>0</v>
      </c>
      <c r="AP12" s="20">
        <f>IFERROR(VLOOKUP(Tableau5617192223242425262827293031333432353620383961719241822254140424344104746[[#This Row],[Num Projets]],#REF!,2,FALSE),0)</f>
        <v>0</v>
      </c>
      <c r="AQ12" s="20">
        <f>_xlfn.XLOOKUP(H12,[2]Synth!$N:$N,[2]Synth!$O:$O,0,FALSE)+_xlfn.XLOOKUP(Tableau5617192223242425262827293031333432353620383961719241822254140424344104746[[#This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" s="21">
        <v>0</v>
      </c>
      <c r="AS12" s="20">
        <f>+IFERROR(VLOOKUP(H12,#REF!,36,FALSE),0)</f>
        <v>0</v>
      </c>
      <c r="AT1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" s="22">
        <f>IF(AG12=0,0,1-((AI12+AM12+Tableau5617192223242425262827293031333432353620383961719241822254140424344104746[[#This Row],[Int Commandé OT
€]]+Tableau5617192223242425262827293031333432353620383961719241822254140424344104746[[#This Row],[RAF Int OT
€]])/AG12))</f>
        <v>0</v>
      </c>
      <c r="AV12" s="8">
        <f>IFERROR(VLOOKUP(H12,#REF!,4,FALSE),0)+IFERROR(VLOOKUP(H12,#REF!,4,FALSE),0)</f>
        <v>0</v>
      </c>
      <c r="AW12" s="8">
        <f>IFERROR(VLOOKUP(Tableau5617192223242425262827293031333432353620383961719241822254140424344104746[[#This Row],[Num Projets]],#REF!,3,FALSE),0)</f>
        <v>0</v>
      </c>
      <c r="AX12" s="20">
        <f>IFERROR(VLOOKUP(Tableau5617192223242425262827293031333432353620383961719241822254140424344104746[[#This Row],[Num Projets]],#REF!,10,FALSE),0)</f>
        <v>0</v>
      </c>
      <c r="AY12" s="23">
        <f>Tableau5617192223242425262827293031333432353620383961719241822254140424344104746[[#This Row],[Budget Mission
 €]]/1.2-AX12</f>
        <v>0</v>
      </c>
      <c r="AZ12" s="8">
        <f>IFERROR(VLOOKUP(H12,#REF!,43,FALSE),0)</f>
        <v>0</v>
      </c>
      <c r="BA12" s="8">
        <f>AX12-IFERROR(VLOOKUP(H12,#REF!,42,FALSE),0)</f>
        <v>0</v>
      </c>
      <c r="BB12" s="16">
        <f t="shared" si="15"/>
        <v>0</v>
      </c>
      <c r="BC12" s="24">
        <f>IFERROR(VLOOKUP(H12,#REF!,47,FALSE),IFERROR(VLOOKUP(H12,#REF!,5,FALSE),0)+IFERROR(VLOOKUP(H12,#REF!,5,FALSE),0))</f>
        <v>0</v>
      </c>
      <c r="BD12" s="25">
        <f>IFERROR(VLOOKUP(H12,#REF!,2,FALSE),0)</f>
        <v>0</v>
      </c>
      <c r="BE12" s="25">
        <f>IFERROR(VLOOKUP(H12,#REF!,49,FALSE),0)</f>
        <v>0</v>
      </c>
      <c r="BF12" s="26" t="e">
        <f t="shared" si="5"/>
        <v>#REF!</v>
      </c>
      <c r="BG12" s="26" t="e">
        <f t="shared" si="6"/>
        <v>#REF!</v>
      </c>
      <c r="BH12" s="27">
        <f>AE12+ (AI12-AJ12+AM12+Tableau5617192223242425262827293031333432353620383961719241822254140424344104746[[#This Row],[Int Commandé OT
€]]-Tableau5617192223242425262827293031333432353620383961719241822254140424344104746[[#This Row],[Int Réalisé OT
€]]+AR12) +AY12+BC12</f>
        <v>884.3</v>
      </c>
      <c r="BI12" s="16" t="e">
        <f t="shared" si="7"/>
        <v>#REF!</v>
      </c>
      <c r="BJ12" s="16" t="e">
        <f t="shared" si="8"/>
        <v>#REF!</v>
      </c>
      <c r="BK12" s="27" t="e">
        <f t="shared" si="9"/>
        <v>#REF!</v>
      </c>
      <c r="BL12" s="26" t="e">
        <f t="shared" si="10"/>
        <v>#REF!</v>
      </c>
      <c r="BM12" s="28">
        <f>IFERROR(VLOOKUP(H12,'[1]2023dec'!H:CA,54,FALSE),105)</f>
        <v>95</v>
      </c>
      <c r="BN12" s="29" t="e">
        <f>Tableau5617192223242425262827293031333432353620383961719241822254140424344104746[[#This Row],[Avancement Global Financier basé sur Enregistré à date (%)]]</f>
        <v>#REF!</v>
      </c>
      <c r="BO12" s="30" t="e">
        <f>P12-AC12-AG12-AV12-Tableau5617192223242425262827293031333432353620383961719241822254140424344104746[[#This Row],[Provisions pour risques]]</f>
        <v>#REF!</v>
      </c>
      <c r="BP12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2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2" s="33" t="e">
        <f t="shared" si="11"/>
        <v>#REF!</v>
      </c>
      <c r="BS12" s="34" t="e">
        <f>Tableau5617192223242425262827293031333432353620383961719241822254140424344104746[[#This Row],[Consommé global Enregistré à date (€ HT)]]-IFERROR(VLOOKUP(H12,#REF!,50,FALSE),0)</f>
        <v>#REF!</v>
      </c>
      <c r="BT12" s="35" t="e">
        <f t="shared" si="12"/>
        <v>#REF!</v>
      </c>
      <c r="BU12" s="36">
        <f>BD12-IFERROR(VLOOKUP(H12,#REF!,47,FALSE),0)</f>
        <v>0</v>
      </c>
      <c r="BV12" s="37" t="e">
        <f>+BF12+Tableau5617192223242425262827293031333432353620383961719241822254140424344104746[[#This Row],[CA fin N-1]]-IFERROR(VLOOKUP(H12,#REF!,49,FALSE),0)-IFERROR(VLOOKUP(H12,#REF!,50,FALSE),0)</f>
        <v>#REF!</v>
      </c>
      <c r="BW12" s="33" t="e">
        <f>BG12-IFERROR(VLOOKUP(H12,#REF!,51,FALSE),0)</f>
        <v>#REF!</v>
      </c>
      <c r="BX12" s="35" t="e">
        <f t="shared" si="13"/>
        <v>#REF!</v>
      </c>
      <c r="BY12" s="36">
        <f>BD12-IFERROR(VLOOKUP(H12,#REF!,48,FALSE),0)</f>
        <v>0</v>
      </c>
      <c r="BZ1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" s="39" t="e">
        <f>VLOOKUP(Tableau5617192223242425262827293031333432353620383961719241822254140424344104746[[#This Row],[Num Projets]],#REF!,1,FALSE)</f>
        <v>#REF!</v>
      </c>
      <c r="CB12" s="40">
        <v>18.5</v>
      </c>
      <c r="CC12" s="40">
        <v>0</v>
      </c>
      <c r="CD1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-18.5</v>
      </c>
    </row>
    <row r="13" spans="1:82" ht="13.5" customHeight="1" x14ac:dyDescent="0.25">
      <c r="A13" s="313" t="s">
        <v>26</v>
      </c>
      <c r="B13" s="1"/>
      <c r="C13" s="2" t="e">
        <f>_xlfn.XLOOKUP(Tableau5617192223242425262827293031333432353620383961719241822254140424344104746[[#This Row],[Num Projets]],#REF!,#REF!,FALSE)</f>
        <v>#REF!</v>
      </c>
      <c r="D13" s="3" t="s">
        <v>6</v>
      </c>
      <c r="E13" s="3" t="e">
        <f>_xlfn.XLOOKUP(Tableau5617192223242425262827293031333432353620383961719241822254140424344104746[[#This Row],[Num Projets]],#REF!,#REF!,FALSE)</f>
        <v>#REF!</v>
      </c>
      <c r="F13" s="3" t="s">
        <v>27</v>
      </c>
      <c r="G13" s="3" t="s">
        <v>2</v>
      </c>
      <c r="H13" s="3" t="s">
        <v>28</v>
      </c>
      <c r="I1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" s="4" t="e">
        <f>VLOOKUP(Tableau5617192223242425262827293031333432353620383961719241822254140424344104746[[#This Row],[Num Projets]],#REF!,36,FALSE)</f>
        <v>#REF!</v>
      </c>
      <c r="K13" s="5" t="s">
        <v>9</v>
      </c>
      <c r="L1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" s="3" t="e">
        <f>SUBSTITUTE(_xlfn.XLOOKUP(Tableau5617192223242425262827293031333432353620383961719241822254140424344104746[[#This Row],[Num Projets]],#REF!,#REF!,FALSE)," ","")</f>
        <v>#REF!</v>
      </c>
      <c r="N13" s="7" t="e">
        <f>VLOOKUP(H13,#REF!,7,FALSE)</f>
        <v>#REF!</v>
      </c>
      <c r="O13" s="7" t="e">
        <f>IF(VLOOKUP(H13,#REF!,27,FALSE)=0,"",VLOOKUP(H13,#REF!,27,FALSE))</f>
        <v>#REF!</v>
      </c>
      <c r="P13" s="8" t="e">
        <f>VLOOKUP(H13,#REF!,2,FALSE)</f>
        <v>#REF!</v>
      </c>
      <c r="Q13" s="9" t="e">
        <f>Tableau5617192223242425262827293031333432353620383961719241822254140424344104746[[#This Row],[Total Budget
€]]-IFERROR(VLOOKUP(H13,#REF!,8,FALSE),0)</f>
        <v>#REF!</v>
      </c>
      <c r="R13" s="10" t="e">
        <f>AD13+AI13+Tableau5617192223242425262827293031333432353620383961719241822254140424344104746[[#This Row],[Int Commandé OT
€]]+AX13</f>
        <v>#REF!</v>
      </c>
      <c r="S13" s="10" t="e">
        <f>AD13+AJ13+Tableau5617192223242425262827293031333432353620383961719241822254140424344104746[[#This Row],[Int Réalisé OT
€]]+AX13</f>
        <v>#REF!</v>
      </c>
      <c r="T13" s="11" t="e">
        <f t="shared" si="2"/>
        <v>#REF!</v>
      </c>
      <c r="U1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" s="12">
        <f>IFERROR(VLOOKUP(H13,#REF!,2,FALSE),0)</f>
        <v>0</v>
      </c>
      <c r="X13" s="13">
        <f>IFERROR(VLOOKUP(H13,#REF!,2,FALSE),0)</f>
        <v>0</v>
      </c>
      <c r="Y13" s="13">
        <f>IFERROR(VLOOKUP(H13,#REF!,3,FALSE),0)</f>
        <v>0</v>
      </c>
      <c r="Z1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361</v>
      </c>
      <c r="AA13" s="13">
        <f>IFERROR(VLOOKUP(H13,#REF!,18,FALSE),0)</f>
        <v>0</v>
      </c>
      <c r="AB13" s="13">
        <f>SUM(X13:Y13)-IFERROR(VLOOKUP(H13,#REF!,16,FALSE),0)-IFERROR(VLOOKUP(H13,#REF!,17,FALSE),0)</f>
        <v>0</v>
      </c>
      <c r="AC13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3" s="8" t="e">
        <f>(X13*VLOOKUP(H13,#REF!,2,FALSE)+Y13*VLOOKUP(H13,#REF!,3,FALSE))</f>
        <v>#REF!</v>
      </c>
      <c r="AE13" s="8">
        <f t="shared" si="3"/>
        <v>17255.8</v>
      </c>
      <c r="AF13" s="16" t="e">
        <f t="shared" si="4"/>
        <v>#REF!</v>
      </c>
      <c r="AG13" s="8">
        <f>IFERROR(VLOOKUP(H13,#REF!,3,FALSE),0)+IFERROR(VLOOKUP(H13,#REF!,3,FALSE),0)</f>
        <v>0</v>
      </c>
      <c r="AH13" s="8">
        <f>IFERROR(VLOOKUP(Tableau5617192223242425262827293031333432353620383961719241822254140424344104746[[#This Row],[Num Projets]],#REF!,2,FALSE),0)</f>
        <v>0</v>
      </c>
      <c r="AI13" s="17">
        <f>+IFERROR(VLOOKUP(H13,#REF!,2,FALSE),0)-Tableau5617192223242425262827293031333432353620383961719241822254140424344104746[[#This Row],[Int Commandé OT
€]]</f>
        <v>0</v>
      </c>
      <c r="AJ13" s="8">
        <f>IFERROR(VLOOKUP(H13,#REF!,11,FALSE),0)-IFERROR(VLOOKUP(H13,#REF!,10,FALSE),0)+Tableau5617192223242425262827293031333432353620383961719241822254140424344104746[[#This Row],[dont FNP à date (€ HT)]]</f>
        <v>0</v>
      </c>
      <c r="AK13" s="15">
        <f t="shared" si="14"/>
        <v>0</v>
      </c>
      <c r="AL1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" s="19">
        <f>IF(Tableau5617192223242425262827293031333432353620383961719241822254140424344104746[[#This Row],[RAF Achats M-1
€]]=0,0,AN13-AO13)</f>
        <v>0</v>
      </c>
      <c r="AN13" s="8">
        <f>IFERROR(VLOOKUP(H13,#REF!,31,FALSE),0)</f>
        <v>0</v>
      </c>
      <c r="AO13" s="8">
        <f>AI13+-IFERROR(VLOOKUP(H13,#REF!,27,FALSE),0)</f>
        <v>0</v>
      </c>
      <c r="AP13" s="20">
        <f>IFERROR(VLOOKUP(Tableau5617192223242425262827293031333432353620383961719241822254140424344104746[[#This Row],[Num Projets]],#REF!,2,FALSE),0)</f>
        <v>0</v>
      </c>
      <c r="AQ13" s="20">
        <f>_xlfn.XLOOKUP(H13,[2]Synth!$N:$N,[2]Synth!$O:$O,0,FALSE)+_xlfn.XLOOKUP(Tableau5617192223242425262827293031333432353620383961719241822254140424344104746[[#This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" s="21">
        <v>0</v>
      </c>
      <c r="AS13" s="20">
        <f>+IFERROR(VLOOKUP(H13,#REF!,36,FALSE),0)</f>
        <v>0</v>
      </c>
      <c r="AT1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" s="22">
        <f>IF(AG13=0,0,1-((AI13+AM13+Tableau5617192223242425262827293031333432353620383961719241822254140424344104746[[#This Row],[Int Commandé OT
€]]+Tableau5617192223242425262827293031333432353620383961719241822254140424344104746[[#This Row],[RAF Int OT
€]])/AG13))</f>
        <v>0</v>
      </c>
      <c r="AV13" s="8">
        <f>IFERROR(VLOOKUP(H13,#REF!,4,FALSE),0)+IFERROR(VLOOKUP(H13,#REF!,4,FALSE),0)</f>
        <v>0</v>
      </c>
      <c r="AW13" s="8">
        <f>IFERROR(VLOOKUP(Tableau5617192223242425262827293031333432353620383961719241822254140424344104746[[#This Row],[Num Projets]],#REF!,3,FALSE),0)</f>
        <v>0</v>
      </c>
      <c r="AX13" s="20">
        <f>IFERROR(VLOOKUP(Tableau5617192223242425262827293031333432353620383961719241822254140424344104746[[#This Row],[Num Projets]],#REF!,10,FALSE),0)</f>
        <v>0</v>
      </c>
      <c r="AY13" s="23">
        <f>Tableau5617192223242425262827293031333432353620383961719241822254140424344104746[[#This Row],[Budget Mission
 €]]/1.2-AX13</f>
        <v>0</v>
      </c>
      <c r="AZ13" s="8">
        <f>IFERROR(VLOOKUP(H13,#REF!,43,FALSE),0)</f>
        <v>0</v>
      </c>
      <c r="BA13" s="8">
        <f>AX13-IFERROR(VLOOKUP(H13,#REF!,42,FALSE),0)</f>
        <v>0</v>
      </c>
      <c r="BB13" s="16">
        <f t="shared" si="15"/>
        <v>0</v>
      </c>
      <c r="BC13" s="24">
        <f>IFERROR(VLOOKUP(H13,#REF!,47,FALSE),IFERROR(VLOOKUP(H13,#REF!,5,FALSE),0)+IFERROR(VLOOKUP(H13,#REF!,5,FALSE),0))</f>
        <v>0</v>
      </c>
      <c r="BD13" s="25">
        <f>IFERROR(VLOOKUP(H13,#REF!,2,FALSE),0)</f>
        <v>0</v>
      </c>
      <c r="BE13" s="25">
        <f>IFERROR(VLOOKUP(H13,#REF!,49,FALSE),0)</f>
        <v>0</v>
      </c>
      <c r="BF13" s="26" t="e">
        <f t="shared" si="5"/>
        <v>#REF!</v>
      </c>
      <c r="BG13" s="26" t="e">
        <f t="shared" si="6"/>
        <v>#REF!</v>
      </c>
      <c r="BH13" s="27">
        <f>AE13+ (AI13-AJ13+AM13+Tableau5617192223242425262827293031333432353620383961719241822254140424344104746[[#This Row],[Int Commandé OT
€]]-Tableau5617192223242425262827293031333432353620383961719241822254140424344104746[[#This Row],[Int Réalisé OT
€]]+AR13) +AY13+BC13</f>
        <v>17255.8</v>
      </c>
      <c r="BI13" s="16" t="e">
        <f t="shared" si="7"/>
        <v>#REF!</v>
      </c>
      <c r="BJ13" s="16" t="e">
        <f t="shared" si="8"/>
        <v>#REF!</v>
      </c>
      <c r="BK13" s="27" t="e">
        <f t="shared" si="9"/>
        <v>#REF!</v>
      </c>
      <c r="BL13" s="26" t="e">
        <f t="shared" si="10"/>
        <v>#REF!</v>
      </c>
      <c r="BM13" s="28">
        <f>IFERROR(VLOOKUP(H13,'[1]2023dec'!H:CA,54,FALSE),105)</f>
        <v>96.026490066225165</v>
      </c>
      <c r="BN13" s="29" t="e">
        <f>Tableau5617192223242425262827293031333432353620383961719241822254140424344104746[[#This Row],[Avancement Global Financier basé sur Enregistré à date (%)]]</f>
        <v>#REF!</v>
      </c>
      <c r="BO13" s="30" t="e">
        <f>P13-AC13-AG13-AV13-Tableau5617192223242425262827293031333432353620383961719241822254140424344104746[[#This Row],[Provisions pour risques]]</f>
        <v>#REF!</v>
      </c>
      <c r="BP13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3" s="33" t="e">
        <f t="shared" si="11"/>
        <v>#REF!</v>
      </c>
      <c r="BS13" s="34" t="e">
        <f>Tableau5617192223242425262827293031333432353620383961719241822254140424344104746[[#This Row],[Consommé global Enregistré à date (€ HT)]]-IFERROR(VLOOKUP(H13,#REF!,50,FALSE),0)</f>
        <v>#REF!</v>
      </c>
      <c r="BT13" s="35" t="e">
        <f t="shared" si="12"/>
        <v>#REF!</v>
      </c>
      <c r="BU13" s="36">
        <f>BD13-IFERROR(VLOOKUP(H13,#REF!,47,FALSE),0)</f>
        <v>0</v>
      </c>
      <c r="BV13" s="37" t="e">
        <f>+BF13+Tableau5617192223242425262827293031333432353620383961719241822254140424344104746[[#This Row],[CA fin N-1]]-IFERROR(VLOOKUP(H13,#REF!,49,FALSE),0)-IFERROR(VLOOKUP(H13,#REF!,50,FALSE),0)</f>
        <v>#REF!</v>
      </c>
      <c r="BW13" s="33" t="e">
        <f>BG13-IFERROR(VLOOKUP(H13,#REF!,51,FALSE),0)</f>
        <v>#REF!</v>
      </c>
      <c r="BX13" s="35" t="e">
        <f t="shared" si="13"/>
        <v>#REF!</v>
      </c>
      <c r="BY13" s="36">
        <f>BD13-IFERROR(VLOOKUP(H13,#REF!,48,FALSE),0)</f>
        <v>0</v>
      </c>
      <c r="BZ1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" s="39" t="e">
        <f>VLOOKUP(Tableau5617192223242425262827293031333432353620383961719241822254140424344104746[[#This Row],[Num Projets]],#REF!,1,FALSE)</f>
        <v>#REF!</v>
      </c>
      <c r="CB13" s="40">
        <v>361</v>
      </c>
      <c r="CC13" s="40">
        <v>0</v>
      </c>
      <c r="CD1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-361</v>
      </c>
    </row>
    <row r="14" spans="1:82" ht="13.5" customHeight="1" x14ac:dyDescent="0.25">
      <c r="A14" s="311" t="s">
        <v>29</v>
      </c>
      <c r="B14" s="1" t="s">
        <v>30</v>
      </c>
      <c r="C14" s="2" t="e">
        <f>_xlfn.XLOOKUP(Tableau5617192223242425262827293031333432353620383961719241822254140424344104746[[#This Row],[Num Projets]],#REF!,#REF!,FALSE)</f>
        <v>#REF!</v>
      </c>
      <c r="D14" s="3" t="s">
        <v>1</v>
      </c>
      <c r="E14" s="3" t="e">
        <f>_xlfn.XLOOKUP(Tableau5617192223242425262827293031333432353620383961719241822254140424344104746[[#This Row],[Num Projets]],#REF!,#REF!,FALSE)</f>
        <v>#REF!</v>
      </c>
      <c r="F14" s="3" t="e">
        <f>_xlfn.XLOOKUP(Tableau5617192223242425262827293031333432353620383961719241822254140424344104746[[#This Row],[Num Projets]],#REF!,#REF!,"newavr",0)</f>
        <v>#REF!</v>
      </c>
      <c r="G14" s="3" t="s">
        <v>31</v>
      </c>
      <c r="H14" s="3" t="s">
        <v>32</v>
      </c>
      <c r="I1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" s="4" t="e">
        <f>VLOOKUP(Tableau5617192223242425262827293031333432353620383961719241822254140424344104746[[#This Row],[Num Projets]],#REF!,36,FALSE)</f>
        <v>#REF!</v>
      </c>
      <c r="K14" s="5" t="s">
        <v>4</v>
      </c>
      <c r="L1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" s="3" t="e">
        <f>SUBSTITUTE(_xlfn.XLOOKUP(Tableau5617192223242425262827293031333432353620383961719241822254140424344104746[[#This Row],[Num Projets]],#REF!,#REF!,FALSE)," ","")</f>
        <v>#REF!</v>
      </c>
      <c r="N14" s="7" t="e">
        <f>VLOOKUP(H14,#REF!,7,FALSE)</f>
        <v>#REF!</v>
      </c>
      <c r="O14" s="7" t="e">
        <f>IF(VLOOKUP(H14,#REF!,27,FALSE)=0,"",VLOOKUP(H14,#REF!,27,FALSE))</f>
        <v>#REF!</v>
      </c>
      <c r="P14" s="8" t="e">
        <f>VLOOKUP(H14,#REF!,2,FALSE)</f>
        <v>#REF!</v>
      </c>
      <c r="Q14" s="9" t="e">
        <f>Tableau5617192223242425262827293031333432353620383961719241822254140424344104746[[#This Row],[Total Budget
€]]-IFERROR(VLOOKUP(H14,#REF!,8,FALSE),0)</f>
        <v>#REF!</v>
      </c>
      <c r="R14" s="10" t="e">
        <f>AD14+AI14+Tableau5617192223242425262827293031333432353620383961719241822254140424344104746[[#This Row],[Int Commandé OT
€]]+AX14</f>
        <v>#REF!</v>
      </c>
      <c r="S14" s="10" t="e">
        <f>AD14+AJ14+Tableau5617192223242425262827293031333432353620383961719241822254140424344104746[[#This Row],[Int Réalisé OT
€]]+AX14</f>
        <v>#REF!</v>
      </c>
      <c r="T14" s="11" t="e">
        <f t="shared" si="2"/>
        <v>#REF!</v>
      </c>
      <c r="U1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" s="42" t="e">
        <f>Tableau5617192223242425262827293031333432353620383961719241822254140424344104746[[#This Row],[Budget Heures Valorisées
€]]/Tableau5617192223242425262827293031333432353620383961719241822254140424344104746[[#This Row],[Valeur vente Ingenieur (€ HT)]]</f>
        <v>#REF!</v>
      </c>
      <c r="X14" s="13">
        <f>IFERROR(VLOOKUP(H14,#REF!,2,FALSE),0)</f>
        <v>0</v>
      </c>
      <c r="Y14" s="13">
        <f>IFERROR(VLOOKUP(H14,#REF!,3,FALSE),0)</f>
        <v>0</v>
      </c>
      <c r="Z1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144.01875000000001</v>
      </c>
      <c r="AA14" s="13">
        <f>IFERROR(VLOOKUP(H14,#REF!,18,FALSE),0)</f>
        <v>0</v>
      </c>
      <c r="AB14" s="13">
        <f>SUM(X14:Y14)-IFERROR(VLOOKUP(H14,#REF!,16,FALSE),0)-IFERROR(VLOOKUP(H14,#REF!,17,FALSE),0)</f>
        <v>0</v>
      </c>
      <c r="AC14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4" s="8" t="e">
        <f>(X14*VLOOKUP(H14,#REF!,2,FALSE)+Y14*VLOOKUP(H14,#REF!,3,FALSE))</f>
        <v>#REF!</v>
      </c>
      <c r="AE14" s="8">
        <f t="shared" si="3"/>
        <v>6884.0962500000005</v>
      </c>
      <c r="AF14" s="16" t="e">
        <f t="shared" si="4"/>
        <v>#REF!</v>
      </c>
      <c r="AG14" s="8">
        <f>IFERROR(VLOOKUP(H14,#REF!,3,FALSE),0)+IFERROR(VLOOKUP(H14,#REF!,3,FALSE),0)</f>
        <v>0</v>
      </c>
      <c r="AH14" s="8">
        <f>IFERROR(VLOOKUP(Tableau5617192223242425262827293031333432353620383961719241822254140424344104746[[#This Row],[Num Projets]],#REF!,2,FALSE),0)</f>
        <v>0</v>
      </c>
      <c r="AI14" s="17">
        <f>+IFERROR(VLOOKUP(H14,#REF!,2,FALSE),0)-Tableau5617192223242425262827293031333432353620383961719241822254140424344104746[[#This Row],[Int Commandé OT
€]]</f>
        <v>0</v>
      </c>
      <c r="AJ14" s="8">
        <f>IFERROR(VLOOKUP(H14,#REF!,11,FALSE),0)-IFERROR(VLOOKUP(H14,#REF!,10,FALSE),0)+Tableau5617192223242425262827293031333432353620383961719241822254140424344104746[[#This Row],[dont FNP à date (€ HT)]]</f>
        <v>0</v>
      </c>
      <c r="AK14" s="15">
        <f t="shared" si="14"/>
        <v>0</v>
      </c>
      <c r="AL1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" s="19">
        <f>IF(Tableau5617192223242425262827293031333432353620383961719241822254140424344104746[[#This Row],[RAF Achats M-1
€]]=0,0,AN14-AO14)</f>
        <v>0</v>
      </c>
      <c r="AN14" s="8">
        <f>IFERROR(VLOOKUP(H14,#REF!,31,FALSE),0)</f>
        <v>0</v>
      </c>
      <c r="AO14" s="8">
        <f>AI14+-IFERROR(VLOOKUP(H14,#REF!,27,FALSE),0)</f>
        <v>0</v>
      </c>
      <c r="AP14" s="20">
        <f>IFERROR(VLOOKUP(Tableau5617192223242425262827293031333432353620383961719241822254140424344104746[[#This Row],[Num Projets]],#REF!,2,FALSE),0)</f>
        <v>0</v>
      </c>
      <c r="AQ14" s="20">
        <f>_xlfn.XLOOKUP(H14,[2]Synth!$N:$N,[2]Synth!$O:$O,0,FALSE)+_xlfn.XLOOKUP(Tableau5617192223242425262827293031333432353620383961719241822254140424344104746[[#This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" s="21">
        <v>0</v>
      </c>
      <c r="AS14" s="20">
        <f>+IFERROR(VLOOKUP(H14,#REF!,36,FALSE),0)</f>
        <v>0</v>
      </c>
      <c r="AT1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" s="22">
        <f>IF(AG14=0,0,1-((AI14+AM14+Tableau5617192223242425262827293031333432353620383961719241822254140424344104746[[#This Row],[Int Commandé OT
€]]+Tableau5617192223242425262827293031333432353620383961719241822254140424344104746[[#This Row],[RAF Int OT
€]])/AG14))</f>
        <v>0</v>
      </c>
      <c r="AV14" s="8">
        <f>IFERROR(VLOOKUP(H14,#REF!,4,FALSE),0)+IFERROR(VLOOKUP(H14,#REF!,4,FALSE),0)</f>
        <v>0</v>
      </c>
      <c r="AW14" s="8">
        <f>IFERROR(VLOOKUP(Tableau5617192223242425262827293031333432353620383961719241822254140424344104746[[#This Row],[Num Projets]],#REF!,3,FALSE),0)</f>
        <v>0</v>
      </c>
      <c r="AX14" s="20">
        <f>IFERROR(VLOOKUP(Tableau5617192223242425262827293031333432353620383961719241822254140424344104746[[#This Row],[Num Projets]],#REF!,10,FALSE),0)</f>
        <v>0</v>
      </c>
      <c r="AY14" s="23">
        <f>Tableau5617192223242425262827293031333432353620383961719241822254140424344104746[[#This Row],[Budget Mission
 €]]/1.2-AX14</f>
        <v>0</v>
      </c>
      <c r="AZ14" s="8">
        <f>IFERROR(VLOOKUP(H14,#REF!,43,FALSE),0)</f>
        <v>0</v>
      </c>
      <c r="BA14" s="8">
        <f>AX14-IFERROR(VLOOKUP(H14,#REF!,42,FALSE),0)</f>
        <v>0</v>
      </c>
      <c r="BB14" s="16">
        <f t="shared" si="15"/>
        <v>0</v>
      </c>
      <c r="BC14" s="24">
        <f>IFERROR(VLOOKUP(H14,#REF!,47,FALSE),IFERROR(VLOOKUP(H14,#REF!,5,FALSE),0)+IFERROR(VLOOKUP(H14,#REF!,5,FALSE),0))</f>
        <v>0</v>
      </c>
      <c r="BD14" s="25">
        <f>IFERROR(VLOOKUP(H14,#REF!,2,FALSE),0)</f>
        <v>0</v>
      </c>
      <c r="BE14" s="25">
        <f>IFERROR(VLOOKUP(H14,#REF!,49,FALSE),0)</f>
        <v>0</v>
      </c>
      <c r="BF14" s="26" t="e">
        <f t="shared" si="5"/>
        <v>#REF!</v>
      </c>
      <c r="BG14" s="26" t="e">
        <f t="shared" si="6"/>
        <v>#REF!</v>
      </c>
      <c r="BH14" s="27">
        <f>AE14+ (AI14-AJ14+AM14+Tableau5617192223242425262827293031333432353620383961719241822254140424344104746[[#This Row],[Int Commandé OT
€]]-Tableau5617192223242425262827293031333432353620383961719241822254140424344104746[[#This Row],[Int Réalisé OT
€]]+AR14) +AY14+BC14</f>
        <v>6884.0962500000005</v>
      </c>
      <c r="BI14" s="16" t="e">
        <f t="shared" si="7"/>
        <v>#REF!</v>
      </c>
      <c r="BJ14" s="16" t="e">
        <f t="shared" si="8"/>
        <v>#REF!</v>
      </c>
      <c r="BK14" s="27" t="e">
        <f t="shared" si="9"/>
        <v>#REF!</v>
      </c>
      <c r="BL14" s="26" t="e">
        <f t="shared" si="10"/>
        <v>#REF!</v>
      </c>
      <c r="BM14" s="28">
        <f>IFERROR(VLOOKUP(H14,'[1]2023dec'!H:CA,54,FALSE),105)</f>
        <v>96</v>
      </c>
      <c r="BN14" s="29">
        <v>1</v>
      </c>
      <c r="BO14" s="30" t="e">
        <f>P14-AC14-AG14-AV14-Tableau5617192223242425262827293031333432353620383961719241822254140424344104746[[#This Row],[Provisions pour risques]]</f>
        <v>#REF!</v>
      </c>
      <c r="BP14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4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4" s="33" t="e">
        <f t="shared" si="11"/>
        <v>#REF!</v>
      </c>
      <c r="BS14" s="34" t="e">
        <f>Tableau5617192223242425262827293031333432353620383961719241822254140424344104746[[#This Row],[Consommé global Enregistré à date (€ HT)]]-IFERROR(VLOOKUP(H14,#REF!,50,FALSE),0)</f>
        <v>#REF!</v>
      </c>
      <c r="BT14" s="35" t="e">
        <f t="shared" si="12"/>
        <v>#REF!</v>
      </c>
      <c r="BU14" s="36">
        <f>BD14-IFERROR(VLOOKUP(H14,#REF!,47,FALSE),0)</f>
        <v>0</v>
      </c>
      <c r="BV14" s="37" t="e">
        <f>+BF14+Tableau5617192223242425262827293031333432353620383961719241822254140424344104746[[#This Row],[CA fin N-1]]-IFERROR(VLOOKUP(H14,#REF!,49,FALSE),0)-IFERROR(VLOOKUP(H14,#REF!,50,FALSE),0)</f>
        <v>#REF!</v>
      </c>
      <c r="BW14" s="33" t="e">
        <f>BG14-IFERROR(VLOOKUP(H14,#REF!,51,FALSE),0)</f>
        <v>#REF!</v>
      </c>
      <c r="BX14" s="35" t="e">
        <f t="shared" si="13"/>
        <v>#REF!</v>
      </c>
      <c r="BY14" s="36">
        <f>BD14-IFERROR(VLOOKUP(H14,#REF!,48,FALSE),0)</f>
        <v>0</v>
      </c>
      <c r="BZ1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" s="39" t="e">
        <f>VLOOKUP(Tableau5617192223242425262827293031333432353620383961719241822254140424344104746[[#This Row],[Num Projets]],#REF!,1,FALSE)</f>
        <v>#REF!</v>
      </c>
      <c r="CB14" s="40">
        <v>144</v>
      </c>
      <c r="CC14" s="40">
        <v>1.8750000000011369E-2</v>
      </c>
      <c r="CD1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-144</v>
      </c>
    </row>
    <row r="15" spans="1:82" ht="13.5" customHeight="1" x14ac:dyDescent="0.25">
      <c r="A15" s="311" t="s">
        <v>33</v>
      </c>
      <c r="B15" s="1" t="s">
        <v>30</v>
      </c>
      <c r="C15" s="2" t="e">
        <f>_xlfn.XLOOKUP(Tableau5617192223242425262827293031333432353620383961719241822254140424344104746[[#This Row],[Num Projets]],#REF!,#REF!,FALSE)</f>
        <v>#REF!</v>
      </c>
      <c r="D15" s="3" t="s">
        <v>1</v>
      </c>
      <c r="E15" s="3" t="e">
        <f>_xlfn.XLOOKUP(Tableau5617192223242425262827293031333432353620383961719241822254140424344104746[[#This Row],[Num Projets]],#REF!,#REF!,FALSE)</f>
        <v>#REF!</v>
      </c>
      <c r="F15" s="3" t="e">
        <f>_xlfn.XLOOKUP(Tableau5617192223242425262827293031333432353620383961719241822254140424344104746[[#This Row],[Num Projets]],#REF!,#REF!,"newavr",0)</f>
        <v>#REF!</v>
      </c>
      <c r="G15" s="3" t="s">
        <v>31</v>
      </c>
      <c r="H15" s="3" t="s">
        <v>34</v>
      </c>
      <c r="I1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" s="4" t="e">
        <f>VLOOKUP(Tableau5617192223242425262827293031333432353620383961719241822254140424344104746[[#This Row],[Num Projets]],#REF!,36,FALSE)</f>
        <v>#REF!</v>
      </c>
      <c r="K15" s="5" t="s">
        <v>21</v>
      </c>
      <c r="L1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" s="3" t="e">
        <f>SUBSTITUTE(_xlfn.XLOOKUP(Tableau5617192223242425262827293031333432353620383961719241822254140424344104746[[#This Row],[Num Projets]],#REF!,#REF!,FALSE)," ","")</f>
        <v>#REF!</v>
      </c>
      <c r="N15" s="7" t="e">
        <f>VLOOKUP(H15,#REF!,7,FALSE)</f>
        <v>#REF!</v>
      </c>
      <c r="O15" s="7" t="e">
        <f>IF(VLOOKUP(H15,#REF!,27,FALSE)=0,"",VLOOKUP(H15,#REF!,27,FALSE))</f>
        <v>#REF!</v>
      </c>
      <c r="P15" s="8" t="e">
        <f>VLOOKUP(H15,#REF!,2,FALSE)</f>
        <v>#REF!</v>
      </c>
      <c r="Q15" s="9" t="e">
        <f>Tableau5617192223242425262827293031333432353620383961719241822254140424344104746[[#This Row],[Total Budget
€]]-IFERROR(VLOOKUP(H15,#REF!,8,FALSE),0)</f>
        <v>#REF!</v>
      </c>
      <c r="R15" s="10" t="e">
        <f>AD15+AI15+Tableau5617192223242425262827293031333432353620383961719241822254140424344104746[[#This Row],[Int Commandé OT
€]]+AX15</f>
        <v>#REF!</v>
      </c>
      <c r="S15" s="10" t="e">
        <f>AD15+AJ15+Tableau5617192223242425262827293031333432353620383961719241822254140424344104746[[#This Row],[Int Réalisé OT
€]]+AX15</f>
        <v>#REF!</v>
      </c>
      <c r="T15" s="11" t="e">
        <f t="shared" si="2"/>
        <v>#REF!</v>
      </c>
      <c r="U1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" s="42" t="e">
        <f>Tableau5617192223242425262827293031333432353620383961719241822254140424344104746[[#This Row],[Budget Heures Valorisées
€]]/Tableau5617192223242425262827293031333432353620383961719241822254140424344104746[[#This Row],[Valeur vente Ingenieur (€ HT)]]</f>
        <v>#REF!</v>
      </c>
      <c r="X15" s="13">
        <f>IFERROR(VLOOKUP(H15,#REF!,2,FALSE),0)</f>
        <v>0</v>
      </c>
      <c r="Y15" s="13">
        <f>IFERROR(VLOOKUP(H15,#REF!,3,FALSE),0)</f>
        <v>0</v>
      </c>
      <c r="Z1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2579.7999999999997</v>
      </c>
      <c r="AA15" s="13">
        <f>IFERROR(VLOOKUP(H15,#REF!,18,FALSE),0)</f>
        <v>0</v>
      </c>
      <c r="AB15" s="13">
        <f>SUM(X15:Y15)-IFERROR(VLOOKUP(H15,#REF!,16,FALSE),0)-IFERROR(VLOOKUP(H15,#REF!,17,FALSE),0)</f>
        <v>0</v>
      </c>
      <c r="AC15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5" s="8" t="e">
        <f>(X15*VLOOKUP(H15,#REF!,2,FALSE)+Y15*VLOOKUP(H15,#REF!,3,FALSE))</f>
        <v>#REF!</v>
      </c>
      <c r="AE15" s="8">
        <f t="shared" si="3"/>
        <v>123314.43999999997</v>
      </c>
      <c r="AF15" s="16" t="e">
        <f t="shared" si="4"/>
        <v>#REF!</v>
      </c>
      <c r="AG15" s="62">
        <v>1027858.51</v>
      </c>
      <c r="AH15" s="8">
        <f>IFERROR(VLOOKUP(Tableau5617192223242425262827293031333432353620383961719241822254140424344104746[[#This Row],[Num Projets]],#REF!,2,FALSE),0)</f>
        <v>0</v>
      </c>
      <c r="AI15" s="17">
        <f>+IFERROR(VLOOKUP(H15,#REF!,2,FALSE),0)-Tableau5617192223242425262827293031333432353620383961719241822254140424344104746[[#This Row],[Int Commandé OT
€]]</f>
        <v>0</v>
      </c>
      <c r="AJ15" s="8">
        <f>IFERROR(VLOOKUP(H15,#REF!,11,FALSE),0)-IFERROR(VLOOKUP(H15,#REF!,10,FALSE),0)+Tableau5617192223242425262827293031333432353620383961719241822254140424344104746[[#This Row],[dont FNP à date (€ HT)]]</f>
        <v>2500</v>
      </c>
      <c r="AK15" s="23">
        <f t="shared" si="14"/>
        <v>-2500</v>
      </c>
      <c r="AL1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2500</v>
      </c>
      <c r="AM15" s="19">
        <f>IF(Tableau5617192223242425262827293031333432353620383961719241822254140424344104746[[#This Row],[RAF Achats M-1
€]]=0,0,AN15-AO15)</f>
        <v>0</v>
      </c>
      <c r="AN15" s="8">
        <f>IFERROR(VLOOKUP(H15,#REF!,31,FALSE),0)</f>
        <v>0</v>
      </c>
      <c r="AO15" s="8">
        <f>AI15+-IFERROR(VLOOKUP(H15,#REF!,27,FALSE),0)</f>
        <v>0</v>
      </c>
      <c r="AP15" s="20">
        <f>IFERROR(VLOOKUP(Tableau5617192223242425262827293031333432353620383961719241822254140424344104746[[#This Row],[Num Projets]],#REF!,2,FALSE),0)</f>
        <v>0</v>
      </c>
      <c r="AQ15" s="20">
        <f>_xlfn.XLOOKUP(H15,[2]Synth!$N:$N,[2]Synth!$O:$O,0,FALSE)+_xlfn.XLOOKUP(Tableau5617192223242425262827293031333432353620383961719241822254140424344104746[[#This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10784</v>
      </c>
      <c r="AR15" s="21">
        <v>0</v>
      </c>
      <c r="AS15" s="20">
        <f>+IFERROR(VLOOKUP(H15,#REF!,36,FALSE),0)</f>
        <v>0</v>
      </c>
      <c r="AT1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" s="22">
        <f>IF(AG15=0,0,1-((AI15+AM15+Tableau5617192223242425262827293031333432353620383961719241822254140424344104746[[#This Row],[Int Commandé OT
€]]+Tableau5617192223242425262827293031333432353620383961719241822254140424344104746[[#This Row],[RAF Int OT
€]])/AG15))</f>
        <v>1</v>
      </c>
      <c r="AV15" s="8">
        <f>IFERROR(VLOOKUP(H15,#REF!,4,FALSE),0)+IFERROR(VLOOKUP(H15,#REF!,4,FALSE),0)</f>
        <v>0</v>
      </c>
      <c r="AW15" s="8">
        <f>IFERROR(VLOOKUP(Tableau5617192223242425262827293031333432353620383961719241822254140424344104746[[#This Row],[Num Projets]],#REF!,3,FALSE),0)</f>
        <v>0</v>
      </c>
      <c r="AX15" s="20">
        <f>IFERROR(VLOOKUP(Tableau5617192223242425262827293031333432353620383961719241822254140424344104746[[#This Row],[Num Projets]],#REF!,10,FALSE),0)</f>
        <v>0</v>
      </c>
      <c r="AY15" s="23">
        <f>Tableau5617192223242425262827293031333432353620383961719241822254140424344104746[[#This Row],[Budget Mission
 €]]/1.2-AX15</f>
        <v>0</v>
      </c>
      <c r="AZ15" s="8">
        <f>IFERROR(VLOOKUP(H15,#REF!,43,FALSE),0)</f>
        <v>0</v>
      </c>
      <c r="BA15" s="8">
        <f>AX15-IFERROR(VLOOKUP(H15,#REF!,42,FALSE),0)</f>
        <v>0</v>
      </c>
      <c r="BB15" s="16">
        <f t="shared" si="15"/>
        <v>0</v>
      </c>
      <c r="BC15" s="24">
        <f>IFERROR(VLOOKUP(H15,#REF!,47,FALSE),IFERROR(VLOOKUP(H15,#REF!,5,FALSE),0)+IFERROR(VLOOKUP(H15,#REF!,5,FALSE),0))</f>
        <v>0</v>
      </c>
      <c r="BD15" s="25">
        <f>IFERROR(VLOOKUP(H15,#REF!,2,FALSE),0)</f>
        <v>0</v>
      </c>
      <c r="BE15" s="25">
        <f>IFERROR(VLOOKUP(H15,#REF!,49,FALSE),0)</f>
        <v>0</v>
      </c>
      <c r="BF15" s="26" t="e">
        <f t="shared" si="5"/>
        <v>#REF!</v>
      </c>
      <c r="BG15" s="26" t="e">
        <f t="shared" si="6"/>
        <v>#REF!</v>
      </c>
      <c r="BH15" s="27">
        <f>AE15+ (AI15-AJ15+AM15+Tableau5617192223242425262827293031333432353620383961719241822254140424344104746[[#This Row],[Int Commandé OT
€]]-Tableau5617192223242425262827293031333432353620383961719241822254140424344104746[[#This Row],[Int Réalisé OT
€]]+AR15) +AY15+BC15</f>
        <v>110030.43999999997</v>
      </c>
      <c r="BI15" s="16" t="e">
        <f t="shared" si="7"/>
        <v>#REF!</v>
      </c>
      <c r="BJ15" s="16" t="e">
        <f t="shared" si="8"/>
        <v>#REF!</v>
      </c>
      <c r="BK15" s="27" t="e">
        <f t="shared" si="9"/>
        <v>#REF!</v>
      </c>
      <c r="BL15" s="26" t="e">
        <f t="shared" si="10"/>
        <v>#REF!</v>
      </c>
      <c r="BM15" s="28">
        <f>IFERROR(VLOOKUP(H15,'[1]2023dec'!H:CA,54,FALSE),105)</f>
        <v>96.003616636528022</v>
      </c>
      <c r="BN15" s="29">
        <v>1</v>
      </c>
      <c r="BO15" s="30" t="e">
        <f>P15-AC15-AG15-AV15-Tableau5617192223242425262827293031333432353620383961719241822254140424344104746[[#This Row],[Provisions pour risques]]</f>
        <v>#REF!</v>
      </c>
      <c r="BP15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5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5" s="33" t="e">
        <f t="shared" si="11"/>
        <v>#REF!</v>
      </c>
      <c r="BS15" s="34" t="e">
        <f>Tableau5617192223242425262827293031333432353620383961719241822254140424344104746[[#This Row],[Consommé global Enregistré à date (€ HT)]]-IFERROR(VLOOKUP(H15,#REF!,50,FALSE),0)</f>
        <v>#REF!</v>
      </c>
      <c r="BT15" s="35" t="e">
        <f t="shared" si="12"/>
        <v>#REF!</v>
      </c>
      <c r="BU15" s="36">
        <f>BD15-IFERROR(VLOOKUP(H15,#REF!,47,FALSE),0)</f>
        <v>0</v>
      </c>
      <c r="BV15" s="37" t="e">
        <f>+BF15+Tableau5617192223242425262827293031333432353620383961719241822254140424344104746[[#This Row],[CA fin N-1]]-IFERROR(VLOOKUP(H15,#REF!,49,FALSE),0)-IFERROR(VLOOKUP(H15,#REF!,50,FALSE),0)</f>
        <v>#REF!</v>
      </c>
      <c r="BW15" s="33" t="e">
        <f>BG15-IFERROR(VLOOKUP(H15,#REF!,51,FALSE),0)</f>
        <v>#REF!</v>
      </c>
      <c r="BX15" s="35" t="e">
        <f t="shared" si="13"/>
        <v>#REF!</v>
      </c>
      <c r="BY15" s="36">
        <f>BD15-IFERROR(VLOOKUP(H15,#REF!,48,FALSE),0)</f>
        <v>0</v>
      </c>
      <c r="BZ1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" s="39" t="e">
        <f>VLOOKUP(Tableau5617192223242425262827293031333432353620383961719241822254140424344104746[[#This Row],[Num Projets]],#REF!,1,FALSE)</f>
        <v>#REF!</v>
      </c>
      <c r="CB15" s="40">
        <v>2579.7999999999997</v>
      </c>
      <c r="CC15" s="40">
        <v>0</v>
      </c>
      <c r="CD1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-2579.7999999999997</v>
      </c>
    </row>
    <row r="16" spans="1:82" ht="13.5" customHeight="1" x14ac:dyDescent="0.25">
      <c r="A16" s="311" t="s">
        <v>35</v>
      </c>
      <c r="B16" s="1" t="s">
        <v>30</v>
      </c>
      <c r="C16" s="2" t="e">
        <f>_xlfn.XLOOKUP(Tableau5617192223242425262827293031333432353620383961719241822254140424344104746[[#This Row],[Num Projets]],#REF!,#REF!,FALSE)</f>
        <v>#REF!</v>
      </c>
      <c r="D16" s="3" t="s">
        <v>1</v>
      </c>
      <c r="E16" s="3" t="e">
        <f>_xlfn.XLOOKUP(Tableau5617192223242425262827293031333432353620383961719241822254140424344104746[[#This Row],[Num Projets]],#REF!,#REF!,FALSE)</f>
        <v>#REF!</v>
      </c>
      <c r="F16" s="3" t="e">
        <f>_xlfn.XLOOKUP(Tableau5617192223242425262827293031333432353620383961719241822254140424344104746[[#This Row],[Num Projets]],#REF!,#REF!,"newavr",0)</f>
        <v>#REF!</v>
      </c>
      <c r="G16" s="3" t="s">
        <v>31</v>
      </c>
      <c r="H16" s="3" t="s">
        <v>36</v>
      </c>
      <c r="I1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" s="4" t="e">
        <f>VLOOKUP(Tableau5617192223242425262827293031333432353620383961719241822254140424344104746[[#This Row],[Num Projets]],#REF!,36,FALSE)</f>
        <v>#REF!</v>
      </c>
      <c r="K16" s="5" t="s">
        <v>21</v>
      </c>
      <c r="L1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" s="3" t="e">
        <f>SUBSTITUTE(_xlfn.XLOOKUP(Tableau5617192223242425262827293031333432353620383961719241822254140424344104746[[#This Row],[Num Projets]],#REF!,#REF!,FALSE)," ","")</f>
        <v>#REF!</v>
      </c>
      <c r="N16" s="7" t="e">
        <f>VLOOKUP(H16,#REF!,7,FALSE)</f>
        <v>#REF!</v>
      </c>
      <c r="O16" s="7" t="e">
        <f>IF(VLOOKUP(H16,#REF!,27,FALSE)=0,"",VLOOKUP(H16,#REF!,27,FALSE))</f>
        <v>#REF!</v>
      </c>
      <c r="P16" s="8" t="e">
        <f>VLOOKUP(H16,#REF!,2,FALSE)</f>
        <v>#REF!</v>
      </c>
      <c r="Q16" s="9" t="e">
        <f>Tableau5617192223242425262827293031333432353620383961719241822254140424344104746[[#This Row],[Total Budget
€]]-IFERROR(VLOOKUP(H16,#REF!,8,FALSE),0)</f>
        <v>#REF!</v>
      </c>
      <c r="R16" s="10" t="e">
        <f>AD16+AI16+Tableau5617192223242425262827293031333432353620383961719241822254140424344104746[[#This Row],[Int Commandé OT
€]]+AX16</f>
        <v>#REF!</v>
      </c>
      <c r="S16" s="10" t="e">
        <f>AD16+AJ16+Tableau5617192223242425262827293031333432353620383961719241822254140424344104746[[#This Row],[Int Réalisé OT
€]]+AX16</f>
        <v>#REF!</v>
      </c>
      <c r="T16" s="11" t="e">
        <f t="shared" si="2"/>
        <v>#REF!</v>
      </c>
      <c r="U1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" s="42" t="e">
        <f>Tableau5617192223242425262827293031333432353620383961719241822254140424344104746[[#This Row],[Budget Heures Valorisées
€]]/Tableau5617192223242425262827293031333432353620383961719241822254140424344104746[[#This Row],[Valeur vente Ingenieur (€ HT)]]</f>
        <v>#REF!</v>
      </c>
      <c r="X16" s="13">
        <f>IFERROR(VLOOKUP(H16,#REF!,2,FALSE),0)</f>
        <v>0</v>
      </c>
      <c r="Y16" s="13">
        <f>IFERROR(VLOOKUP(H16,#REF!,3,FALSE),0)</f>
        <v>0</v>
      </c>
      <c r="Z1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3052.3</v>
      </c>
      <c r="AA16" s="13">
        <f>IFERROR(VLOOKUP(H16,#REF!,18,FALSE),0)</f>
        <v>0</v>
      </c>
      <c r="AB16" s="13">
        <f>SUM(X16:Y16)-IFERROR(VLOOKUP(H16,#REF!,16,FALSE),0)-IFERROR(VLOOKUP(H16,#REF!,17,FALSE),0)</f>
        <v>0</v>
      </c>
      <c r="AC16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6" s="8" t="e">
        <f>(X16*VLOOKUP(H16,#REF!,2,FALSE)+Y16*VLOOKUP(H16,#REF!,3,FALSE))</f>
        <v>#REF!</v>
      </c>
      <c r="AE16" s="8">
        <f t="shared" si="3"/>
        <v>145899.94</v>
      </c>
      <c r="AF16" s="16" t="e">
        <f t="shared" si="4"/>
        <v>#REF!</v>
      </c>
      <c r="AG16" s="62">
        <v>130793.18000000001</v>
      </c>
      <c r="AH16" s="8">
        <f>IFERROR(VLOOKUP(Tableau5617192223242425262827293031333432353620383961719241822254140424344104746[[#This Row],[Num Projets]],#REF!,2,FALSE),0)</f>
        <v>0</v>
      </c>
      <c r="AI16" s="17">
        <f>+IFERROR(VLOOKUP(H16,#REF!,2,FALSE),0)-Tableau5617192223242425262827293031333432353620383961719241822254140424344104746[[#This Row],[Int Commandé OT
€]]</f>
        <v>0</v>
      </c>
      <c r="AJ16" s="8">
        <f>IFERROR(VLOOKUP(H16,#REF!,11,FALSE),0)-IFERROR(VLOOKUP(H16,#REF!,10,FALSE),0)+Tableau5617192223242425262827293031333432353620383961719241822254140424344104746[[#This Row],[dont FNP à date (€ HT)]]</f>
        <v>8117</v>
      </c>
      <c r="AK16" s="23">
        <f t="shared" si="14"/>
        <v>-8117</v>
      </c>
      <c r="AL1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8117</v>
      </c>
      <c r="AM16" s="19">
        <f>IF(Tableau5617192223242425262827293031333432353620383961719241822254140424344104746[[#This Row],[RAF Achats M-1
€]]=0,0,AN16-AO16)</f>
        <v>0</v>
      </c>
      <c r="AN16" s="8">
        <f>IFERROR(VLOOKUP(H16,#REF!,31,FALSE),0)</f>
        <v>0</v>
      </c>
      <c r="AO16" s="8">
        <f>AI16+-IFERROR(VLOOKUP(H16,#REF!,27,FALSE),0)</f>
        <v>0</v>
      </c>
      <c r="AP16" s="20">
        <f>IFERROR(VLOOKUP(Tableau5617192223242425262827293031333432353620383961719241822254140424344104746[[#This Row],[Num Projets]],#REF!,2,FALSE),0)</f>
        <v>0</v>
      </c>
      <c r="AQ16" s="20">
        <f>_xlfn.XLOOKUP(H16,[2]Synth!$N:$N,[2]Synth!$O:$O,0,FALSE)+_xlfn.XLOOKUP(Tableau5617192223242425262827293031333432353620383961719241822254140424344104746[[#This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9426.3700000000008</v>
      </c>
      <c r="AR16" s="21">
        <v>0</v>
      </c>
      <c r="AS16" s="20">
        <f>+IFERROR(VLOOKUP(H16,#REF!,36,FALSE),0)</f>
        <v>0</v>
      </c>
      <c r="AT1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" s="22">
        <f>IF(AG16=0,0,1-((AI16+AM16+Tableau5617192223242425262827293031333432353620383961719241822254140424344104746[[#This Row],[Int Commandé OT
€]]+Tableau5617192223242425262827293031333432353620383961719241822254140424344104746[[#This Row],[RAF Int OT
€]])/AG16))</f>
        <v>1</v>
      </c>
      <c r="AV16" s="8">
        <f>IFERROR(VLOOKUP(H16,#REF!,4,FALSE),0)+IFERROR(VLOOKUP(H16,#REF!,4,FALSE),0)</f>
        <v>0</v>
      </c>
      <c r="AW16" s="8">
        <f>IFERROR(VLOOKUP(Tableau5617192223242425262827293031333432353620383961719241822254140424344104746[[#This Row],[Num Projets]],#REF!,3,FALSE),0)</f>
        <v>0</v>
      </c>
      <c r="AX16" s="20">
        <f>IFERROR(VLOOKUP(Tableau5617192223242425262827293031333432353620383961719241822254140424344104746[[#This Row],[Num Projets]],#REF!,10,FALSE),0)</f>
        <v>0</v>
      </c>
      <c r="AY16" s="23">
        <v>0</v>
      </c>
      <c r="AZ16" s="8">
        <f>IFERROR(VLOOKUP(H16,#REF!,43,FALSE),0)</f>
        <v>0</v>
      </c>
      <c r="BA16" s="8">
        <f>AX16-IFERROR(VLOOKUP(H16,#REF!,42,FALSE),0)</f>
        <v>0</v>
      </c>
      <c r="BB16" s="16">
        <f t="shared" si="15"/>
        <v>0</v>
      </c>
      <c r="BC16" s="24">
        <f>IFERROR(VLOOKUP(H16,#REF!,47,FALSE),IFERROR(VLOOKUP(H16,#REF!,5,FALSE),0)+IFERROR(VLOOKUP(H16,#REF!,5,FALSE),0))</f>
        <v>0</v>
      </c>
      <c r="BD16" s="25">
        <f>IFERROR(VLOOKUP(H16,#REF!,2,FALSE),0)</f>
        <v>0</v>
      </c>
      <c r="BE16" s="25">
        <f>IFERROR(VLOOKUP(H16,#REF!,49,FALSE),0)</f>
        <v>0</v>
      </c>
      <c r="BF16" s="26" t="e">
        <f t="shared" si="5"/>
        <v>#REF!</v>
      </c>
      <c r="BG16" s="26" t="e">
        <f t="shared" si="6"/>
        <v>#REF!</v>
      </c>
      <c r="BH16" s="27">
        <f>AE16+ (AI16-AJ16+AM16+Tableau5617192223242425262827293031333432353620383961719241822254140424344104746[[#This Row],[Int Commandé OT
€]]-Tableau5617192223242425262827293031333432353620383961719241822254140424344104746[[#This Row],[Int Réalisé OT
€]]+AR16) +AY16+BC16</f>
        <v>128356.57</v>
      </c>
      <c r="BI16" s="63" t="e">
        <f t="shared" si="7"/>
        <v>#REF!</v>
      </c>
      <c r="BJ16" s="16" t="e">
        <f t="shared" si="8"/>
        <v>#REF!</v>
      </c>
      <c r="BK16" s="27" t="e">
        <f t="shared" si="9"/>
        <v>#REF!</v>
      </c>
      <c r="BL16" s="26" t="e">
        <f t="shared" si="10"/>
        <v>#REF!</v>
      </c>
      <c r="BM16" s="28">
        <f>IFERROR(VLOOKUP(H16,'[1]2023dec'!H:CA,54,FALSE),105)</f>
        <v>96</v>
      </c>
      <c r="BN16" s="29">
        <v>1</v>
      </c>
      <c r="BO16" s="30" t="e">
        <f>P16-AC16-AG16-AV16-Tableau5617192223242425262827293031333432353620383961719241822254140424344104746[[#This Row],[Provisions pour risques]]</f>
        <v>#REF!</v>
      </c>
      <c r="BP16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6" s="33" t="e">
        <f t="shared" si="11"/>
        <v>#REF!</v>
      </c>
      <c r="BS16" s="34" t="e">
        <f>Tableau5617192223242425262827293031333432353620383961719241822254140424344104746[[#This Row],[Consommé global Enregistré à date (€ HT)]]-IFERROR(VLOOKUP(H16,#REF!,50,FALSE),0)</f>
        <v>#REF!</v>
      </c>
      <c r="BT16" s="35" t="e">
        <f t="shared" si="12"/>
        <v>#REF!</v>
      </c>
      <c r="BU16" s="36">
        <f>BD16-IFERROR(VLOOKUP(H16,#REF!,47,FALSE),0)</f>
        <v>0</v>
      </c>
      <c r="BV16" s="37" t="e">
        <f>+BF16+Tableau5617192223242425262827293031333432353620383961719241822254140424344104746[[#This Row],[CA fin N-1]]-IFERROR(VLOOKUP(H16,#REF!,49,FALSE),0)-IFERROR(VLOOKUP(H16,#REF!,50,FALSE),0)</f>
        <v>#REF!</v>
      </c>
      <c r="BW16" s="33" t="e">
        <f>BG16-IFERROR(VLOOKUP(H16,#REF!,51,FALSE),0)</f>
        <v>#REF!</v>
      </c>
      <c r="BX16" s="35" t="e">
        <f t="shared" si="13"/>
        <v>#REF!</v>
      </c>
      <c r="BY16" s="36">
        <f>BD16-IFERROR(VLOOKUP(H16,#REF!,48,FALSE),0)</f>
        <v>0</v>
      </c>
      <c r="BZ1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" s="39" t="e">
        <f>VLOOKUP(Tableau5617192223242425262827293031333432353620383961719241822254140424344104746[[#This Row],[Num Projets]],#REF!,1,FALSE)</f>
        <v>#REF!</v>
      </c>
      <c r="CB16" s="40">
        <v>3052.3</v>
      </c>
      <c r="CC16" s="40">
        <v>0</v>
      </c>
      <c r="CD1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-3052.3</v>
      </c>
    </row>
    <row r="17" spans="1:82" ht="13.5" customHeight="1" x14ac:dyDescent="0.25">
      <c r="A17" s="311" t="s">
        <v>37</v>
      </c>
      <c r="B17" s="1"/>
      <c r="C17" s="2" t="e">
        <f>_xlfn.XLOOKUP(Tableau5617192223242425262827293031333432353620383961719241822254140424344104746[[#This Row],[Num Projets]],#REF!,#REF!,FALSE)</f>
        <v>#REF!</v>
      </c>
      <c r="D17" s="3" t="s">
        <v>6</v>
      </c>
      <c r="E17" s="3" t="e">
        <f>_xlfn.XLOOKUP(Tableau5617192223242425262827293031333432353620383961719241822254140424344104746[[#This Row],[Num Projets]],#REF!,#REF!,FALSE)</f>
        <v>#REF!</v>
      </c>
      <c r="F17" s="3" t="e">
        <f>_xlfn.XLOOKUP(Tableau5617192223242425262827293031333432353620383961719241822254140424344104746[[#This Row],[Num Projets]],#REF!,#REF!,"newavr",0)</f>
        <v>#REF!</v>
      </c>
      <c r="G17" s="3" t="s">
        <v>2</v>
      </c>
      <c r="H17" s="3" t="s">
        <v>38</v>
      </c>
      <c r="I1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" s="4" t="e">
        <f>VLOOKUP(Tableau5617192223242425262827293031333432353620383961719241822254140424344104746[[#This Row],[Num Projets]],#REF!,36,FALSE)</f>
        <v>#REF!</v>
      </c>
      <c r="K17" s="5" t="s">
        <v>9</v>
      </c>
      <c r="L1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" s="3" t="e">
        <f>SUBSTITUTE(_xlfn.XLOOKUP(Tableau5617192223242425262827293031333432353620383961719241822254140424344104746[[#This Row],[Num Projets]],#REF!,#REF!,FALSE)," ","")</f>
        <v>#REF!</v>
      </c>
      <c r="N17" s="7" t="e">
        <f>VLOOKUP(H17,#REF!,7,FALSE)</f>
        <v>#REF!</v>
      </c>
      <c r="O17" s="7" t="e">
        <f>IF(VLOOKUP(H17,#REF!,27,FALSE)=0,"",VLOOKUP(H17,#REF!,27,FALSE))</f>
        <v>#REF!</v>
      </c>
      <c r="P17" s="8" t="e">
        <f>VLOOKUP(H17,#REF!,2,FALSE)</f>
        <v>#REF!</v>
      </c>
      <c r="Q17" s="9" t="e">
        <f>Tableau5617192223242425262827293031333432353620383961719241822254140424344104746[[#This Row],[Total Budget
€]]-IFERROR(VLOOKUP(H17,#REF!,8,FALSE),0)</f>
        <v>#REF!</v>
      </c>
      <c r="R17" s="10" t="e">
        <f>AD17+AI17+Tableau5617192223242425262827293031333432353620383961719241822254140424344104746[[#This Row],[Int Commandé OT
€]]+AX17</f>
        <v>#REF!</v>
      </c>
      <c r="S17" s="10" t="e">
        <f>AD17+AJ17+Tableau5617192223242425262827293031333432353620383961719241822254140424344104746[[#This Row],[Int Réalisé OT
€]]+AX17</f>
        <v>#REF!</v>
      </c>
      <c r="T17" s="11" t="e">
        <f t="shared" si="2"/>
        <v>#REF!</v>
      </c>
      <c r="U1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" s="12">
        <f>IFERROR(VLOOKUP(H17,#REF!,2,FALSE),0)</f>
        <v>0</v>
      </c>
      <c r="X17" s="13">
        <f>IFERROR(VLOOKUP(H17,#REF!,2,FALSE),0)</f>
        <v>0</v>
      </c>
      <c r="Y17" s="13">
        <f>IFERROR(VLOOKUP(H17,#REF!,3,FALSE),0)</f>
        <v>0</v>
      </c>
      <c r="Z1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140</v>
      </c>
      <c r="AA17" s="13">
        <f>IFERROR(VLOOKUP(H17,#REF!,18,FALSE),0)</f>
        <v>0</v>
      </c>
      <c r="AB17" s="13">
        <f>SUM(X17:Y17)-IFERROR(VLOOKUP(H17,#REF!,16,FALSE),0)-IFERROR(VLOOKUP(H17,#REF!,17,FALSE),0)</f>
        <v>0</v>
      </c>
      <c r="AC17" s="15">
        <f>W17*BM17</f>
        <v>0</v>
      </c>
      <c r="AD17" s="8" t="e">
        <f>(X17*VLOOKUP(H17,#REF!,2,FALSE)+Y17*VLOOKUP(H17,#REF!,3,FALSE))</f>
        <v>#REF!</v>
      </c>
      <c r="AE17" s="8">
        <f t="shared" si="3"/>
        <v>6692</v>
      </c>
      <c r="AF17" s="16">
        <f t="shared" si="4"/>
        <v>0</v>
      </c>
      <c r="AG17" s="8">
        <f>IFERROR(VLOOKUP(H17,#REF!,3,FALSE),0)+IFERROR(VLOOKUP(H17,#REF!,3,FALSE),0)</f>
        <v>0</v>
      </c>
      <c r="AH17" s="8">
        <f>IFERROR(VLOOKUP(Tableau5617192223242425262827293031333432353620383961719241822254140424344104746[[#This Row],[Num Projets]],#REF!,2,FALSE),0)</f>
        <v>0</v>
      </c>
      <c r="AI17" s="17">
        <f>+IFERROR(VLOOKUP(H17,#REF!,2,FALSE),0)-Tableau5617192223242425262827293031333432353620383961719241822254140424344104746[[#This Row],[Int Commandé OT
€]]</f>
        <v>0</v>
      </c>
      <c r="AJ17" s="8">
        <f>IFERROR(VLOOKUP(H17,#REF!,11,FALSE),0)-IFERROR(VLOOKUP(H17,#REF!,10,FALSE),0)+Tableau5617192223242425262827293031333432353620383961719241822254140424344104746[[#This Row],[dont FNP à date (€ HT)]]</f>
        <v>0</v>
      </c>
      <c r="AK17" s="15">
        <f t="shared" si="14"/>
        <v>0</v>
      </c>
      <c r="AL1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" s="19">
        <f>IF(Tableau5617192223242425262827293031333432353620383961719241822254140424344104746[[#This Row],[RAF Achats M-1
€]]=0,0,AN17-AO17)</f>
        <v>0</v>
      </c>
      <c r="AN17" s="8">
        <f>IFERROR(VLOOKUP(H17,#REF!,31,FALSE),0)</f>
        <v>0</v>
      </c>
      <c r="AO17" s="8">
        <f>AI17+-IFERROR(VLOOKUP(H17,#REF!,27,FALSE),0)</f>
        <v>0</v>
      </c>
      <c r="AP17" s="20">
        <f>IFERROR(VLOOKUP(Tableau5617192223242425262827293031333432353620383961719241822254140424344104746[[#This Row],[Num Projets]],#REF!,2,FALSE),0)</f>
        <v>0</v>
      </c>
      <c r="AQ17" s="20">
        <f>_xlfn.XLOOKUP(H17,[2]Synth!$N:$N,[2]Synth!$O:$O,0,FALSE)+_xlfn.XLOOKUP(Tableau5617192223242425262827293031333432353620383961719241822254140424344104746[[#This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" s="21">
        <v>0</v>
      </c>
      <c r="AS17" s="20">
        <f>+IFERROR(VLOOKUP(H17,#REF!,36,FALSE),0)</f>
        <v>0</v>
      </c>
      <c r="AT1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" s="22">
        <f>IF(AG17=0,0,1-((AI17+AM17+Tableau5617192223242425262827293031333432353620383961719241822254140424344104746[[#This Row],[Int Commandé OT
€]]+Tableau5617192223242425262827293031333432353620383961719241822254140424344104746[[#This Row],[RAF Int OT
€]])/AG17))</f>
        <v>0</v>
      </c>
      <c r="AV17" s="8">
        <f>IFERROR(VLOOKUP(H17,#REF!,4,FALSE),0)+IFERROR(VLOOKUP(H17,#REF!,4,FALSE),0)</f>
        <v>0</v>
      </c>
      <c r="AW17" s="8">
        <f>IFERROR(VLOOKUP(Tableau5617192223242425262827293031333432353620383961719241822254140424344104746[[#This Row],[Num Projets]],#REF!,3,FALSE),0)</f>
        <v>0</v>
      </c>
      <c r="AX17" s="20">
        <f>IFERROR(VLOOKUP(Tableau5617192223242425262827293031333432353620383961719241822254140424344104746[[#This Row],[Num Projets]],#REF!,10,FALSE),0)</f>
        <v>0</v>
      </c>
      <c r="AY17" s="23">
        <f>Tableau5617192223242425262827293031333432353620383961719241822254140424344104746[[#This Row],[Budget Mission
 €]]/1.2-AX17</f>
        <v>0</v>
      </c>
      <c r="AZ17" s="8">
        <f>IFERROR(VLOOKUP(H17,#REF!,43,FALSE),0)</f>
        <v>0</v>
      </c>
      <c r="BA17" s="8">
        <f>AX17-IFERROR(VLOOKUP(H17,#REF!,42,FALSE),0)</f>
        <v>0</v>
      </c>
      <c r="BB17" s="16">
        <f t="shared" si="15"/>
        <v>0</v>
      </c>
      <c r="BC17" s="24">
        <f>IFERROR(VLOOKUP(H17,#REF!,47,FALSE),IFERROR(VLOOKUP(H17,#REF!,5,FALSE),0)+IFERROR(VLOOKUP(H17,#REF!,5,FALSE),0))</f>
        <v>0</v>
      </c>
      <c r="BD17" s="25">
        <f>IFERROR(VLOOKUP(H17,#REF!,2,FALSE),0)</f>
        <v>0</v>
      </c>
      <c r="BE17" s="25">
        <f>IFERROR(VLOOKUP(H17,#REF!,49,FALSE),0)</f>
        <v>0</v>
      </c>
      <c r="BF17" s="26" t="e">
        <f t="shared" si="5"/>
        <v>#REF!</v>
      </c>
      <c r="BG17" s="26" t="e">
        <f t="shared" si="6"/>
        <v>#REF!</v>
      </c>
      <c r="BH17" s="27">
        <f>AE17+ (AI17-AJ17+AM17+Tableau5617192223242425262827293031333432353620383961719241822254140424344104746[[#This Row],[Int Commandé OT
€]]-Tableau5617192223242425262827293031333432353620383961719241822254140424344104746[[#This Row],[Int Réalisé OT
€]]+AR17) +AY17+BC17</f>
        <v>6692</v>
      </c>
      <c r="BI17" s="16" t="e">
        <f t="shared" si="7"/>
        <v>#REF!</v>
      </c>
      <c r="BJ17" s="16" t="e">
        <f t="shared" si="8"/>
        <v>#REF!</v>
      </c>
      <c r="BK17" s="27" t="e">
        <f t="shared" si="9"/>
        <v>#REF!</v>
      </c>
      <c r="BL17" s="26" t="e">
        <f t="shared" si="10"/>
        <v>#REF!</v>
      </c>
      <c r="BM17" s="28">
        <f>IFERROR(VLOOKUP(H17,'[1]2023dec'!H:CA,54,FALSE),105)</f>
        <v>96.124031007751938</v>
      </c>
      <c r="BN17" s="29">
        <v>1</v>
      </c>
      <c r="BO17" s="30" t="e">
        <f>P17-AC17-AG17-AV17-Tableau5617192223242425262827293031333432353620383961719241822254140424344104746[[#This Row],[Provisions pour risques]]</f>
        <v>#REF!</v>
      </c>
      <c r="BP17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7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7" s="33" t="e">
        <f t="shared" si="11"/>
        <v>#REF!</v>
      </c>
      <c r="BS17" s="34" t="e">
        <f>Tableau5617192223242425262827293031333432353620383961719241822254140424344104746[[#This Row],[Consommé global Enregistré à date (€ HT)]]-IFERROR(VLOOKUP(H17,#REF!,50,FALSE),0)</f>
        <v>#REF!</v>
      </c>
      <c r="BT17" s="35" t="e">
        <f t="shared" si="12"/>
        <v>#REF!</v>
      </c>
      <c r="BU17" s="36">
        <f>BD17-IFERROR(VLOOKUP(H17,#REF!,47,FALSE),0)</f>
        <v>0</v>
      </c>
      <c r="BV17" s="37" t="e">
        <f>+BF17+Tableau5617192223242425262827293031333432353620383961719241822254140424344104746[[#This Row],[CA fin N-1]]-IFERROR(VLOOKUP(H17,#REF!,49,FALSE),0)-IFERROR(VLOOKUP(H17,#REF!,50,FALSE),0)</f>
        <v>#REF!</v>
      </c>
      <c r="BW17" s="33" t="e">
        <f>BG17-IFERROR(VLOOKUP(H17,#REF!,51,FALSE),0)</f>
        <v>#REF!</v>
      </c>
      <c r="BX17" s="35" t="e">
        <f t="shared" si="13"/>
        <v>#REF!</v>
      </c>
      <c r="BY17" s="36">
        <f>BD17-IFERROR(VLOOKUP(H17,#REF!,48,FALSE),0)</f>
        <v>0</v>
      </c>
      <c r="BZ1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" s="39" t="e">
        <f>VLOOKUP(Tableau5617192223242425262827293031333432353620383961719241822254140424344104746[[#This Row],[Num Projets]],#REF!,1,FALSE)</f>
        <v>#REF!</v>
      </c>
      <c r="CB17" s="40">
        <v>140</v>
      </c>
      <c r="CC17" s="40">
        <v>0</v>
      </c>
      <c r="CD1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-140</v>
      </c>
    </row>
    <row r="18" spans="1:82" s="315" customFormat="1" ht="13.5" customHeight="1" x14ac:dyDescent="0.25">
      <c r="A18" s="314" t="s">
        <v>39</v>
      </c>
      <c r="B18" s="64"/>
      <c r="C18" s="65" t="e">
        <f>_xlfn.XLOOKUP(Tableau5617192223242425262827293031333432353620383961719241822254140424344104746[[#This Row],[Num Projets]],#REF!,#REF!,FALSE)</f>
        <v>#REF!</v>
      </c>
      <c r="D18" s="65" t="s">
        <v>40</v>
      </c>
      <c r="E18" s="65" t="e">
        <f>_xlfn.XLOOKUP(Tableau5617192223242425262827293031333432353620383961719241822254140424344104746[[#This Row],[Num Projets]],#REF!,#REF!,FALSE)</f>
        <v>#REF!</v>
      </c>
      <c r="F18" s="3" t="s">
        <v>41</v>
      </c>
      <c r="G18" s="3" t="s">
        <v>2</v>
      </c>
      <c r="H18" s="65" t="s">
        <v>42</v>
      </c>
      <c r="I18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" s="4" t="e">
        <f>VLOOKUP(Tableau5617192223242425262827293031333432353620383961719241822254140424344104746[[#This Row],[Num Projets]],#REF!,36,FALSE)</f>
        <v>#REF!</v>
      </c>
      <c r="K18" s="5" t="s">
        <v>21</v>
      </c>
      <c r="L1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" s="3" t="s">
        <v>43</v>
      </c>
      <c r="N18" s="67" t="e">
        <f>VLOOKUP(H18,#REF!,7,FALSE)</f>
        <v>#REF!</v>
      </c>
      <c r="O18" s="67">
        <v>45808</v>
      </c>
      <c r="P18" s="17" t="e">
        <f>VLOOKUP(H18,#REF!,2,FALSE)</f>
        <v>#REF!</v>
      </c>
      <c r="Q18" s="9" t="e">
        <f>Tableau5617192223242425262827293031333432353620383961719241822254140424344104746[[#This Row],[Total Budget
€]]-IFERROR(VLOOKUP(H18,#REF!,8,FALSE),0)</f>
        <v>#REF!</v>
      </c>
      <c r="R18" s="68" t="e">
        <f>AD18+AI18+Tableau5617192223242425262827293031333432353620383961719241822254140424344104746[[#This Row],[Int Commandé OT
€]]+AX18</f>
        <v>#REF!</v>
      </c>
      <c r="S18" s="68" t="e">
        <f>AD18+AJ18+Tableau5617192223242425262827293031333432353620383961719241822254140424344104746[[#This Row],[Int Réalisé OT
€]]+AX18</f>
        <v>#REF!</v>
      </c>
      <c r="T18" s="69" t="e">
        <f t="shared" si="2"/>
        <v>#REF!</v>
      </c>
      <c r="U1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" s="69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" s="17">
        <f>IFERROR(VLOOKUP(H18,#REF!,2,FALSE),0)+726+57+15+40+5522/105</f>
        <v>890.59047619047624</v>
      </c>
      <c r="X18" s="13">
        <f>IFERROR(VLOOKUP(H18,#REF!,2,FALSE),0)</f>
        <v>0</v>
      </c>
      <c r="Y18" s="70">
        <f>IFERROR(VLOOKUP(H18,#REF!,3,FALSE),0)</f>
        <v>0</v>
      </c>
      <c r="Z1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11784.5</v>
      </c>
      <c r="AA18" s="13">
        <f>IFERROR(VLOOKUP(H18,#REF!,18,FALSE),0)</f>
        <v>0</v>
      </c>
      <c r="AB18" s="13">
        <f>SUM(X18:Y18)-IFERROR(VLOOKUP(H18,#REF!,16,FALSE),0)-IFERROR(VLOOKUP(H18,#REF!,17,FALSE),0)</f>
        <v>0</v>
      </c>
      <c r="AC18" s="68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8" s="17" t="e">
        <f>(X18*VLOOKUP(H18,#REF!,2,FALSE)+Y18*VLOOKUP(H18,#REF!,3,FALSE))</f>
        <v>#REF!</v>
      </c>
      <c r="AE18" s="17">
        <f>Z18*47.8</f>
        <v>563299.1</v>
      </c>
      <c r="AF18" s="69" t="e">
        <f t="shared" si="4"/>
        <v>#REF!</v>
      </c>
      <c r="AG18" s="17">
        <f>IFERROR(VLOOKUP(H18,#REF!,3,FALSE),0)+IFERROR(VLOOKUP(H18,#REF!,3,FALSE),0)+14365*1.2-3900</f>
        <v>13338</v>
      </c>
      <c r="AH18" s="17">
        <f>IFERROR(VLOOKUP(Tableau5617192223242425262827293031333432353620383961719241822254140424344104746[[#This Row],[Num Projets]],#REF!,2,FALSE),0)</f>
        <v>0</v>
      </c>
      <c r="AI18" s="17">
        <f>+IFERROR(VLOOKUP(H18,#REF!,2,FALSE),0)-Tableau5617192223242425262827293031333432353620383961719241822254140424344104746[[#This Row],[Int Commandé OT
€]]</f>
        <v>0</v>
      </c>
      <c r="AJ18" s="17">
        <f>IFERROR(VLOOKUP(H18,#REF!,11,FALSE),0)-IFERROR(VLOOKUP(H18,#REF!,10,FALSE),0)+Tableau5617192223242425262827293031333432353620383961719241822254140424344104746[[#This Row],[dont FNP à date (€ HT)]]</f>
        <v>3171.2</v>
      </c>
      <c r="AK18" s="68">
        <f t="shared" si="14"/>
        <v>-3171.2</v>
      </c>
      <c r="AL1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3171.2</v>
      </c>
      <c r="AM18" s="19">
        <f>IF(Tableau5617192223242425262827293031333432353620383961719241822254140424344104746[[#This Row],[RAF Achats M-1
€]]=0,0,AN18-AO18)</f>
        <v>0</v>
      </c>
      <c r="AN18" s="20">
        <f>IFERROR(VLOOKUP(H18,#REF!,31,FALSE),0)</f>
        <v>0</v>
      </c>
      <c r="AO18" s="20">
        <f>AI18+-IFERROR(VLOOKUP(H18,#REF!,27,FALSE),0)</f>
        <v>0</v>
      </c>
      <c r="AP18" s="17">
        <f>IFERROR(VLOOKUP(Tableau5617192223242425262827293031333432353620383961719241822254140424344104746[[#This Row],[Num Projets]],#REF!,2,FALSE),0)</f>
        <v>0</v>
      </c>
      <c r="AQ18" s="20">
        <f>_xlfn.XLOOKUP(H18,[2]Synth!$N:$N,[2]Synth!$O:$O,0,FALSE)+_xlfn.XLOOKUP(Tableau5617192223242425262827293031333432353620383961719241822254140424344104746[[#This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14364.27</v>
      </c>
      <c r="AR18" s="21">
        <v>0</v>
      </c>
      <c r="AS18" s="20">
        <f>+IFERROR(VLOOKUP(H18,#REF!,36,FALSE),0)</f>
        <v>0</v>
      </c>
      <c r="AT1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" s="22">
        <f>IF(AG18=0,0,1-((AI18+AM18+Tableau5617192223242425262827293031333432353620383961719241822254140424344104746[[#This Row],[Int Commandé OT
€]]+Tableau5617192223242425262827293031333432353620383961719241822254140424344104746[[#This Row],[RAF Int OT
€]])/AG18))</f>
        <v>1</v>
      </c>
      <c r="AV18" s="17">
        <f>IFERROR(VLOOKUP(H18,#REF!,4,FALSE),0)+IFERROR(VLOOKUP(H18,#REF!,4,FALSE),0)</f>
        <v>0</v>
      </c>
      <c r="AW18" s="17">
        <f>IFERROR(VLOOKUP(Tableau5617192223242425262827293031333432353620383961719241822254140424344104746[[#This Row],[Num Projets]],#REF!,3,FALSE),0)</f>
        <v>0</v>
      </c>
      <c r="AX18" s="17">
        <f>IFERROR(VLOOKUP(Tableau5617192223242425262827293031333432353620383961719241822254140424344104746[[#This Row],[Num Projets]],#REF!,10,FALSE),0)</f>
        <v>0</v>
      </c>
      <c r="AY18" s="23">
        <v>0</v>
      </c>
      <c r="AZ18" s="20">
        <f>IFERROR(VLOOKUP(H18,#REF!,43,FALSE),0)</f>
        <v>0</v>
      </c>
      <c r="BA18" s="20">
        <f>AX18-IFERROR(VLOOKUP(H18,#REF!,42,FALSE),0)</f>
        <v>0</v>
      </c>
      <c r="BB18" s="69">
        <f t="shared" si="15"/>
        <v>0</v>
      </c>
      <c r="BC18" s="24">
        <f>IFERROR(VLOOKUP(H18,#REF!,47,FALSE),IFERROR(VLOOKUP(H18,#REF!,5,FALSE),0)+IFERROR(VLOOKUP(H18,#REF!,5,FALSE),0))</f>
        <v>0</v>
      </c>
      <c r="BD18" s="71">
        <f>IFERROR(VLOOKUP(H18,#REF!,2,FALSE),0)</f>
        <v>0</v>
      </c>
      <c r="BE18" s="24">
        <f>IFERROR(VLOOKUP(H18,#REF!,49,FALSE),0)</f>
        <v>0</v>
      </c>
      <c r="BF18" s="72" t="e">
        <f t="shared" si="5"/>
        <v>#REF!</v>
      </c>
      <c r="BG18" s="72" t="e">
        <f t="shared" si="6"/>
        <v>#REF!</v>
      </c>
      <c r="BH18" s="73">
        <f>AE18+ (AI18-AJ18+AM18+Tableau5617192223242425262827293031333432353620383961719241822254140424344104746[[#This Row],[Int Commandé OT
€]]-Tableau5617192223242425262827293031333432353620383961719241822254140424344104746[[#This Row],[Int Réalisé OT
€]]+AR18) +AY18+BC18</f>
        <v>545763.63</v>
      </c>
      <c r="BI18" s="69" t="e">
        <f t="shared" si="7"/>
        <v>#REF!</v>
      </c>
      <c r="BJ18" s="69" t="e">
        <f t="shared" si="8"/>
        <v>#REF!</v>
      </c>
      <c r="BK18" s="73" t="e">
        <f t="shared" si="9"/>
        <v>#REF!</v>
      </c>
      <c r="BL18" s="72" t="e">
        <f t="shared" si="10"/>
        <v>#REF!</v>
      </c>
      <c r="BM18" s="74">
        <f>IFERROR(VLOOKUP(H18,'[1]2023dec'!H:CA,54,FALSE),105)</f>
        <v>96</v>
      </c>
      <c r="BN18" s="75">
        <v>1</v>
      </c>
      <c r="BO18" s="30" t="e">
        <f>P18-AC18-AG18-AV18-Tableau5617192223242425262827293031333432353620383961719241822254140424344104746[[#This Row],[Provisions pour risques]]</f>
        <v>#REF!</v>
      </c>
      <c r="BP18" s="76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8" s="77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8" s="78" t="e">
        <f t="shared" si="11"/>
        <v>#REF!</v>
      </c>
      <c r="BS18" s="79" t="e">
        <f>Tableau5617192223242425262827293031333432353620383961719241822254140424344104746[[#This Row],[Consommé global Enregistré à date (€ HT)]]-IFERROR(VLOOKUP(H18,#REF!,50,FALSE),0)</f>
        <v>#REF!</v>
      </c>
      <c r="BT18" s="80" t="e">
        <f t="shared" si="12"/>
        <v>#REF!</v>
      </c>
      <c r="BU18" s="81">
        <f>BD18-IFERROR(VLOOKUP(H18,#REF!,47,FALSE),0)</f>
        <v>0</v>
      </c>
      <c r="BV18" s="37" t="e">
        <f>+BF18+Tableau5617192223242425262827293031333432353620383961719241822254140424344104746[[#This Row],[CA fin N-1]]-IFERROR(VLOOKUP(H18,#REF!,49,FALSE),0)-IFERROR(VLOOKUP(H18,#REF!,50,FALSE),0)</f>
        <v>#REF!</v>
      </c>
      <c r="BW18" s="82" t="e">
        <f>BG18-IFERROR(VLOOKUP(H18,#REF!,51,FALSE),0)</f>
        <v>#REF!</v>
      </c>
      <c r="BX18" s="80" t="e">
        <f t="shared" si="13"/>
        <v>#REF!</v>
      </c>
      <c r="BY18" s="83">
        <f>BD18-IFERROR(VLOOKUP(H18,#REF!,48,FALSE),0)</f>
        <v>0</v>
      </c>
      <c r="BZ18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" s="39" t="e">
        <f>VLOOKUP(Tableau5617192223242425262827293031333432353620383961719241822254140424344104746[[#This Row],[Num Projets]],#REF!,1,FALSE)</f>
        <v>#REF!</v>
      </c>
      <c r="CB18" s="40">
        <v>11784.5</v>
      </c>
      <c r="CC18" s="40">
        <v>0</v>
      </c>
      <c r="CD1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-11784.5</v>
      </c>
    </row>
    <row r="19" spans="1:82" ht="13.5" customHeight="1" x14ac:dyDescent="0.25">
      <c r="A19" s="311" t="s">
        <v>44</v>
      </c>
      <c r="B19" s="1"/>
      <c r="C19" s="2" t="e">
        <f>_xlfn.XLOOKUP(Tableau5617192223242425262827293031333432353620383961719241822254140424344104746[[#This Row],[Num Projets]],#REF!,#REF!,FALSE)</f>
        <v>#REF!</v>
      </c>
      <c r="D19" s="3" t="s">
        <v>1</v>
      </c>
      <c r="E19" s="3" t="e">
        <f>_xlfn.XLOOKUP(Tableau5617192223242425262827293031333432353620383961719241822254140424344104746[[#This Row],[Num Projets]],#REF!,#REF!,FALSE)</f>
        <v>#REF!</v>
      </c>
      <c r="F19" s="3" t="e">
        <f>_xlfn.XLOOKUP(Tableau5617192223242425262827293031333432353620383961719241822254140424344104746[[#This Row],[Num Projets]],#REF!,#REF!,"newavr",0)</f>
        <v>#REF!</v>
      </c>
      <c r="G19" s="3" t="s">
        <v>2</v>
      </c>
      <c r="H19" s="3" t="s">
        <v>45</v>
      </c>
      <c r="I1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9" s="4" t="e">
        <f>VLOOKUP(Tableau5617192223242425262827293031333432353620383961719241822254140424344104746[[#This Row],[Num Projets]],#REF!,36,FALSE)</f>
        <v>#REF!</v>
      </c>
      <c r="K19" s="5" t="s">
        <v>4</v>
      </c>
      <c r="L1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" s="3" t="e">
        <f>SUBSTITUTE(_xlfn.XLOOKUP(Tableau5617192223242425262827293031333432353620383961719241822254140424344104746[[#This Row],[Num Projets]],#REF!,#REF!,FALSE)," ","")</f>
        <v>#REF!</v>
      </c>
      <c r="N19" s="7" t="e">
        <f>VLOOKUP(H19,#REF!,7,FALSE)</f>
        <v>#REF!</v>
      </c>
      <c r="O19" s="7" t="e">
        <f>IF(VLOOKUP(H19,#REF!,27,FALSE)=0,"",VLOOKUP(H19,#REF!,27,FALSE))</f>
        <v>#REF!</v>
      </c>
      <c r="P19" s="8" t="e">
        <f>VLOOKUP(H19,#REF!,2,FALSE)</f>
        <v>#REF!</v>
      </c>
      <c r="Q19" s="9" t="e">
        <f>Tableau5617192223242425262827293031333432353620383961719241822254140424344104746[[#This Row],[Total Budget
€]]-IFERROR(VLOOKUP(H19,#REF!,8,FALSE),0)</f>
        <v>#REF!</v>
      </c>
      <c r="R19" s="10" t="e">
        <f>AD19+AI19+Tableau5617192223242425262827293031333432353620383961719241822254140424344104746[[#This Row],[Int Commandé OT
€]]+AX19</f>
        <v>#REF!</v>
      </c>
      <c r="S19" s="10" t="e">
        <f>AD19+AJ19+Tableau5617192223242425262827293031333432353620383961719241822254140424344104746[[#This Row],[Int Réalisé OT
€]]+AX19</f>
        <v>#REF!</v>
      </c>
      <c r="T19" s="11" t="e">
        <f t="shared" si="2"/>
        <v>#REF!</v>
      </c>
      <c r="U1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" s="12">
        <f>IFERROR(VLOOKUP(H19,#REF!,2,FALSE),0)</f>
        <v>0</v>
      </c>
      <c r="X19" s="13">
        <f>IFERROR(VLOOKUP(H19,#REF!,2,FALSE),0)</f>
        <v>0</v>
      </c>
      <c r="Y19" s="13">
        <f>IFERROR(VLOOKUP(H19,#REF!,3,FALSE),0)</f>
        <v>0</v>
      </c>
      <c r="Z1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680.24999999999955</v>
      </c>
      <c r="AA19" s="13">
        <f>IFERROR(VLOOKUP(H19,#REF!,18,FALSE),0)</f>
        <v>0</v>
      </c>
      <c r="AB19" s="13">
        <f>SUM(X19:Y19)-IFERROR(VLOOKUP(H19,#REF!,16,FALSE),0)-IFERROR(VLOOKUP(H19,#REF!,17,FALSE),0)</f>
        <v>0</v>
      </c>
      <c r="AC19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9" s="8" t="e">
        <f>(X19*VLOOKUP(H19,#REF!,2,FALSE)+Y19*VLOOKUP(H19,#REF!,3,FALSE))</f>
        <v>#REF!</v>
      </c>
      <c r="AE19" s="8">
        <f t="shared" si="3"/>
        <v>32515.949999999975</v>
      </c>
      <c r="AF19" s="16" t="e">
        <f t="shared" si="4"/>
        <v>#REF!</v>
      </c>
      <c r="AG19" s="8">
        <f>IFERROR(VLOOKUP(H19,#REF!,3,FALSE),0)+IFERROR(VLOOKUP(H19,#REF!,3,FALSE),0)</f>
        <v>0</v>
      </c>
      <c r="AH19" s="8">
        <f>IFERROR(VLOOKUP(Tableau5617192223242425262827293031333432353620383961719241822254140424344104746[[#This Row],[Num Projets]],#REF!,2,FALSE),0)</f>
        <v>0</v>
      </c>
      <c r="AI19" s="17">
        <f>+IFERROR(VLOOKUP(H19,#REF!,2,FALSE),0)-Tableau5617192223242425262827293031333432353620383961719241822254140424344104746[[#This Row],[Int Commandé OT
€]]</f>
        <v>0</v>
      </c>
      <c r="AJ19" s="8">
        <f>IFERROR(VLOOKUP(H19,#REF!,11,FALSE),0)-IFERROR(VLOOKUP(H19,#REF!,10,FALSE),0)+Tableau5617192223242425262827293031333432353620383961719241822254140424344104746[[#This Row],[dont FNP à date (€ HT)]]</f>
        <v>306.76</v>
      </c>
      <c r="AK19" s="23">
        <f t="shared" si="14"/>
        <v>-306.76</v>
      </c>
      <c r="AL1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306.76</v>
      </c>
      <c r="AM19" s="19">
        <f>IF(Tableau5617192223242425262827293031333432353620383961719241822254140424344104746[[#This Row],[RAF Achats M-1
€]]=0,0,AN19-AO19)</f>
        <v>0</v>
      </c>
      <c r="AN19" s="8">
        <f>IFERROR(VLOOKUP(H19,#REF!,31,FALSE),0)</f>
        <v>0</v>
      </c>
      <c r="AO19" s="8">
        <f>AI19+-IFERROR(VLOOKUP(H19,#REF!,27,FALSE),0)</f>
        <v>0</v>
      </c>
      <c r="AP19" s="20">
        <f>IFERROR(VLOOKUP(Tableau5617192223242425262827293031333432353620383961719241822254140424344104746[[#This Row],[Num Projets]],#REF!,2,FALSE),0)</f>
        <v>0</v>
      </c>
      <c r="AQ19" s="20">
        <f>_xlfn.XLOOKUP(H19,[2]Synth!$N:$N,[2]Synth!$O:$O,0,FALSE)+_xlfn.XLOOKUP(Tableau5617192223242425262827293031333432353620383961719241822254140424344104746[[#This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" s="21">
        <v>0</v>
      </c>
      <c r="AS19" s="20">
        <f>+IFERROR(VLOOKUP(H19,#REF!,36,FALSE),0)</f>
        <v>0</v>
      </c>
      <c r="AT1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" s="22">
        <f>IF(AG19=0,0,1-((AI19+AM19+Tableau5617192223242425262827293031333432353620383961719241822254140424344104746[[#This Row],[Int Commandé OT
€]]+Tableau5617192223242425262827293031333432353620383961719241822254140424344104746[[#This Row],[RAF Int OT
€]])/AG19))</f>
        <v>0</v>
      </c>
      <c r="AV19" s="8">
        <f>IFERROR(VLOOKUP(H19,#REF!,4,FALSE),0)+IFERROR(VLOOKUP(H19,#REF!,4,FALSE),0)</f>
        <v>0</v>
      </c>
      <c r="AW19" s="8">
        <f>IFERROR(VLOOKUP(Tableau5617192223242425262827293031333432353620383961719241822254140424344104746[[#This Row],[Num Projets]],#REF!,3,FALSE),0)</f>
        <v>0</v>
      </c>
      <c r="AX19" s="20">
        <f>IFERROR(VLOOKUP(Tableau5617192223242425262827293031333432353620383961719241822254140424344104746[[#This Row],[Num Projets]],#REF!,10,FALSE),0)</f>
        <v>0</v>
      </c>
      <c r="AY19" s="23">
        <v>0</v>
      </c>
      <c r="AZ19" s="8">
        <f>IFERROR(VLOOKUP(H19,#REF!,43,FALSE),0)</f>
        <v>0</v>
      </c>
      <c r="BA19" s="8">
        <f>AX19-IFERROR(VLOOKUP(H19,#REF!,42,FALSE),0)</f>
        <v>0</v>
      </c>
      <c r="BB19" s="16">
        <f t="shared" si="15"/>
        <v>0</v>
      </c>
      <c r="BC19" s="24">
        <f>IFERROR(VLOOKUP(H19,#REF!,47,FALSE),IFERROR(VLOOKUP(H19,#REF!,5,FALSE),0)+IFERROR(VLOOKUP(H19,#REF!,5,FALSE),0))</f>
        <v>0</v>
      </c>
      <c r="BD19" s="25">
        <f>IFERROR(VLOOKUP(H19,#REF!,2,FALSE),0)</f>
        <v>0</v>
      </c>
      <c r="BE19" s="25">
        <f>IFERROR(VLOOKUP(H19,#REF!,49,FALSE),0)</f>
        <v>0</v>
      </c>
      <c r="BF19" s="26" t="e">
        <f t="shared" si="5"/>
        <v>#REF!</v>
      </c>
      <c r="BG19" s="26" t="e">
        <f t="shared" si="6"/>
        <v>#REF!</v>
      </c>
      <c r="BH19" s="27">
        <f>AE19+ (AI19-AJ19+AM19+Tableau5617192223242425262827293031333432353620383961719241822254140424344104746[[#This Row],[Int Commandé OT
€]]-Tableau5617192223242425262827293031333432353620383961719241822254140424344104746[[#This Row],[Int Réalisé OT
€]]+AR19) +AY19+BC19</f>
        <v>32209.189999999977</v>
      </c>
      <c r="BI19" s="16" t="e">
        <f t="shared" si="7"/>
        <v>#REF!</v>
      </c>
      <c r="BJ19" s="16" t="e">
        <f t="shared" si="8"/>
        <v>#REF!</v>
      </c>
      <c r="BK19" s="27" t="e">
        <f t="shared" si="9"/>
        <v>#REF!</v>
      </c>
      <c r="BL19" s="26" t="e">
        <f t="shared" si="10"/>
        <v>#REF!</v>
      </c>
      <c r="BM19" s="28">
        <f>IFERROR(VLOOKUP(H19,'[1]2023dec'!H:CA,54,FALSE),105)</f>
        <v>96.109275730622613</v>
      </c>
      <c r="BN19" s="29">
        <v>1</v>
      </c>
      <c r="BO19" s="30" t="e">
        <f>P19-AC19-AG19-AV19-Tableau5617192223242425262827293031333432353620383961719241822254140424344104746[[#This Row],[Provisions pour risques]]</f>
        <v>#REF!</v>
      </c>
      <c r="BP19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9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9" s="33" t="e">
        <f t="shared" si="11"/>
        <v>#REF!</v>
      </c>
      <c r="BS19" s="34" t="e">
        <f>Tableau5617192223242425262827293031333432353620383961719241822254140424344104746[[#This Row],[Consommé global Enregistré à date (€ HT)]]-IFERROR(VLOOKUP(H19,#REF!,50,FALSE),0)</f>
        <v>#REF!</v>
      </c>
      <c r="BT19" s="35" t="e">
        <f t="shared" si="12"/>
        <v>#REF!</v>
      </c>
      <c r="BU19" s="36">
        <f>BD19-IFERROR(VLOOKUP(H19,#REF!,47,FALSE),0)</f>
        <v>0</v>
      </c>
      <c r="BV19" s="37" t="e">
        <f>+BF19+Tableau5617192223242425262827293031333432353620383961719241822254140424344104746[[#This Row],[CA fin N-1]]-IFERROR(VLOOKUP(H19,#REF!,49,FALSE),0)-IFERROR(VLOOKUP(H19,#REF!,50,FALSE),0)</f>
        <v>#REF!</v>
      </c>
      <c r="BW19" s="33" t="e">
        <f>BG19-IFERROR(VLOOKUP(H19,#REF!,51,FALSE),0)</f>
        <v>#REF!</v>
      </c>
      <c r="BX19" s="35" t="e">
        <f t="shared" si="13"/>
        <v>#REF!</v>
      </c>
      <c r="BY19" s="36">
        <f>BD19-IFERROR(VLOOKUP(H19,#REF!,48,FALSE),0)</f>
        <v>0</v>
      </c>
      <c r="BZ1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" s="39" t="e">
        <f>VLOOKUP(Tableau5617192223242425262827293031333432353620383961719241822254140424344104746[[#This Row],[Num Projets]],#REF!,1,FALSE)</f>
        <v>#REF!</v>
      </c>
      <c r="CB19" s="40">
        <v>680.24999999999955</v>
      </c>
      <c r="CC19" s="40">
        <v>0</v>
      </c>
      <c r="CD1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-680.24999999999955</v>
      </c>
    </row>
    <row r="20" spans="1:82" ht="13.5" customHeight="1" x14ac:dyDescent="0.25">
      <c r="A20" s="311" t="s">
        <v>46</v>
      </c>
      <c r="B20" s="1"/>
      <c r="C20" s="2" t="e">
        <f>_xlfn.XLOOKUP(Tableau5617192223242425262827293031333432353620383961719241822254140424344104746[[#This Row],[Num Projets]],#REF!,#REF!,FALSE)</f>
        <v>#REF!</v>
      </c>
      <c r="D20" s="3" t="s">
        <v>6</v>
      </c>
      <c r="E20" s="3" t="e">
        <f>_xlfn.XLOOKUP(Tableau5617192223242425262827293031333432353620383961719241822254140424344104746[[#This Row],[Num Projets]],#REF!,#REF!,FALSE)</f>
        <v>#REF!</v>
      </c>
      <c r="F20" s="3" t="s">
        <v>27</v>
      </c>
      <c r="G20" s="3" t="s">
        <v>2</v>
      </c>
      <c r="H20" s="3" t="s">
        <v>47</v>
      </c>
      <c r="I2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0" s="4" t="e">
        <f>VLOOKUP(Tableau5617192223242425262827293031333432353620383961719241822254140424344104746[[#This Row],[Num Projets]],#REF!,36,FALSE)</f>
        <v>#REF!</v>
      </c>
      <c r="K20" s="5" t="s">
        <v>9</v>
      </c>
      <c r="L2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" s="3" t="e">
        <f>SUBSTITUTE(_xlfn.XLOOKUP(Tableau5617192223242425262827293031333432353620383961719241822254140424344104746[[#This Row],[Num Projets]],#REF!,#REF!,FALSE)," ","")</f>
        <v>#REF!</v>
      </c>
      <c r="N20" s="7" t="e">
        <f>VLOOKUP(H20,#REF!,7,FALSE)</f>
        <v>#REF!</v>
      </c>
      <c r="O20" s="7" t="e">
        <f>IF(VLOOKUP(H20,#REF!,27,FALSE)=0,"",VLOOKUP(H20,#REF!,27,FALSE))</f>
        <v>#REF!</v>
      </c>
      <c r="P20" s="41">
        <v>0</v>
      </c>
      <c r="Q20" s="9">
        <f>Tableau5617192223242425262827293031333432353620383961719241822254140424344104746[[#This Row],[Total Budget
€]]-IFERROR(VLOOKUP(H20,#REF!,8,FALSE),0)</f>
        <v>0</v>
      </c>
      <c r="R20" s="10" t="e">
        <f>AD20+AI20+Tableau5617192223242425262827293031333432353620383961719241822254140424344104746[[#This Row],[Int Commandé OT
€]]+AX20</f>
        <v>#REF!</v>
      </c>
      <c r="S20" s="10" t="e">
        <f>AD20+AJ20+Tableau5617192223242425262827293031333432353620383961719241822254140424344104746[[#This Row],[Int Réalisé OT
€]]+AX20</f>
        <v>#REF!</v>
      </c>
      <c r="T20" s="11">
        <f t="shared" si="2"/>
        <v>0</v>
      </c>
      <c r="U20" s="11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0</v>
      </c>
      <c r="V20" s="11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0</v>
      </c>
      <c r="W20" s="42">
        <f>Tableau5617192223242425262827293031333432353620383961719241822254140424344104746[[#This Row],[Budget Heures Valorisées
€]]/96</f>
        <v>0</v>
      </c>
      <c r="X20" s="13">
        <f>IFERROR(VLOOKUP(H20,#REF!,2,FALSE),0)</f>
        <v>0</v>
      </c>
      <c r="Y20" s="13">
        <f>IFERROR(VLOOKUP(H20,#REF!,3,FALSE),0)</f>
        <v>0</v>
      </c>
      <c r="Z2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16</v>
      </c>
      <c r="AA20" s="13">
        <f>IFERROR(VLOOKUP(H20,#REF!,18,FALSE),0)</f>
        <v>0</v>
      </c>
      <c r="AB20" s="13">
        <f>SUM(X20:Y20)-IFERROR(VLOOKUP(H20,#REF!,16,FALSE),0)-IFERROR(VLOOKUP(H20,#REF!,17,FALSE),0)</f>
        <v>0</v>
      </c>
      <c r="AC20" s="15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0</v>
      </c>
      <c r="AD20" s="8" t="e">
        <f>(X20*VLOOKUP(H20,#REF!,2,FALSE)+Y20*VLOOKUP(H20,#REF!,3,FALSE))</f>
        <v>#REF!</v>
      </c>
      <c r="AE20" s="8">
        <f t="shared" si="3"/>
        <v>764.8</v>
      </c>
      <c r="AF20" s="16">
        <f t="shared" si="4"/>
        <v>0</v>
      </c>
      <c r="AG20" s="8">
        <f>IFERROR(VLOOKUP(H20,#REF!,3,FALSE),0)+IFERROR(VLOOKUP(H20,#REF!,3,FALSE),0)</f>
        <v>0</v>
      </c>
      <c r="AH20" s="8">
        <f>IFERROR(VLOOKUP(Tableau5617192223242425262827293031333432353620383961719241822254140424344104746[[#This Row],[Num Projets]],#REF!,2,FALSE),0)</f>
        <v>0</v>
      </c>
      <c r="AI20" s="17">
        <f>+IFERROR(VLOOKUP(H20,#REF!,2,FALSE),0)-Tableau5617192223242425262827293031333432353620383961719241822254140424344104746[[#This Row],[Int Commandé OT
€]]</f>
        <v>0</v>
      </c>
      <c r="AJ20" s="8">
        <f>IFERROR(VLOOKUP(H20,#REF!,11,FALSE),0)-IFERROR(VLOOKUP(H20,#REF!,10,FALSE),0)+Tableau5617192223242425262827293031333432353620383961719241822254140424344104746[[#This Row],[dont FNP à date (€ HT)]]</f>
        <v>0</v>
      </c>
      <c r="AK20" s="15">
        <f t="shared" si="14"/>
        <v>0</v>
      </c>
      <c r="AL2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" s="19">
        <f>IF(Tableau5617192223242425262827293031333432353620383961719241822254140424344104746[[#This Row],[RAF Achats M-1
€]]=0,0,AN20-AO20)</f>
        <v>0</v>
      </c>
      <c r="AN20" s="8">
        <f>IFERROR(VLOOKUP(H20,#REF!,31,FALSE),0)</f>
        <v>0</v>
      </c>
      <c r="AO20" s="8">
        <f>AI20+-IFERROR(VLOOKUP(H20,#REF!,27,FALSE),0)</f>
        <v>0</v>
      </c>
      <c r="AP20" s="20">
        <f>IFERROR(VLOOKUP(Tableau5617192223242425262827293031333432353620383961719241822254140424344104746[[#This Row],[Num Projets]],#REF!,2,FALSE),0)</f>
        <v>0</v>
      </c>
      <c r="AQ20" s="20">
        <f>_xlfn.XLOOKUP(H20,[2]Synth!$N:$N,[2]Synth!$O:$O,0,FALSE)+_xlfn.XLOOKUP(Tableau5617192223242425262827293031333432353620383961719241822254140424344104746[[#This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" s="21">
        <v>0</v>
      </c>
      <c r="AS20" s="20">
        <f>+IFERROR(VLOOKUP(H20,#REF!,36,FALSE),0)</f>
        <v>0</v>
      </c>
      <c r="AT2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" s="22">
        <f>IF(AG20=0,0,1-((AI20+AM20+Tableau5617192223242425262827293031333432353620383961719241822254140424344104746[[#This Row],[Int Commandé OT
€]]+Tableau5617192223242425262827293031333432353620383961719241822254140424344104746[[#This Row],[RAF Int OT
€]])/AG20))</f>
        <v>0</v>
      </c>
      <c r="AV20" s="8">
        <f>IFERROR(VLOOKUP(H20,#REF!,4,FALSE),0)+IFERROR(VLOOKUP(H20,#REF!,4,FALSE),0)</f>
        <v>0</v>
      </c>
      <c r="AW20" s="8">
        <f>IFERROR(VLOOKUP(Tableau5617192223242425262827293031333432353620383961719241822254140424344104746[[#This Row],[Num Projets]],#REF!,3,FALSE),0)</f>
        <v>0</v>
      </c>
      <c r="AX20" s="20">
        <f>IFERROR(VLOOKUP(Tableau5617192223242425262827293031333432353620383961719241822254140424344104746[[#This Row],[Num Projets]],#REF!,10,FALSE),0)</f>
        <v>0</v>
      </c>
      <c r="AY20" s="23">
        <f>Tableau5617192223242425262827293031333432353620383961719241822254140424344104746[[#This Row],[Budget Mission
 €]]/1.2-AX20</f>
        <v>0</v>
      </c>
      <c r="AZ20" s="8">
        <f>IFERROR(VLOOKUP(H20,#REF!,43,FALSE),0)</f>
        <v>0</v>
      </c>
      <c r="BA20" s="8">
        <f>AX20-IFERROR(VLOOKUP(H20,#REF!,42,FALSE),0)</f>
        <v>0</v>
      </c>
      <c r="BB20" s="16">
        <f t="shared" si="15"/>
        <v>0</v>
      </c>
      <c r="BC20" s="24">
        <f>IFERROR(VLOOKUP(H20,#REF!,47,FALSE),IFERROR(VLOOKUP(H20,#REF!,5,FALSE),0)+IFERROR(VLOOKUP(H20,#REF!,5,FALSE),0))</f>
        <v>0</v>
      </c>
      <c r="BD20" s="25">
        <f>IFERROR(VLOOKUP(H20,#REF!,2,FALSE),0)</f>
        <v>0</v>
      </c>
      <c r="BE20" s="25">
        <f>IFERROR(VLOOKUP(H20,#REF!,49,FALSE),0)</f>
        <v>0</v>
      </c>
      <c r="BF20" s="26" t="e">
        <f t="shared" si="5"/>
        <v>#REF!</v>
      </c>
      <c r="BG20" s="26" t="e">
        <f t="shared" si="6"/>
        <v>#REF!</v>
      </c>
      <c r="BH20" s="27">
        <f>AE20+ (AI20-AJ20+AM20+Tableau5617192223242425262827293031333432353620383961719241822254140424344104746[[#This Row],[Int Commandé OT
€]]-Tableau5617192223242425262827293031333432353620383961719241822254140424344104746[[#This Row],[Int Réalisé OT
€]]+AR20) +AY20+BC20</f>
        <v>764.8</v>
      </c>
      <c r="BI20" s="16" t="e">
        <f t="shared" si="7"/>
        <v>#REF!</v>
      </c>
      <c r="BJ20" s="16">
        <f t="shared" si="8"/>
        <v>0</v>
      </c>
      <c r="BK20" s="27" t="e">
        <f t="shared" si="9"/>
        <v>#REF!</v>
      </c>
      <c r="BL20" s="26" t="e">
        <f t="shared" si="10"/>
        <v>#REF!</v>
      </c>
      <c r="BM20" s="28">
        <f>IFERROR(VLOOKUP(H20,'[1]2023dec'!H:CA,54,FALSE),105)</f>
        <v>96.610169491525426</v>
      </c>
      <c r="BN20" s="29" t="e">
        <f>Tableau5617192223242425262827293031333432353620383961719241822254140424344104746[[#This Row],[Avancement Global Financier basé sur Enregistré à date (%)]]</f>
        <v>#REF!</v>
      </c>
      <c r="BO20" s="30">
        <f>P20-AC20-AG20-AV20-Tableau5617192223242425262827293031333432353620383961719241822254140424344104746[[#This Row],[Provisions pour risques]]</f>
        <v>0</v>
      </c>
      <c r="BP20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0" s="33" t="e">
        <f t="shared" si="11"/>
        <v>#REF!</v>
      </c>
      <c r="BS20" s="34" t="e">
        <f>Tableau5617192223242425262827293031333432353620383961719241822254140424344104746[[#This Row],[Consommé global Enregistré à date (€ HT)]]-IFERROR(VLOOKUP(H20,#REF!,50,FALSE),0)</f>
        <v>#REF!</v>
      </c>
      <c r="BT20" s="35" t="e">
        <f t="shared" si="12"/>
        <v>#REF!</v>
      </c>
      <c r="BU20" s="36">
        <f>BD20-IFERROR(VLOOKUP(H20,#REF!,47,FALSE),0)</f>
        <v>0</v>
      </c>
      <c r="BV20" s="37" t="e">
        <f>+BF20+Tableau5617192223242425262827293031333432353620383961719241822254140424344104746[[#This Row],[CA fin N-1]]-IFERROR(VLOOKUP(H20,#REF!,49,FALSE),0)-IFERROR(VLOOKUP(H20,#REF!,50,FALSE),0)</f>
        <v>#REF!</v>
      </c>
      <c r="BW20" s="33" t="e">
        <f>BG20-IFERROR(VLOOKUP(H20,#REF!,51,FALSE),0)</f>
        <v>#REF!</v>
      </c>
      <c r="BX20" s="35" t="e">
        <f t="shared" si="13"/>
        <v>#REF!</v>
      </c>
      <c r="BY20" s="36">
        <f>BD20-IFERROR(VLOOKUP(H20,#REF!,48,FALSE),0)</f>
        <v>0</v>
      </c>
      <c r="BZ2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" s="39" t="e">
        <f>VLOOKUP(Tableau5617192223242425262827293031333432353620383961719241822254140424344104746[[#This Row],[Num Projets]],#REF!,1,FALSE)</f>
        <v>#REF!</v>
      </c>
      <c r="CB20" s="40">
        <v>16</v>
      </c>
      <c r="CC20" s="40">
        <v>0</v>
      </c>
      <c r="CD2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</v>
      </c>
    </row>
    <row r="21" spans="1:82" ht="13.5" customHeight="1" x14ac:dyDescent="0.25">
      <c r="A21" s="311"/>
      <c r="B21" s="1"/>
      <c r="C21" s="2" t="e">
        <f>_xlfn.XLOOKUP(Tableau5617192223242425262827293031333432353620383961719241822254140424344104746[[#This Row],[Num Projets]],#REF!,#REF!,FALSE)</f>
        <v>#REF!</v>
      </c>
      <c r="D21" s="3" t="s">
        <v>40</v>
      </c>
      <c r="E21" s="3" t="e">
        <f>_xlfn.XLOOKUP(Tableau5617192223242425262827293031333432353620383961719241822254140424344104746[[#This Row],[Num Projets]],#REF!,#REF!,FALSE)</f>
        <v>#REF!</v>
      </c>
      <c r="F21" s="3" t="e">
        <f>_xlfn.XLOOKUP(Tableau5617192223242425262827293031333432353620383961719241822254140424344104746[[#This Row],[Num Projets]],#REF!,#REF!,"newavr",0)</f>
        <v>#REF!</v>
      </c>
      <c r="G21" s="3" t="s">
        <v>2</v>
      </c>
      <c r="H21" s="3" t="s">
        <v>48</v>
      </c>
      <c r="I2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1" s="4" t="e">
        <f>VLOOKUP(Tableau5617192223242425262827293031333432353620383961719241822254140424344104746[[#This Row],[Num Projets]],#REF!,36,FALSE)</f>
        <v>#REF!</v>
      </c>
      <c r="K21" s="5" t="s">
        <v>21</v>
      </c>
      <c r="L2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" s="3" t="e">
        <f>SUBSTITUTE(_xlfn.XLOOKUP(Tableau5617192223242425262827293031333432353620383961719241822254140424344104746[[#This Row],[Num Projets]],#REF!,#REF!,FALSE)," ","")</f>
        <v>#REF!</v>
      </c>
      <c r="N21" s="7" t="e">
        <f>VLOOKUP(H21,#REF!,7,FALSE)</f>
        <v>#REF!</v>
      </c>
      <c r="O21" s="7" t="e">
        <f>IF(VLOOKUP(H21,#REF!,27,FALSE)=0,"",VLOOKUP(H21,#REF!,27,FALSE))</f>
        <v>#REF!</v>
      </c>
      <c r="P21" s="8" t="e">
        <f>VLOOKUP(H21,#REF!,2,FALSE)</f>
        <v>#REF!</v>
      </c>
      <c r="Q21" s="9" t="e">
        <f>Tableau5617192223242425262827293031333432353620383961719241822254140424344104746[[#This Row],[Total Budget
€]]-IFERROR(VLOOKUP(H21,#REF!,8,FALSE),0)</f>
        <v>#REF!</v>
      </c>
      <c r="R21" s="10" t="e">
        <f>AD21+AI21+Tableau5617192223242425262827293031333432353620383961719241822254140424344104746[[#This Row],[Int Commandé OT
€]]+AX21</f>
        <v>#REF!</v>
      </c>
      <c r="S21" s="10" t="e">
        <f>AD21+AJ21+Tableau5617192223242425262827293031333432353620383961719241822254140424344104746[[#This Row],[Int Réalisé OT
€]]+AX21</f>
        <v>#REF!</v>
      </c>
      <c r="T21" s="11" t="e">
        <f t="shared" si="2"/>
        <v>#REF!</v>
      </c>
      <c r="U2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" s="12">
        <f>IFERROR(VLOOKUP(H21,#REF!,2,FALSE),0)</f>
        <v>0</v>
      </c>
      <c r="X21" s="13">
        <f>IFERROR(VLOOKUP(H21,#REF!,2,FALSE),0)</f>
        <v>0</v>
      </c>
      <c r="Y21" s="13">
        <f>IFERROR(VLOOKUP(H21,#REF!,3,FALSE),0)</f>
        <v>0</v>
      </c>
      <c r="Z2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21" s="13">
        <f>IFERROR(VLOOKUP(H21,#REF!,18,FALSE),0)</f>
        <v>0</v>
      </c>
      <c r="AB21" s="13">
        <f>SUM(X21:Y21)-IFERROR(VLOOKUP(H21,#REF!,16,FALSE),0)-IFERROR(VLOOKUP(H21,#REF!,17,FALSE),0)</f>
        <v>0</v>
      </c>
      <c r="AC21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1" s="8" t="e">
        <f>(X21*VLOOKUP(H21,#REF!,2,FALSE)+Y21*VLOOKUP(H21,#REF!,3,FALSE))</f>
        <v>#REF!</v>
      </c>
      <c r="AE21" s="8">
        <f t="shared" si="3"/>
        <v>0</v>
      </c>
      <c r="AF21" s="16" t="e">
        <f t="shared" si="4"/>
        <v>#REF!</v>
      </c>
      <c r="AG21" s="8">
        <f>IFERROR(VLOOKUP(H21,#REF!,3,FALSE),0)+IFERROR(VLOOKUP(H21,#REF!,3,FALSE),0)</f>
        <v>0</v>
      </c>
      <c r="AH21" s="8">
        <f>IFERROR(VLOOKUP(Tableau5617192223242425262827293031333432353620383961719241822254140424344104746[[#This Row],[Num Projets]],#REF!,2,FALSE),0)</f>
        <v>0</v>
      </c>
      <c r="AI21" s="17">
        <f>+IFERROR(VLOOKUP(H21,#REF!,2,FALSE),0)-Tableau5617192223242425262827293031333432353620383961719241822254140424344104746[[#This Row],[Int Commandé OT
€]]</f>
        <v>0</v>
      </c>
      <c r="AJ21" s="8">
        <f>IFERROR(VLOOKUP(H21,#REF!,11,FALSE),0)-IFERROR(VLOOKUP(H21,#REF!,10,FALSE),0)+Tableau5617192223242425262827293031333432353620383961719241822254140424344104746[[#This Row],[dont FNP à date (€ HT)]]</f>
        <v>0</v>
      </c>
      <c r="AK21" s="15">
        <f t="shared" si="14"/>
        <v>0</v>
      </c>
      <c r="AL2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" s="19">
        <f>IF(Tableau5617192223242425262827293031333432353620383961719241822254140424344104746[[#This Row],[RAF Achats M-1
€]]=0,0,AN21-AO21)</f>
        <v>0</v>
      </c>
      <c r="AN21" s="8">
        <f>IFERROR(VLOOKUP(H21,#REF!,31,FALSE),0)</f>
        <v>0</v>
      </c>
      <c r="AO21" s="8">
        <f>AI21+-IFERROR(VLOOKUP(H21,#REF!,27,FALSE),0)</f>
        <v>0</v>
      </c>
      <c r="AP21" s="20">
        <f>IFERROR(VLOOKUP(Tableau5617192223242425262827293031333432353620383961719241822254140424344104746[[#This Row],[Num Projets]],#REF!,2,FALSE),0)</f>
        <v>0</v>
      </c>
      <c r="AQ21" s="20">
        <f>_xlfn.XLOOKUP(H21,[2]Synth!$N:$N,[2]Synth!$O:$O,0,FALSE)+_xlfn.XLOOKUP(Tableau5617192223242425262827293031333432353620383961719241822254140424344104746[[#This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" s="21">
        <v>0</v>
      </c>
      <c r="AS21" s="20">
        <f>+IFERROR(VLOOKUP(H21,#REF!,36,FALSE),0)</f>
        <v>0</v>
      </c>
      <c r="AT2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" s="22">
        <f>IF(AG21=0,0,1-((AI21+AM21+Tableau5617192223242425262827293031333432353620383961719241822254140424344104746[[#This Row],[Int Commandé OT
€]]+Tableau5617192223242425262827293031333432353620383961719241822254140424344104746[[#This Row],[RAF Int OT
€]])/AG21))</f>
        <v>0</v>
      </c>
      <c r="AV21" s="8">
        <f>IFERROR(VLOOKUP(H21,#REF!,4,FALSE),0)+IFERROR(VLOOKUP(H21,#REF!,4,FALSE),0)</f>
        <v>0</v>
      </c>
      <c r="AW21" s="8">
        <f>IFERROR(VLOOKUP(Tableau5617192223242425262827293031333432353620383961719241822254140424344104746[[#This Row],[Num Projets]],#REF!,3,FALSE),0)</f>
        <v>0</v>
      </c>
      <c r="AX21" s="20">
        <f>IFERROR(VLOOKUP(Tableau5617192223242425262827293031333432353620383961719241822254140424344104746[[#This Row],[Num Projets]],#REF!,10,FALSE),0)</f>
        <v>0</v>
      </c>
      <c r="AY21" s="23">
        <f>Tableau5617192223242425262827293031333432353620383961719241822254140424344104746[[#This Row],[Budget Mission
 €]]/1.2-AX21</f>
        <v>0</v>
      </c>
      <c r="AZ21" s="8">
        <f>IFERROR(VLOOKUP(H21,#REF!,43,FALSE),0)</f>
        <v>0</v>
      </c>
      <c r="BA21" s="8">
        <f>AX21-IFERROR(VLOOKUP(H21,#REF!,42,FALSE),0)</f>
        <v>0</v>
      </c>
      <c r="BB21" s="16">
        <f t="shared" si="15"/>
        <v>0</v>
      </c>
      <c r="BC21" s="24">
        <f>IFERROR(VLOOKUP(H21,#REF!,47,FALSE),IFERROR(VLOOKUP(H21,#REF!,5,FALSE),0)+IFERROR(VLOOKUP(H21,#REF!,5,FALSE),0))</f>
        <v>0</v>
      </c>
      <c r="BD21" s="25">
        <f>IFERROR(VLOOKUP(H21,#REF!,2,FALSE),0)</f>
        <v>0</v>
      </c>
      <c r="BE21" s="25">
        <f>IFERROR(VLOOKUP(H21,#REF!,49,FALSE),0)</f>
        <v>0</v>
      </c>
      <c r="BF21" s="26" t="e">
        <f t="shared" si="5"/>
        <v>#REF!</v>
      </c>
      <c r="BG21" s="26" t="e">
        <f t="shared" si="6"/>
        <v>#REF!</v>
      </c>
      <c r="BH21" s="27">
        <f>AE21+ (AI21-AJ21+AM21+Tableau5617192223242425262827293031333432353620383961719241822254140424344104746[[#This Row],[Int Commandé OT
€]]-Tableau5617192223242425262827293031333432353620383961719241822254140424344104746[[#This Row],[Int Réalisé OT
€]]+AR21) +AY21+BC21</f>
        <v>0</v>
      </c>
      <c r="BI21" s="16" t="e">
        <f>IF(BG21+BH21=0,100%,BG21/(BG21+BH21))</f>
        <v>#REF!</v>
      </c>
      <c r="BJ21" s="16" t="e">
        <f t="shared" si="8"/>
        <v>#REF!</v>
      </c>
      <c r="BK21" s="27" t="e">
        <f t="shared" si="9"/>
        <v>#REF!</v>
      </c>
      <c r="BL21" s="26" t="e">
        <f t="shared" si="10"/>
        <v>#REF!</v>
      </c>
      <c r="BM21" s="28">
        <f>IFERROR(VLOOKUP(H21,'[1]2023dec'!H:CA,54,FALSE),105)</f>
        <v>96</v>
      </c>
      <c r="BN21" s="29">
        <v>1</v>
      </c>
      <c r="BO21" s="30" t="e">
        <f>P21-AC21-AG21-AV21-Tableau5617192223242425262827293031333432353620383961719241822254140424344104746[[#This Row],[Provisions pour risques]]</f>
        <v>#REF!</v>
      </c>
      <c r="BP21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1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1" s="33" t="e">
        <f t="shared" si="11"/>
        <v>#REF!</v>
      </c>
      <c r="BS21" s="34" t="e">
        <f>Tableau5617192223242425262827293031333432353620383961719241822254140424344104746[[#This Row],[Consommé global Enregistré à date (€ HT)]]-IFERROR(VLOOKUP(H21,#REF!,50,FALSE),0)</f>
        <v>#REF!</v>
      </c>
      <c r="BT21" s="35" t="e">
        <f t="shared" si="12"/>
        <v>#REF!</v>
      </c>
      <c r="BU21" s="36">
        <f>BD21-IFERROR(VLOOKUP(H21,#REF!,47,FALSE),0)</f>
        <v>0</v>
      </c>
      <c r="BV21" s="37" t="e">
        <f>+BF21+Tableau5617192223242425262827293031333432353620383961719241822254140424344104746[[#This Row],[CA fin N-1]]-IFERROR(VLOOKUP(H21,#REF!,49,FALSE),0)-IFERROR(VLOOKUP(H21,#REF!,50,FALSE),0)</f>
        <v>#REF!</v>
      </c>
      <c r="BW21" s="33" t="e">
        <f>BG21-IFERROR(VLOOKUP(H21,#REF!,51,FALSE),0)</f>
        <v>#REF!</v>
      </c>
      <c r="BX21" s="35" t="e">
        <f t="shared" si="13"/>
        <v>#REF!</v>
      </c>
      <c r="BY21" s="36">
        <f>BD21-IFERROR(VLOOKUP(H21,#REF!,48,FALSE),0)</f>
        <v>0</v>
      </c>
      <c r="BZ2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" s="39" t="e">
        <f>VLOOKUP(Tableau5617192223242425262827293031333432353620383961719241822254140424344104746[[#This Row],[Num Projets]],#REF!,1,FALSE)</f>
        <v>#REF!</v>
      </c>
      <c r="CB21" s="40">
        <v>0</v>
      </c>
      <c r="CC21" s="40">
        <v>0</v>
      </c>
      <c r="CD2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2" spans="1:82" ht="13.5" customHeight="1" x14ac:dyDescent="0.25">
      <c r="A22" s="311" t="s">
        <v>49</v>
      </c>
      <c r="B22" s="1"/>
      <c r="C22" s="2" t="e">
        <f>_xlfn.XLOOKUP(Tableau5617192223242425262827293031333432353620383961719241822254140424344104746[[#This Row],[Num Projets]],#REF!,#REF!,FALSE)</f>
        <v>#REF!</v>
      </c>
      <c r="D22" s="3" t="s">
        <v>6</v>
      </c>
      <c r="E22" s="3" t="e">
        <f>_xlfn.XLOOKUP(Tableau5617192223242425262827293031333432353620383961719241822254140424344104746[[#This Row],[Num Projets]],#REF!,#REF!,FALSE)</f>
        <v>#REF!</v>
      </c>
      <c r="F22" s="3" t="s">
        <v>27</v>
      </c>
      <c r="G22" s="3" t="s">
        <v>2</v>
      </c>
      <c r="H22" s="3" t="s">
        <v>50</v>
      </c>
      <c r="I2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2" s="4" t="e">
        <f>VLOOKUP(Tableau5617192223242425262827293031333432353620383961719241822254140424344104746[[#This Row],[Num Projets]],#REF!,36,FALSE)</f>
        <v>#REF!</v>
      </c>
      <c r="K22" s="5" t="s">
        <v>9</v>
      </c>
      <c r="L2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" s="3" t="e">
        <f>SUBSTITUTE(_xlfn.XLOOKUP(Tableau5617192223242425262827293031333432353620383961719241822254140424344104746[[#This Row],[Num Projets]],#REF!,#REF!,FALSE)," ","")</f>
        <v>#REF!</v>
      </c>
      <c r="N22" s="7" t="e">
        <f>VLOOKUP(H22,#REF!,7,FALSE)</f>
        <v>#REF!</v>
      </c>
      <c r="O22" s="7" t="e">
        <f>IF(VLOOKUP(H22,#REF!,27,FALSE)=0,"",VLOOKUP(H22,#REF!,27,FALSE))</f>
        <v>#REF!</v>
      </c>
      <c r="P22" s="8" t="e">
        <f>VLOOKUP(H22,#REF!,2,FALSE)</f>
        <v>#REF!</v>
      </c>
      <c r="Q22" s="9" t="e">
        <f>Tableau5617192223242425262827293031333432353620383961719241822254140424344104746[[#This Row],[Total Budget
€]]-IFERROR(VLOOKUP(H22,#REF!,8,FALSE),0)</f>
        <v>#REF!</v>
      </c>
      <c r="R22" s="10" t="e">
        <f>AD22+AI22+Tableau5617192223242425262827293031333432353620383961719241822254140424344104746[[#This Row],[Int Commandé OT
€]]+AX22</f>
        <v>#REF!</v>
      </c>
      <c r="S22" s="10" t="e">
        <f>AD22+AJ22+Tableau5617192223242425262827293031333432353620383961719241822254140424344104746[[#This Row],[Int Réalisé OT
€]]+AX22</f>
        <v>#REF!</v>
      </c>
      <c r="T22" s="47" t="e">
        <f t="shared" si="2"/>
        <v>#REF!</v>
      </c>
      <c r="U2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" s="12">
        <f>IFERROR(VLOOKUP(H22,#REF!,2,FALSE),0)</f>
        <v>0</v>
      </c>
      <c r="X22" s="13">
        <f>IFERROR(VLOOKUP(H22,#REF!,2,FALSE),0)</f>
        <v>0</v>
      </c>
      <c r="Y22" s="13">
        <f>IFERROR(VLOOKUP(H22,#REF!,3,FALSE),0)</f>
        <v>0</v>
      </c>
      <c r="Z2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</v>
      </c>
      <c r="AA22" s="13">
        <f>IFERROR(VLOOKUP(H22,#REF!,18,FALSE),0)</f>
        <v>0</v>
      </c>
      <c r="AB22" s="13">
        <f>SUM(X22:Y22)-IFERROR(VLOOKUP(H22,#REF!,16,FALSE),0)-IFERROR(VLOOKUP(H22,#REF!,17,FALSE),0)</f>
        <v>0</v>
      </c>
      <c r="AC22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2" s="8" t="e">
        <f>(X22*VLOOKUP(H22,#REF!,2,FALSE)+Y22*VLOOKUP(H22,#REF!,3,FALSE))</f>
        <v>#REF!</v>
      </c>
      <c r="AE22" s="8">
        <f t="shared" si="3"/>
        <v>1147.1999999999998</v>
      </c>
      <c r="AF22" s="47" t="e">
        <f t="shared" si="4"/>
        <v>#REF!</v>
      </c>
      <c r="AG22" s="8">
        <f>IFERROR(VLOOKUP(H22,#REF!,3,FALSE),0)+IFERROR(VLOOKUP(H22,#REF!,3,FALSE),0)</f>
        <v>0</v>
      </c>
      <c r="AH22" s="8">
        <f>IFERROR(VLOOKUP(Tableau5617192223242425262827293031333432353620383961719241822254140424344104746[[#This Row],[Num Projets]],#REF!,2,FALSE),0)</f>
        <v>0</v>
      </c>
      <c r="AI22" s="17">
        <f>+IFERROR(VLOOKUP(H22,#REF!,2,FALSE),0)-Tableau5617192223242425262827293031333432353620383961719241822254140424344104746[[#This Row],[Int Commandé OT
€]]</f>
        <v>0</v>
      </c>
      <c r="AJ22" s="8">
        <f>IFERROR(VLOOKUP(H22,#REF!,11,FALSE),0)-IFERROR(VLOOKUP(H22,#REF!,10,FALSE),0)+Tableau5617192223242425262827293031333432353620383961719241822254140424344104746[[#This Row],[dont FNP à date (€ HT)]]</f>
        <v>0</v>
      </c>
      <c r="AK22" s="15">
        <f t="shared" si="14"/>
        <v>0</v>
      </c>
      <c r="AL2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" s="19">
        <f>IF(Tableau5617192223242425262827293031333432353620383961719241822254140424344104746[[#This Row],[RAF Achats M-1
€]]=0,0,AN22-AO22)</f>
        <v>0</v>
      </c>
      <c r="AN22" s="8">
        <f>IFERROR(VLOOKUP(H22,#REF!,31,FALSE),0)</f>
        <v>0</v>
      </c>
      <c r="AO22" s="8">
        <f>AI22+-IFERROR(VLOOKUP(H22,#REF!,27,FALSE),0)</f>
        <v>0</v>
      </c>
      <c r="AP22" s="20">
        <f>IFERROR(VLOOKUP(Tableau5617192223242425262827293031333432353620383961719241822254140424344104746[[#This Row],[Num Projets]],#REF!,2,FALSE),0)</f>
        <v>0</v>
      </c>
      <c r="AQ22" s="20">
        <f>_xlfn.XLOOKUP(H22,[2]Synth!$N:$N,[2]Synth!$O:$O,0,FALSE)+_xlfn.XLOOKUP(Tableau5617192223242425262827293031333432353620383961719241822254140424344104746[[#This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" s="21">
        <v>0</v>
      </c>
      <c r="AS22" s="20">
        <f>+IFERROR(VLOOKUP(H22,#REF!,36,FALSE),0)</f>
        <v>0</v>
      </c>
      <c r="AT2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" s="22">
        <f>IF(AG22=0,0,1-((AI22+AM22+Tableau5617192223242425262827293031333432353620383961719241822254140424344104746[[#This Row],[Int Commandé OT
€]]+Tableau5617192223242425262827293031333432353620383961719241822254140424344104746[[#This Row],[RAF Int OT
€]])/AG22))</f>
        <v>0</v>
      </c>
      <c r="AV22" s="8">
        <f>IFERROR(VLOOKUP(H22,#REF!,4,FALSE),0)+IFERROR(VLOOKUP(H22,#REF!,4,FALSE),0)</f>
        <v>0</v>
      </c>
      <c r="AW22" s="8">
        <f>IFERROR(VLOOKUP(Tableau5617192223242425262827293031333432353620383961719241822254140424344104746[[#This Row],[Num Projets]],#REF!,3,FALSE),0)</f>
        <v>0</v>
      </c>
      <c r="AX22" s="20">
        <f>IFERROR(VLOOKUP(Tableau5617192223242425262827293031333432353620383961719241822254140424344104746[[#This Row],[Num Projets]],#REF!,10,FALSE),0)</f>
        <v>0</v>
      </c>
      <c r="AY22" s="23">
        <f>Tableau5617192223242425262827293031333432353620383961719241822254140424344104746[[#This Row],[Budget Mission
 €]]/1.2-AX22</f>
        <v>0</v>
      </c>
      <c r="AZ22" s="8">
        <f>IFERROR(VLOOKUP(H22,#REF!,43,FALSE),0)</f>
        <v>0</v>
      </c>
      <c r="BA22" s="8">
        <f>AX22-IFERROR(VLOOKUP(H22,#REF!,42,FALSE),0)</f>
        <v>0</v>
      </c>
      <c r="BB22" s="16">
        <f t="shared" si="15"/>
        <v>0</v>
      </c>
      <c r="BC22" s="24">
        <f>IFERROR(VLOOKUP(H22,#REF!,47,FALSE),IFERROR(VLOOKUP(H22,#REF!,5,FALSE),0)+IFERROR(VLOOKUP(H22,#REF!,5,FALSE),0))</f>
        <v>0</v>
      </c>
      <c r="BD22" s="25">
        <f>IFERROR(VLOOKUP(H22,#REF!,2,FALSE),0)</f>
        <v>0</v>
      </c>
      <c r="BE22" s="25">
        <f>IFERROR(VLOOKUP(H22,#REF!,49,FALSE),0)</f>
        <v>0</v>
      </c>
      <c r="BF22" s="26" t="e">
        <f t="shared" si="5"/>
        <v>#REF!</v>
      </c>
      <c r="BG22" s="26" t="e">
        <f t="shared" si="6"/>
        <v>#REF!</v>
      </c>
      <c r="BH22" s="27">
        <f>AE22+ (AI22-AJ22+AM22+Tableau5617192223242425262827293031333432353620383961719241822254140424344104746[[#This Row],[Int Commandé OT
€]]-Tableau5617192223242425262827293031333432353620383961719241822254140424344104746[[#This Row],[Int Réalisé OT
€]]+AR22) +AY22+BC22</f>
        <v>1147.1999999999998</v>
      </c>
      <c r="BI22" s="16" t="e">
        <f>IF(BG22+BH22=0,100%,BG22/(BG22+BH22))</f>
        <v>#REF!</v>
      </c>
      <c r="BJ22" s="16" t="e">
        <f t="shared" si="8"/>
        <v>#REF!</v>
      </c>
      <c r="BK22" s="27" t="e">
        <f t="shared" si="9"/>
        <v>#REF!</v>
      </c>
      <c r="BL22" s="26" t="e">
        <f t="shared" si="10"/>
        <v>#REF!</v>
      </c>
      <c r="BM22" s="28">
        <f>IFERROR(VLOOKUP(H22,'[1]2023dec'!H:CA,54,FALSE),105)</f>
        <v>96</v>
      </c>
      <c r="BN22" s="29">
        <v>1</v>
      </c>
      <c r="BO22" s="30" t="e">
        <f>P22-AC22-AG22-AV22-Tableau5617192223242425262827293031333432353620383961719241822254140424344104746[[#This Row],[Provisions pour risques]]</f>
        <v>#REF!</v>
      </c>
      <c r="BP22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2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2" s="33" t="e">
        <f t="shared" si="11"/>
        <v>#REF!</v>
      </c>
      <c r="BS22" s="34" t="e">
        <f>Tableau5617192223242425262827293031333432353620383961719241822254140424344104746[[#This Row],[Consommé global Enregistré à date (€ HT)]]-IFERROR(VLOOKUP(H22,#REF!,50,FALSE),0)</f>
        <v>#REF!</v>
      </c>
      <c r="BT22" s="35" t="e">
        <f t="shared" si="12"/>
        <v>#REF!</v>
      </c>
      <c r="BU22" s="36">
        <f>BD22-IFERROR(VLOOKUP(H22,#REF!,47,FALSE),0)</f>
        <v>0</v>
      </c>
      <c r="BV22" s="37" t="e">
        <f>+BF22+Tableau5617192223242425262827293031333432353620383961719241822254140424344104746[[#This Row],[CA fin N-1]]-IFERROR(VLOOKUP(H22,#REF!,49,FALSE),0)-IFERROR(VLOOKUP(H22,#REF!,50,FALSE),0)</f>
        <v>#REF!</v>
      </c>
      <c r="BW22" s="33" t="e">
        <f>BG22-IFERROR(VLOOKUP(H22,#REF!,51,FALSE),0)</f>
        <v>#REF!</v>
      </c>
      <c r="BX22" s="35" t="e">
        <f t="shared" si="13"/>
        <v>#REF!</v>
      </c>
      <c r="BY22" s="36">
        <f>BD22-IFERROR(VLOOKUP(H22,#REF!,48,FALSE),0)</f>
        <v>0</v>
      </c>
      <c r="BZ2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" s="39" t="e">
        <f>VLOOKUP(Tableau5617192223242425262827293031333432353620383961719241822254140424344104746[[#This Row],[Num Projets]],#REF!,1,FALSE)</f>
        <v>#REF!</v>
      </c>
      <c r="CB22" s="40">
        <v>24</v>
      </c>
      <c r="CC22" s="40">
        <v>0</v>
      </c>
      <c r="CD2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-24</v>
      </c>
    </row>
    <row r="23" spans="1:82" ht="13.5" customHeight="1" x14ac:dyDescent="0.25">
      <c r="A23" s="311" t="s">
        <v>51</v>
      </c>
      <c r="B23" s="1"/>
      <c r="C23" s="2" t="e">
        <f>_xlfn.XLOOKUP(Tableau5617192223242425262827293031333432353620383961719241822254140424344104746[[#This Row],[Num Projets]],#REF!,#REF!,FALSE)</f>
        <v>#REF!</v>
      </c>
      <c r="D23" s="3" t="s">
        <v>40</v>
      </c>
      <c r="E23" s="3" t="e">
        <f>_xlfn.XLOOKUP(Tableau5617192223242425262827293031333432353620383961719241822254140424344104746[[#This Row],[Num Projets]],#REF!,#REF!,FALSE)</f>
        <v>#REF!</v>
      </c>
      <c r="F23" s="3" t="s">
        <v>52</v>
      </c>
      <c r="G23" s="3" t="s">
        <v>53</v>
      </c>
      <c r="H23" s="85" t="s">
        <v>54</v>
      </c>
      <c r="I23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3" s="4" t="e">
        <f>VLOOKUP(Tableau5617192223242425262827293031333432353620383961719241822254140424344104746[[#This Row],[Num Projets]],#REF!,36,FALSE)</f>
        <v>#REF!</v>
      </c>
      <c r="K23" s="5" t="s">
        <v>55</v>
      </c>
      <c r="L2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3" s="3" t="e">
        <f>SUBSTITUTE(_xlfn.XLOOKUP(Tableau5617192223242425262827293031333432353620383961719241822254140424344104746[[#This Row],[Num Projets]],#REF!,#REF!,FALSE)," ","")</f>
        <v>#REF!</v>
      </c>
      <c r="N23" s="67" t="e">
        <f>VLOOKUP(H23,#REF!,7,FALSE)</f>
        <v>#REF!</v>
      </c>
      <c r="O23" s="7" t="e">
        <f>IF(VLOOKUP(H23,#REF!,27,FALSE)=0,"",VLOOKUP(H23,#REF!,27,FALSE))</f>
        <v>#REF!</v>
      </c>
      <c r="P23" s="8" t="e">
        <f>VLOOKUP(H23,#REF!,2,FALSE)</f>
        <v>#REF!</v>
      </c>
      <c r="Q23" s="9" t="e">
        <f>Tableau5617192223242425262827293031333432353620383961719241822254140424344104746[[#This Row],[Total Budget
€]]-IFERROR(VLOOKUP(H23,#REF!,8,FALSE),0)</f>
        <v>#REF!</v>
      </c>
      <c r="R23" s="10" t="e">
        <f>AD23+AI23+Tableau5617192223242425262827293031333432353620383961719241822254140424344104746[[#This Row],[Int Commandé OT
€]]+AX23</f>
        <v>#REF!</v>
      </c>
      <c r="S23" s="10" t="e">
        <f>AD23+AJ23+Tableau5617192223242425262827293031333432353620383961719241822254140424344104746[[#This Row],[Int Réalisé OT
€]]+AX23</f>
        <v>#REF!</v>
      </c>
      <c r="T23" s="86" t="e">
        <f t="shared" si="2"/>
        <v>#REF!</v>
      </c>
      <c r="U2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3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3" s="42" t="e">
        <f>Tableau5617192223242425262827293031333432353620383961719241822254140424344104746[[#This Row],[Budget Heures Valorisées
€]]/96</f>
        <v>#REF!</v>
      </c>
      <c r="X23" s="13">
        <f>IFERROR(VLOOKUP(H23,#REF!,2,FALSE),0)</f>
        <v>0</v>
      </c>
      <c r="Y23" s="13">
        <f>IFERROR(VLOOKUP(H23,#REF!,3,FALSE),0)</f>
        <v>0</v>
      </c>
      <c r="Z2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5981.92</v>
      </c>
      <c r="AA23" s="13">
        <f>IFERROR(VLOOKUP(H23,#REF!,18,FALSE),0)</f>
        <v>0</v>
      </c>
      <c r="AB23" s="13">
        <f>SUM(X23:Y23)-IFERROR(VLOOKUP(H23,#REF!,16,FALSE),0)-IFERROR(VLOOKUP(H23,#REF!,17,FALSE),0)</f>
        <v>0</v>
      </c>
      <c r="AC23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3" s="8" t="e">
        <f>(X23*VLOOKUP(H23,#REF!,2,FALSE)+Y23*VLOOKUP(H23,#REF!,3,FALSE))</f>
        <v>#REF!</v>
      </c>
      <c r="AE23" s="8">
        <f t="shared" si="3"/>
        <v>285935.77600000001</v>
      </c>
      <c r="AF23" s="87" t="e">
        <f t="shared" si="4"/>
        <v>#REF!</v>
      </c>
      <c r="AG23" s="41">
        <f>IFERROR(VLOOKUP(H23,#REF!,3,FALSE),0)+IFERROR(VLOOKUP(H23,#REF!,3,FALSE),0)-15260-32760</f>
        <v>-48020</v>
      </c>
      <c r="AH23" s="8">
        <f>IFERROR(VLOOKUP(Tableau5617192223242425262827293031333432353620383961719241822254140424344104746[[#This Row],[Num Projets]],#REF!,2,FALSE),0)</f>
        <v>0</v>
      </c>
      <c r="AI23" s="88">
        <f>+IFERROR(VLOOKUP(H23,#REF!,2,FALSE),0)-Tableau5617192223242425262827293031333432353620383961719241822254140424344104746[[#This Row],[Int Commandé OT
€]]-0.47</f>
        <v>-0.47</v>
      </c>
      <c r="AJ23" s="8">
        <f>IFERROR(VLOOKUP(H23,#REF!,11,FALSE),0)-IFERROR(VLOOKUP(H23,#REF!,10,FALSE),0)+Tableau5617192223242425262827293031333432353620383961719241822254140424344104746[[#This Row],[dont FNP à date (€ HT)]]</f>
        <v>4431.8698599999998</v>
      </c>
      <c r="AK23" s="23">
        <f t="shared" si="14"/>
        <v>-4432.33986</v>
      </c>
      <c r="AL2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4431.8698599999998</v>
      </c>
      <c r="AM23" s="19">
        <f>IF(Tableau5617192223242425262827293031333432353620383961719241822254140424344104746[[#This Row],[RAF Achats M-1
€]]=0,0,AN23-AO23)</f>
        <v>0</v>
      </c>
      <c r="AN23" s="8">
        <f>IFERROR(VLOOKUP(H23,#REF!,31,FALSE),0)</f>
        <v>0</v>
      </c>
      <c r="AO23" s="8">
        <f>AI23+-IFERROR(VLOOKUP(H23,#REF!,27,FALSE),0)</f>
        <v>-0.47</v>
      </c>
      <c r="AP23" s="20">
        <f>IFERROR(VLOOKUP(Tableau5617192223242425262827293031333432353620383961719241822254140424344104746[[#This Row],[Num Projets]],#REF!,2,FALSE),0)</f>
        <v>0</v>
      </c>
      <c r="AQ23" s="20">
        <f>_xlfn.XLOOKUP(H23,[2]Synth!$N:$N,[2]Synth!$O:$O,0,FALSE)+_xlfn.XLOOKUP(Tableau5617192223242425262827293031333432353620383961719241822254140424344104746[[#This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698126.73</v>
      </c>
      <c r="AR23" s="21">
        <v>0</v>
      </c>
      <c r="AS23" s="20">
        <f>+IFERROR(VLOOKUP(H23,#REF!,36,FALSE),0)</f>
        <v>0</v>
      </c>
      <c r="AT2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3" s="22">
        <f>IF(AG23=0,0,1-((AI23+AM23+Tableau5617192223242425262827293031333432353620383961719241822254140424344104746[[#This Row],[Int Commandé OT
€]]+Tableau5617192223242425262827293031333432353620383961719241822254140424344104746[[#This Row],[RAF Int OT
€]])/AG23))</f>
        <v>0.99999021241149522</v>
      </c>
      <c r="AV23" s="8">
        <f>IFERROR(VLOOKUP(H23,#REF!,4,FALSE),0)+IFERROR(VLOOKUP(H23,#REF!,4,FALSE),0)</f>
        <v>0</v>
      </c>
      <c r="AW23" s="8">
        <f>IFERROR(VLOOKUP(Tableau5617192223242425262827293031333432353620383961719241822254140424344104746[[#This Row],[Num Projets]],#REF!,3,FALSE),0)</f>
        <v>0</v>
      </c>
      <c r="AX23" s="41">
        <f>IFERROR(VLOOKUP(Tableau5617192223242425262827293031333432353620383961719241822254140424344104746[[#This Row],[Num Projets]],#REF!,10,FALSE),0)-17819</f>
        <v>-17819</v>
      </c>
      <c r="AY23" s="23">
        <v>0</v>
      </c>
      <c r="AZ23" s="8">
        <f>IFERROR(VLOOKUP(H23,#REF!,43,FALSE),0)</f>
        <v>0</v>
      </c>
      <c r="BA23" s="8">
        <f>AX23-IFERROR(VLOOKUP(H23,#REF!,42,FALSE),0)</f>
        <v>-17819</v>
      </c>
      <c r="BB23" s="87">
        <f t="shared" si="15"/>
        <v>0</v>
      </c>
      <c r="BC23" s="24">
        <f>IFERROR(VLOOKUP(H23,#REF!,47,FALSE),IFERROR(VLOOKUP(H23,#REF!,5,FALSE),0)+IFERROR(VLOOKUP(H23,#REF!,5,FALSE),0))</f>
        <v>0</v>
      </c>
      <c r="BD23" s="25">
        <f>IFERROR(VLOOKUP(H23,#REF!,2,FALSE),0)</f>
        <v>0</v>
      </c>
      <c r="BE23" s="25">
        <f>IFERROR(VLOOKUP(H23,#REF!,49,FALSE),0)</f>
        <v>0</v>
      </c>
      <c r="BF23" s="26" t="e">
        <f t="shared" si="5"/>
        <v>#REF!</v>
      </c>
      <c r="BG23" s="26" t="e">
        <f t="shared" si="6"/>
        <v>#REF!</v>
      </c>
      <c r="BH23" s="27">
        <f>AE23+ (AI23-AJ23+AM23+Tableau5617192223242425262827293031333432353620383961719241822254140424344104746[[#This Row],[Int Commandé OT
€]]-Tableau5617192223242425262827293031333432353620383961719241822254140424344104746[[#This Row],[Int Réalisé OT
€]]+AR23) +AY23+BC23</f>
        <v>-416623.29385999992</v>
      </c>
      <c r="BI23" s="89" t="e">
        <f>IF((BG23/(BG23+BH23))&lt;VLOOKUP(Tableau5617192223242425262827293031333432353620383961719241822254140424344104746[[#This Row],[Num Projets]],#REF!,53,FALSE),VLOOKUP(Tableau5617192223242425262827293031333432353620383961719241822254140424344104746[[#This Row],[Num Projets]],#REF!,53,FALSE),BG23/(BG23+BH23))</f>
        <v>#REF!</v>
      </c>
      <c r="BJ23" s="87" t="e">
        <f t="shared" si="8"/>
        <v>#REF!</v>
      </c>
      <c r="BK23" s="27" t="e">
        <f t="shared" si="9"/>
        <v>#REF!</v>
      </c>
      <c r="BL23" s="26" t="e">
        <f t="shared" si="10"/>
        <v>#REF!</v>
      </c>
      <c r="BM23" s="28">
        <f>IFERROR(VLOOKUP(H23,'[1]2023dec'!H:CA,54,FALSE),105)</f>
        <v>96</v>
      </c>
      <c r="BN23" s="29">
        <v>1</v>
      </c>
      <c r="BO23" s="30" t="e">
        <f>P23-AC23-AG23-AV23-Tableau5617192223242425262827293031333432353620383961719241822254140424344104746[[#This Row],[Provisions pour risques]]</f>
        <v>#REF!</v>
      </c>
      <c r="BP23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3" s="33" t="e">
        <f t="shared" si="11"/>
        <v>#REF!</v>
      </c>
      <c r="BS23" s="34" t="e">
        <f>Tableau5617192223242425262827293031333432353620383961719241822254140424344104746[[#This Row],[Consommé global Enregistré à date (€ HT)]]-IFERROR(VLOOKUP(H23,#REF!,50,FALSE),0)</f>
        <v>#REF!</v>
      </c>
      <c r="BT23" s="35" t="e">
        <f t="shared" si="12"/>
        <v>#REF!</v>
      </c>
      <c r="BU23" s="36">
        <f>BD23-IFERROR(VLOOKUP(H23,#REF!,47,FALSE),0)</f>
        <v>0</v>
      </c>
      <c r="BV23" s="37" t="e">
        <f>+BF23+Tableau5617192223242425262827293031333432353620383961719241822254140424344104746[[#This Row],[CA fin N-1]]-IFERROR(VLOOKUP(H23,#REF!,49,FALSE),0)-IFERROR(VLOOKUP(H23,#REF!,50,FALSE),0)</f>
        <v>#REF!</v>
      </c>
      <c r="BW23" s="33" t="e">
        <f>BG23-IFERROR(VLOOKUP(H23,#REF!,51,FALSE),0)</f>
        <v>#REF!</v>
      </c>
      <c r="BX23" s="35" t="e">
        <f t="shared" si="13"/>
        <v>#REF!</v>
      </c>
      <c r="BY23" s="36">
        <f>BD23-IFERROR(VLOOKUP(H23,#REF!,48,FALSE),0)</f>
        <v>0</v>
      </c>
      <c r="BZ2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3" s="39" t="e">
        <f>VLOOKUP(Tableau5617192223242425262827293031333432353620383961719241822254140424344104746[[#This Row],[Num Projets]],#REF!,1,FALSE)</f>
        <v>#REF!</v>
      </c>
      <c r="CB23" s="40">
        <v>5981.92</v>
      </c>
      <c r="CC23" s="40">
        <v>0</v>
      </c>
      <c r="CD2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-5981.92</v>
      </c>
    </row>
    <row r="24" spans="1:82" ht="13.5" customHeight="1" x14ac:dyDescent="0.25">
      <c r="A24" s="311"/>
      <c r="B24" s="1"/>
      <c r="C24" s="2" t="e">
        <f>_xlfn.XLOOKUP(Tableau5617192223242425262827293031333432353620383961719241822254140424344104746[[#This Row],[Num Projets]],#REF!,#REF!,FALSE)</f>
        <v>#REF!</v>
      </c>
      <c r="D24" s="3" t="s">
        <v>6</v>
      </c>
      <c r="E24" s="3" t="e">
        <f>_xlfn.XLOOKUP(Tableau5617192223242425262827293031333432353620383961719241822254140424344104746[[#This Row],[Num Projets]],#REF!,#REF!,FALSE)</f>
        <v>#REF!</v>
      </c>
      <c r="F24" s="3" t="e">
        <f>_xlfn.XLOOKUP(Tableau5617192223242425262827293031333432353620383961719241822254140424344104746[[#This Row],[Num Projets]],#REF!,#REF!,"newavr",0)</f>
        <v>#REF!</v>
      </c>
      <c r="G24" s="3" t="s">
        <v>2</v>
      </c>
      <c r="H24" s="3" t="s">
        <v>56</v>
      </c>
      <c r="I2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4" s="4" t="e">
        <f>VLOOKUP(Tableau5617192223242425262827293031333432353620383961719241822254140424344104746[[#This Row],[Num Projets]],#REF!,36,FALSE)</f>
        <v>#REF!</v>
      </c>
      <c r="K24" s="5" t="s">
        <v>9</v>
      </c>
      <c r="L2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4" s="3" t="e">
        <f>SUBSTITUTE(_xlfn.XLOOKUP(Tableau5617192223242425262827293031333432353620383961719241822254140424344104746[[#This Row],[Num Projets]],#REF!,#REF!,FALSE)," ","")</f>
        <v>#REF!</v>
      </c>
      <c r="N24" s="7" t="e">
        <f>VLOOKUP(H24,#REF!,7,FALSE)</f>
        <v>#REF!</v>
      </c>
      <c r="O24" s="7" t="e">
        <f>IF(VLOOKUP(H24,#REF!,27,FALSE)=0,"",VLOOKUP(H24,#REF!,27,FALSE))</f>
        <v>#REF!</v>
      </c>
      <c r="P24" s="8" t="e">
        <f>VLOOKUP(H24,#REF!,2,FALSE)</f>
        <v>#REF!</v>
      </c>
      <c r="Q24" s="9" t="e">
        <f>Tableau5617192223242425262827293031333432353620383961719241822254140424344104746[[#This Row],[Total Budget
€]]-IFERROR(VLOOKUP(H24,#REF!,8,FALSE),0)</f>
        <v>#REF!</v>
      </c>
      <c r="R24" s="10" t="e">
        <f>AD24+AI24+Tableau5617192223242425262827293031333432353620383961719241822254140424344104746[[#This Row],[Int Commandé OT
€]]+AX24</f>
        <v>#REF!</v>
      </c>
      <c r="S24" s="10" t="e">
        <f>AD24+AJ24+Tableau5617192223242425262827293031333432353620383961719241822254140424344104746[[#This Row],[Int Réalisé OT
€]]+AX24</f>
        <v>#REF!</v>
      </c>
      <c r="T24" s="47" t="e">
        <f t="shared" si="2"/>
        <v>#REF!</v>
      </c>
      <c r="U2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4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4" s="42" t="e">
        <f>Tableau5617192223242425262827293031333432353620383961719241822254140424344104746[[#This Row],[Budget Heures Valorisées
€]]/96</f>
        <v>#REF!</v>
      </c>
      <c r="X24" s="13">
        <f>IFERROR(VLOOKUP(H24,#REF!,2,FALSE),0)</f>
        <v>0</v>
      </c>
      <c r="Y24" s="13">
        <f>IFERROR(VLOOKUP(H24,#REF!,3,FALSE),0)</f>
        <v>0</v>
      </c>
      <c r="Z2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50</v>
      </c>
      <c r="AA24" s="13">
        <f>IFERROR(VLOOKUP(H24,#REF!,18,FALSE),0)</f>
        <v>0</v>
      </c>
      <c r="AB24" s="13">
        <f>SUM(X24:Y24)-IFERROR(VLOOKUP(H24,#REF!,16,FALSE),0)-IFERROR(VLOOKUP(H24,#REF!,17,FALSE),0)</f>
        <v>0</v>
      </c>
      <c r="AC24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4" s="8" t="e">
        <f>(X24*VLOOKUP(H24,#REF!,2,FALSE)+Y24*VLOOKUP(H24,#REF!,3,FALSE))</f>
        <v>#REF!</v>
      </c>
      <c r="AE24" s="8">
        <f t="shared" si="3"/>
        <v>2390</v>
      </c>
      <c r="AF24" s="47" t="e">
        <f t="shared" si="4"/>
        <v>#REF!</v>
      </c>
      <c r="AG24" s="8">
        <f>IFERROR(VLOOKUP(H24,#REF!,3,FALSE),0)+IFERROR(VLOOKUP(H24,#REF!,3,FALSE),0)</f>
        <v>0</v>
      </c>
      <c r="AH24" s="8">
        <f>IFERROR(VLOOKUP(Tableau5617192223242425262827293031333432353620383961719241822254140424344104746[[#This Row],[Num Projets]],#REF!,2,FALSE),0)</f>
        <v>0</v>
      </c>
      <c r="AI24" s="17">
        <f>+IFERROR(VLOOKUP(H24,#REF!,2,FALSE),0)-Tableau5617192223242425262827293031333432353620383961719241822254140424344104746[[#This Row],[Int Commandé OT
€]]</f>
        <v>0</v>
      </c>
      <c r="AJ24" s="8">
        <f>IFERROR(VLOOKUP(H24,#REF!,11,FALSE),0)-IFERROR(VLOOKUP(H24,#REF!,10,FALSE),0)+Tableau5617192223242425262827293031333432353620383961719241822254140424344104746[[#This Row],[dont FNP à date (€ HT)]]</f>
        <v>240</v>
      </c>
      <c r="AK24" s="23">
        <f t="shared" si="14"/>
        <v>-240</v>
      </c>
      <c r="AL2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240</v>
      </c>
      <c r="AM24" s="19">
        <f>IF(Tableau5617192223242425262827293031333432353620383961719241822254140424344104746[[#This Row],[RAF Achats M-1
€]]=0,0,AN24-AO24)</f>
        <v>0</v>
      </c>
      <c r="AN24" s="8">
        <f>IFERROR(VLOOKUP(H24,#REF!,31,FALSE),0)</f>
        <v>0</v>
      </c>
      <c r="AO24" s="8">
        <f>AI24+-IFERROR(VLOOKUP(H24,#REF!,27,FALSE),0)</f>
        <v>0</v>
      </c>
      <c r="AP24" s="20">
        <f>IFERROR(VLOOKUP(Tableau5617192223242425262827293031333432353620383961719241822254140424344104746[[#This Row],[Num Projets]],#REF!,2,FALSE),0)</f>
        <v>0</v>
      </c>
      <c r="AQ24" s="20">
        <f>_xlfn.XLOOKUP(H24,[2]Synth!$N:$N,[2]Synth!$O:$O,0,FALSE)+_xlfn.XLOOKUP(Tableau5617192223242425262827293031333432353620383961719241822254140424344104746[[#This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4" s="21">
        <v>0</v>
      </c>
      <c r="AS24" s="20">
        <f>+IFERROR(VLOOKUP(H24,#REF!,36,FALSE),0)</f>
        <v>0</v>
      </c>
      <c r="AT2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4" s="22">
        <f>IF(AG24=0,0,1-((AI24+AM24+Tableau5617192223242425262827293031333432353620383961719241822254140424344104746[[#This Row],[Int Commandé OT
€]]+Tableau5617192223242425262827293031333432353620383961719241822254140424344104746[[#This Row],[RAF Int OT
€]])/AG24))</f>
        <v>0</v>
      </c>
      <c r="AV24" s="8">
        <f>IFERROR(VLOOKUP(H24,#REF!,4,FALSE),0)+IFERROR(VLOOKUP(H24,#REF!,4,FALSE),0)</f>
        <v>0</v>
      </c>
      <c r="AW24" s="8">
        <f>IFERROR(VLOOKUP(Tableau5617192223242425262827293031333432353620383961719241822254140424344104746[[#This Row],[Num Projets]],#REF!,3,FALSE),0)</f>
        <v>0</v>
      </c>
      <c r="AX24" s="20">
        <f>IFERROR(VLOOKUP(Tableau5617192223242425262827293031333432353620383961719241822254140424344104746[[#This Row],[Num Projets]],#REF!,10,FALSE),0)</f>
        <v>0</v>
      </c>
      <c r="AY24" s="23">
        <f>Tableau5617192223242425262827293031333432353620383961719241822254140424344104746[[#This Row],[Budget Mission
 €]]/1.2-AX24</f>
        <v>0</v>
      </c>
      <c r="AZ24" s="8">
        <f>IFERROR(VLOOKUP(H24,#REF!,43,FALSE),0)</f>
        <v>0</v>
      </c>
      <c r="BA24" s="8">
        <f>AX24-IFERROR(VLOOKUP(H24,#REF!,42,FALSE),0)</f>
        <v>0</v>
      </c>
      <c r="BB24" s="16">
        <f t="shared" si="15"/>
        <v>0</v>
      </c>
      <c r="BC24" s="24">
        <f>IFERROR(VLOOKUP(H24,#REF!,47,FALSE),IFERROR(VLOOKUP(H24,#REF!,5,FALSE),0)+IFERROR(VLOOKUP(H24,#REF!,5,FALSE),0))</f>
        <v>0</v>
      </c>
      <c r="BD24" s="25">
        <f>IFERROR(VLOOKUP(H24,#REF!,2,FALSE),0)</f>
        <v>0</v>
      </c>
      <c r="BE24" s="25">
        <f>IFERROR(VLOOKUP(H24,#REF!,49,FALSE),0)</f>
        <v>0</v>
      </c>
      <c r="BF24" s="26" t="e">
        <f t="shared" si="5"/>
        <v>#REF!</v>
      </c>
      <c r="BG24" s="26" t="e">
        <f t="shared" si="6"/>
        <v>#REF!</v>
      </c>
      <c r="BH24" s="27">
        <f>AE24+ (AI24-AJ24+AM24+Tableau5617192223242425262827293031333432353620383961719241822254140424344104746[[#This Row],[Int Commandé OT
€]]-Tableau5617192223242425262827293031333432353620383961719241822254140424344104746[[#This Row],[Int Réalisé OT
€]]+AR24) +AY24+BC24</f>
        <v>2150</v>
      </c>
      <c r="BI24" s="16" t="e">
        <f t="shared" ref="BI24:BI55" si="16">IF(BG24+BH24=0,100%,BG24/(BG24+BH24))</f>
        <v>#REF!</v>
      </c>
      <c r="BJ24" s="16" t="e">
        <f t="shared" si="8"/>
        <v>#REF!</v>
      </c>
      <c r="BK24" s="27" t="e">
        <f t="shared" si="9"/>
        <v>#REF!</v>
      </c>
      <c r="BL24" s="26" t="e">
        <f t="shared" si="10"/>
        <v>#REF!</v>
      </c>
      <c r="BM24" s="28">
        <f>IFERROR(VLOOKUP(H24,'[1]2023dec'!H:CA,54,FALSE),105)</f>
        <v>96</v>
      </c>
      <c r="BN24" s="29">
        <v>1</v>
      </c>
      <c r="BO24" s="30" t="e">
        <f>P24-AC24-AG24-AV24-Tableau5617192223242425262827293031333432353620383961719241822254140424344104746[[#This Row],[Provisions pour risques]]</f>
        <v>#REF!</v>
      </c>
      <c r="BP24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4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4" s="33" t="e">
        <f t="shared" si="11"/>
        <v>#REF!</v>
      </c>
      <c r="BS24" s="34" t="e">
        <f>Tableau5617192223242425262827293031333432353620383961719241822254140424344104746[[#This Row],[Consommé global Enregistré à date (€ HT)]]-IFERROR(VLOOKUP(H24,#REF!,50,FALSE),0)</f>
        <v>#REF!</v>
      </c>
      <c r="BT24" s="35" t="e">
        <f t="shared" si="12"/>
        <v>#REF!</v>
      </c>
      <c r="BU24" s="36">
        <f>BD24-IFERROR(VLOOKUP(H24,#REF!,47,FALSE),0)</f>
        <v>0</v>
      </c>
      <c r="BV24" s="37" t="e">
        <f>+BF24+Tableau5617192223242425262827293031333432353620383961719241822254140424344104746[[#This Row],[CA fin N-1]]-IFERROR(VLOOKUP(H24,#REF!,49,FALSE),0)-IFERROR(VLOOKUP(H24,#REF!,50,FALSE),0)</f>
        <v>#REF!</v>
      </c>
      <c r="BW24" s="33" t="e">
        <f>BG24-IFERROR(VLOOKUP(H24,#REF!,51,FALSE),0)</f>
        <v>#REF!</v>
      </c>
      <c r="BX24" s="35" t="e">
        <f t="shared" si="13"/>
        <v>#REF!</v>
      </c>
      <c r="BY24" s="36">
        <f>BD24-IFERROR(VLOOKUP(H24,#REF!,48,FALSE),0)</f>
        <v>0</v>
      </c>
      <c r="BZ2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4" s="39" t="e">
        <f>VLOOKUP(Tableau5617192223242425262827293031333432353620383961719241822254140424344104746[[#This Row],[Num Projets]],#REF!,1,FALSE)</f>
        <v>#REF!</v>
      </c>
      <c r="CB24" s="40">
        <v>50</v>
      </c>
      <c r="CC24" s="40">
        <v>0</v>
      </c>
      <c r="CD2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-50</v>
      </c>
    </row>
    <row r="25" spans="1:82" ht="13.5" customHeight="1" x14ac:dyDescent="0.25">
      <c r="A25" s="311" t="s">
        <v>57</v>
      </c>
      <c r="B25" s="1"/>
      <c r="C25" s="2" t="e">
        <f>_xlfn.XLOOKUP(Tableau5617192223242425262827293031333432353620383961719241822254140424344104746[[#This Row],[Num Projets]],#REF!,#REF!,FALSE)</f>
        <v>#REF!</v>
      </c>
      <c r="D25" s="3" t="s">
        <v>6</v>
      </c>
      <c r="E25" s="3" t="e">
        <f>_xlfn.XLOOKUP(Tableau5617192223242425262827293031333432353620383961719241822254140424344104746[[#This Row],[Num Projets]],#REF!,#REF!,FALSE)</f>
        <v>#REF!</v>
      </c>
      <c r="F25" s="3" t="e">
        <f>_xlfn.XLOOKUP(Tableau5617192223242425262827293031333432353620383961719241822254140424344104746[[#This Row],[Num Projets]],#REF!,#REF!,"newavr",0)</f>
        <v>#REF!</v>
      </c>
      <c r="G25" s="3" t="s">
        <v>58</v>
      </c>
      <c r="H25" s="3" t="s">
        <v>59</v>
      </c>
      <c r="I2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5" s="4" t="e">
        <f>VLOOKUP(Tableau5617192223242425262827293031333432353620383961719241822254140424344104746[[#This Row],[Num Projets]],#REF!,36,FALSE)</f>
        <v>#REF!</v>
      </c>
      <c r="K25" s="5" t="s">
        <v>21</v>
      </c>
      <c r="L2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5" s="3" t="e">
        <f>SUBSTITUTE(_xlfn.XLOOKUP(Tableau5617192223242425262827293031333432353620383961719241822254140424344104746[[#This Row],[Num Projets]],#REF!,#REF!,FALSE)," ","")</f>
        <v>#REF!</v>
      </c>
      <c r="N25" s="7" t="e">
        <f>VLOOKUP(H25,#REF!,7,FALSE)</f>
        <v>#REF!</v>
      </c>
      <c r="O25" s="7" t="e">
        <f>IF(VLOOKUP(H25,#REF!,27,FALSE)=0,"",VLOOKUP(H25,#REF!,27,FALSE))</f>
        <v>#REF!</v>
      </c>
      <c r="P25" s="8" t="e">
        <f>VLOOKUP(H25,#REF!,2,FALSE)</f>
        <v>#REF!</v>
      </c>
      <c r="Q25" s="9" t="e">
        <f>Tableau5617192223242425262827293031333432353620383961719241822254140424344104746[[#This Row],[Total Budget
€]]-IFERROR(VLOOKUP(H25,#REF!,8,FALSE),0)</f>
        <v>#REF!</v>
      </c>
      <c r="R25" s="10" t="e">
        <f>AD25+AI25+Tableau5617192223242425262827293031333432353620383961719241822254140424344104746[[#This Row],[Int Commandé OT
€]]+AX25</f>
        <v>#REF!</v>
      </c>
      <c r="S25" s="10" t="e">
        <f>AD25+AJ25+Tableau5617192223242425262827293031333432353620383961719241822254140424344104746[[#This Row],[Int Réalisé OT
€]]+AX25</f>
        <v>#REF!</v>
      </c>
      <c r="T25" s="47" t="e">
        <f t="shared" si="2"/>
        <v>#REF!</v>
      </c>
      <c r="U2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5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5" s="12">
        <f>IFERROR(VLOOKUP(H25,#REF!,2,FALSE),0)</f>
        <v>0</v>
      </c>
      <c r="X25" s="13">
        <f>IFERROR(VLOOKUP(H25,#REF!,2,FALSE),0)</f>
        <v>0</v>
      </c>
      <c r="Y25" s="13">
        <f>IFERROR(VLOOKUP(H25,#REF!,3,FALSE),0)</f>
        <v>0</v>
      </c>
      <c r="Z2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201.5</v>
      </c>
      <c r="AA25" s="13">
        <f>IFERROR(VLOOKUP(H25,#REF!,18,FALSE),0)</f>
        <v>0</v>
      </c>
      <c r="AB25" s="13">
        <f>SUM(X25:Y25)-IFERROR(VLOOKUP(H25,#REF!,16,FALSE),0)-IFERROR(VLOOKUP(H25,#REF!,17,FALSE),0)</f>
        <v>0</v>
      </c>
      <c r="AC25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5" s="8" t="e">
        <f>(X25*VLOOKUP(H25,#REF!,2,FALSE)+Y25*VLOOKUP(H25,#REF!,3,FALSE))</f>
        <v>#REF!</v>
      </c>
      <c r="AE25" s="8">
        <f t="shared" si="3"/>
        <v>9631.6999999999989</v>
      </c>
      <c r="AF25" s="47" t="e">
        <f t="shared" si="4"/>
        <v>#REF!</v>
      </c>
      <c r="AG25" s="8">
        <f>IFERROR(VLOOKUP(H25,#REF!,3,FALSE),0)+IFERROR(VLOOKUP(H25,#REF!,3,FALSE),0)</f>
        <v>0</v>
      </c>
      <c r="AH25" s="8">
        <f>IFERROR(VLOOKUP(Tableau5617192223242425262827293031333432353620383961719241822254140424344104746[[#This Row],[Num Projets]],#REF!,2,FALSE),0)</f>
        <v>0</v>
      </c>
      <c r="AI25" s="17">
        <f>+IFERROR(VLOOKUP(H25,#REF!,2,FALSE),0)-Tableau5617192223242425262827293031333432353620383961719241822254140424344104746[[#This Row],[Int Commandé OT
€]]</f>
        <v>0</v>
      </c>
      <c r="AJ25" s="8">
        <f>IFERROR(VLOOKUP(H25,#REF!,11,FALSE),0)-IFERROR(VLOOKUP(H25,#REF!,10,FALSE),0)+Tableau5617192223242425262827293031333432353620383961719241822254140424344104746[[#This Row],[dont FNP à date (€ HT)]]</f>
        <v>6429.4900000000016</v>
      </c>
      <c r="AK25" s="23">
        <f t="shared" si="14"/>
        <v>-6429.4900000000016</v>
      </c>
      <c r="AL2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6429.4900000000016</v>
      </c>
      <c r="AM25" s="19">
        <f>IF(Tableau5617192223242425262827293031333432353620383961719241822254140424344104746[[#This Row],[RAF Achats M-1
€]]=0,0,AN25-AO25)</f>
        <v>0</v>
      </c>
      <c r="AN25" s="8">
        <f>IFERROR(VLOOKUP(H25,#REF!,31,FALSE),0)</f>
        <v>0</v>
      </c>
      <c r="AO25" s="8">
        <f>AI25+-IFERROR(VLOOKUP(H25,#REF!,27,FALSE),0)</f>
        <v>0</v>
      </c>
      <c r="AP25" s="20">
        <f>IFERROR(VLOOKUP(Tableau5617192223242425262827293031333432353620383961719241822254140424344104746[[#This Row],[Num Projets]],#REF!,2,FALSE),0)</f>
        <v>0</v>
      </c>
      <c r="AQ25" s="20">
        <f>_xlfn.XLOOKUP(H25,[2]Synth!$N:$N,[2]Synth!$O:$O,0,FALSE)+_xlfn.XLOOKUP(Tableau5617192223242425262827293031333432353620383961719241822254140424344104746[[#This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5" s="21">
        <v>0</v>
      </c>
      <c r="AS25" s="20">
        <f>+IFERROR(VLOOKUP(H25,#REF!,36,FALSE),0)</f>
        <v>0</v>
      </c>
      <c r="AT2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5" s="22">
        <f>IF(AG25=0,0,1-((AI25+AM25+Tableau5617192223242425262827293031333432353620383961719241822254140424344104746[[#This Row],[Int Commandé OT
€]]+Tableau5617192223242425262827293031333432353620383961719241822254140424344104746[[#This Row],[RAF Int OT
€]])/AG25))</f>
        <v>0</v>
      </c>
      <c r="AV25" s="8">
        <f>IFERROR(VLOOKUP(H25,#REF!,4,FALSE),0)+IFERROR(VLOOKUP(H25,#REF!,4,FALSE),0)</f>
        <v>0</v>
      </c>
      <c r="AW25" s="8">
        <f>IFERROR(VLOOKUP(Tableau5617192223242425262827293031333432353620383961719241822254140424344104746[[#This Row],[Num Projets]],#REF!,3,FALSE),0)</f>
        <v>0</v>
      </c>
      <c r="AX25" s="20">
        <f>IFERROR(VLOOKUP(Tableau5617192223242425262827293031333432353620383961719241822254140424344104746[[#This Row],[Num Projets]],#REF!,10,FALSE),0)</f>
        <v>0</v>
      </c>
      <c r="AY25" s="23">
        <f>Tableau5617192223242425262827293031333432353620383961719241822254140424344104746[[#This Row],[Budget Mission
 €]]/1.2-AX25</f>
        <v>0</v>
      </c>
      <c r="AZ25" s="8">
        <f>IFERROR(VLOOKUP(H25,#REF!,43,FALSE),0)</f>
        <v>0</v>
      </c>
      <c r="BA25" s="8">
        <f>AX25-IFERROR(VLOOKUP(H25,#REF!,42,FALSE),0)</f>
        <v>0</v>
      </c>
      <c r="BB25" s="16">
        <f t="shared" si="15"/>
        <v>0</v>
      </c>
      <c r="BC25" s="24">
        <f>IFERROR(VLOOKUP(H25,#REF!,47,FALSE),IFERROR(VLOOKUP(H25,#REF!,5,FALSE),0)+IFERROR(VLOOKUP(H25,#REF!,5,FALSE),0))</f>
        <v>0</v>
      </c>
      <c r="BD25" s="25">
        <f>IFERROR(VLOOKUP(H25,#REF!,2,FALSE),0)</f>
        <v>0</v>
      </c>
      <c r="BE25" s="25">
        <f>IFERROR(VLOOKUP(H25,#REF!,49,FALSE),0)</f>
        <v>0</v>
      </c>
      <c r="BF25" s="26" t="e">
        <f t="shared" si="5"/>
        <v>#REF!</v>
      </c>
      <c r="BG25" s="26" t="e">
        <f t="shared" si="6"/>
        <v>#REF!</v>
      </c>
      <c r="BH25" s="27">
        <f>AE25+ (AI25-AJ25+AM25+Tableau5617192223242425262827293031333432353620383961719241822254140424344104746[[#This Row],[Int Commandé OT
€]]-Tableau5617192223242425262827293031333432353620383961719241822254140424344104746[[#This Row],[Int Réalisé OT
€]]+AR25) +AY25+BC25</f>
        <v>3202.2099999999973</v>
      </c>
      <c r="BI25" s="16" t="e">
        <f t="shared" si="16"/>
        <v>#REF!</v>
      </c>
      <c r="BJ25" s="16" t="e">
        <f t="shared" si="8"/>
        <v>#REF!</v>
      </c>
      <c r="BK25" s="27" t="e">
        <f t="shared" si="9"/>
        <v>#REF!</v>
      </c>
      <c r="BL25" s="26" t="e">
        <f t="shared" si="10"/>
        <v>#REF!</v>
      </c>
      <c r="BM25" s="28">
        <f>IFERROR(VLOOKUP(H25,'[1]2023dec'!H:CA,54,FALSE),105)</f>
        <v>96</v>
      </c>
      <c r="BN25" s="29">
        <v>1</v>
      </c>
      <c r="BO25" s="30" t="e">
        <f>P25-AC25-AG25-AV25-Tableau5617192223242425262827293031333432353620383961719241822254140424344104746[[#This Row],[Provisions pour risques]]</f>
        <v>#REF!</v>
      </c>
      <c r="BP25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5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5" s="33" t="e">
        <f t="shared" si="11"/>
        <v>#REF!</v>
      </c>
      <c r="BS25" s="34" t="e">
        <f>Tableau5617192223242425262827293031333432353620383961719241822254140424344104746[[#This Row],[Consommé global Enregistré à date (€ HT)]]-IFERROR(VLOOKUP(H25,#REF!,50,FALSE),0)</f>
        <v>#REF!</v>
      </c>
      <c r="BT25" s="35" t="e">
        <f t="shared" si="12"/>
        <v>#REF!</v>
      </c>
      <c r="BU25" s="36">
        <f>BD25-IFERROR(VLOOKUP(H25,#REF!,47,FALSE),0)</f>
        <v>0</v>
      </c>
      <c r="BV25" s="37" t="e">
        <f>+BF25+Tableau5617192223242425262827293031333432353620383961719241822254140424344104746[[#This Row],[CA fin N-1]]-IFERROR(VLOOKUP(H25,#REF!,49,FALSE),0)-IFERROR(VLOOKUP(H25,#REF!,50,FALSE),0)</f>
        <v>#REF!</v>
      </c>
      <c r="BW25" s="33" t="e">
        <f>BG25-IFERROR(VLOOKUP(H25,#REF!,51,FALSE),0)</f>
        <v>#REF!</v>
      </c>
      <c r="BX25" s="35" t="e">
        <f t="shared" si="13"/>
        <v>#REF!</v>
      </c>
      <c r="BY25" s="36">
        <f>BD25-IFERROR(VLOOKUP(H25,#REF!,48,FALSE),0)</f>
        <v>0</v>
      </c>
      <c r="BZ2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5" s="39" t="e">
        <f>VLOOKUP(Tableau5617192223242425262827293031333432353620383961719241822254140424344104746[[#This Row],[Num Projets]],#REF!,1,FALSE)</f>
        <v>#REF!</v>
      </c>
      <c r="CB25" s="40">
        <v>201.5</v>
      </c>
      <c r="CC25" s="40">
        <v>0</v>
      </c>
      <c r="CD2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-201.5</v>
      </c>
    </row>
    <row r="26" spans="1:82" s="258" customFormat="1" ht="13.5" customHeight="1" x14ac:dyDescent="0.25">
      <c r="A26" s="311" t="s">
        <v>60</v>
      </c>
      <c r="B26" s="1"/>
      <c r="C26" s="2" t="e">
        <f>_xlfn.XLOOKUP(Tableau5617192223242425262827293031333432353620383961719241822254140424344104746[[#This Row],[Num Projets]],#REF!,#REF!,FALSE)</f>
        <v>#REF!</v>
      </c>
      <c r="D26" s="3" t="s">
        <v>6</v>
      </c>
      <c r="E26" s="3" t="e">
        <f>_xlfn.XLOOKUP(Tableau5617192223242425262827293031333432353620383961719241822254140424344104746[[#This Row],[Num Projets]],#REF!,#REF!,FALSE)</f>
        <v>#REF!</v>
      </c>
      <c r="F26" s="3" t="e">
        <f>_xlfn.XLOOKUP(Tableau5617192223242425262827293031333432353620383961719241822254140424344104746[[#This Row],[Num Projets]],#REF!,#REF!,"newavr",0)</f>
        <v>#REF!</v>
      </c>
      <c r="G26" s="3" t="s">
        <v>2</v>
      </c>
      <c r="H26" s="3" t="s">
        <v>61</v>
      </c>
      <c r="I2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6" s="4" t="e">
        <f>VLOOKUP(Tableau5617192223242425262827293031333432353620383961719241822254140424344104746[[#This Row],[Num Projets]],#REF!,36,FALSE)</f>
        <v>#REF!</v>
      </c>
      <c r="K26" s="5" t="s">
        <v>9</v>
      </c>
      <c r="L2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6" s="3" t="e">
        <f>SUBSTITUTE(_xlfn.XLOOKUP(Tableau5617192223242425262827293031333432353620383961719241822254140424344104746[[#This Row],[Num Projets]],#REF!,#REF!,FALSE)," ","")</f>
        <v>#REF!</v>
      </c>
      <c r="N26" s="7" t="e">
        <f>VLOOKUP(H26,#REF!,7,FALSE)</f>
        <v>#REF!</v>
      </c>
      <c r="O26" s="7" t="e">
        <f>IF(VLOOKUP(H26,#REF!,27,FALSE)=0,"",VLOOKUP(H26,#REF!,27,FALSE))</f>
        <v>#REF!</v>
      </c>
      <c r="P26" s="8" t="e">
        <f>VLOOKUP(H26,#REF!,2,FALSE)</f>
        <v>#REF!</v>
      </c>
      <c r="Q26" s="9" t="e">
        <f>Tableau5617192223242425262827293031333432353620383961719241822254140424344104746[[#This Row],[Total Budget
€]]-IFERROR(VLOOKUP(H26,#REF!,8,FALSE),0)</f>
        <v>#REF!</v>
      </c>
      <c r="R26" s="10" t="e">
        <f>AD26+AI26+Tableau5617192223242425262827293031333432353620383961719241822254140424344104746[[#This Row],[Int Commandé OT
€]]+AX26</f>
        <v>#REF!</v>
      </c>
      <c r="S26" s="10" t="e">
        <f>AD26+AJ26+Tableau5617192223242425262827293031333432353620383961719241822254140424344104746[[#This Row],[Int Réalisé OT
€]]+AX26</f>
        <v>#REF!</v>
      </c>
      <c r="T26" s="47" t="e">
        <f t="shared" si="2"/>
        <v>#REF!</v>
      </c>
      <c r="U2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6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6" s="42" t="e">
        <f>Tableau5617192223242425262827293031333432353620383961719241822254140424344104746[[#This Row],[Budget Heures Valorisées
€]]/96</f>
        <v>#REF!</v>
      </c>
      <c r="X26" s="13">
        <f>IFERROR(VLOOKUP(H26,#REF!,2,FALSE),0)</f>
        <v>0</v>
      </c>
      <c r="Y26" s="13">
        <f>IFERROR(VLOOKUP(H26,#REF!,3,FALSE),0)</f>
        <v>0</v>
      </c>
      <c r="Z2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747.03000000000009</v>
      </c>
      <c r="AA26" s="13">
        <f>IFERROR(VLOOKUP(H26,#REF!,18,FALSE),0)</f>
        <v>0</v>
      </c>
      <c r="AB26" s="13">
        <f>SUM(X26:Y26)-IFERROR(VLOOKUP(H26,#REF!,16,FALSE),0)-IFERROR(VLOOKUP(H26,#REF!,17,FALSE),0)</f>
        <v>0</v>
      </c>
      <c r="AC26" s="15" t="e">
        <f>VLOOKUP(Tableau5617192223242425262827293031333432353620383961719241822254140424344104746[[#This Row],[Num Projets]],#REF!,2,FALSE)</f>
        <v>#REF!</v>
      </c>
      <c r="AD26" s="8" t="e">
        <f>(X26*VLOOKUP(H26,#REF!,2,FALSE)+Y26*VLOOKUP(H26,#REF!,3,FALSE))</f>
        <v>#REF!</v>
      </c>
      <c r="AE26" s="8">
        <f t="shared" si="3"/>
        <v>35708.034</v>
      </c>
      <c r="AF26" s="47" t="e">
        <f t="shared" si="4"/>
        <v>#REF!</v>
      </c>
      <c r="AG26" s="8">
        <f>IFERROR(VLOOKUP(H26,#REF!,3,FALSE),0)+IFERROR(VLOOKUP(H26,#REF!,3,FALSE),0)</f>
        <v>0</v>
      </c>
      <c r="AH26" s="8">
        <f>IFERROR(VLOOKUP(Tableau5617192223242425262827293031333432353620383961719241822254140424344104746[[#This Row],[Num Projets]],#REF!,2,FALSE),0)</f>
        <v>0</v>
      </c>
      <c r="AI26" s="17">
        <f>+IFERROR(VLOOKUP(H26,#REF!,2,FALSE),0)-Tableau5617192223242425262827293031333432353620383961719241822254140424344104746[[#This Row],[Int Commandé OT
€]]</f>
        <v>0</v>
      </c>
      <c r="AJ26" s="8">
        <f>IFERROR(VLOOKUP(H26,#REF!,11,FALSE),0)-IFERROR(VLOOKUP(H26,#REF!,10,FALSE),0)+Tableau5617192223242425262827293031333432353620383961719241822254140424344104746[[#This Row],[dont FNP à date (€ HT)]]</f>
        <v>0</v>
      </c>
      <c r="AK26" s="15">
        <f t="shared" si="14"/>
        <v>0</v>
      </c>
      <c r="AL2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6" s="19">
        <f>IF(Tableau5617192223242425262827293031333432353620383961719241822254140424344104746[[#This Row],[RAF Achats M-1
€]]=0,0,AN26-AO26)</f>
        <v>0</v>
      </c>
      <c r="AN26" s="8">
        <f>IFERROR(VLOOKUP(H26,#REF!,31,FALSE),0)</f>
        <v>0</v>
      </c>
      <c r="AO26" s="8">
        <f>AI26+-IFERROR(VLOOKUP(H26,#REF!,27,FALSE),0)</f>
        <v>0</v>
      </c>
      <c r="AP26" s="20">
        <f>IFERROR(VLOOKUP(Tableau5617192223242425262827293031333432353620383961719241822254140424344104746[[#This Row],[Num Projets]],#REF!,2,FALSE),0)</f>
        <v>0</v>
      </c>
      <c r="AQ26" s="20">
        <f>_xlfn.XLOOKUP(H26,[2]Synth!$N:$N,[2]Synth!$O:$O,0,FALSE)+_xlfn.XLOOKUP(Tableau5617192223242425262827293031333432353620383961719241822254140424344104746[[#This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6" s="21">
        <v>0</v>
      </c>
      <c r="AS26" s="20">
        <f>+IFERROR(VLOOKUP(H26,#REF!,36,FALSE),0)</f>
        <v>0</v>
      </c>
      <c r="AT2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6" s="22">
        <f>IF(AG26=0,0,1-((AI26+AM26+Tableau5617192223242425262827293031333432353620383961719241822254140424344104746[[#This Row],[Int Commandé OT
€]]+Tableau5617192223242425262827293031333432353620383961719241822254140424344104746[[#This Row],[RAF Int OT
€]])/AG26))</f>
        <v>0</v>
      </c>
      <c r="AV26" s="8">
        <f>IFERROR(VLOOKUP(H26,#REF!,4,FALSE),0)+IFERROR(VLOOKUP(H26,#REF!,4,FALSE),0)</f>
        <v>0</v>
      </c>
      <c r="AW26" s="8">
        <f>IFERROR(VLOOKUP(Tableau5617192223242425262827293031333432353620383961719241822254140424344104746[[#This Row],[Num Projets]],#REF!,3,FALSE),0)</f>
        <v>0</v>
      </c>
      <c r="AX26" s="20">
        <f>IFERROR(VLOOKUP(Tableau5617192223242425262827293031333432353620383961719241822254140424344104746[[#This Row],[Num Projets]],#REF!,10,FALSE),0)</f>
        <v>0</v>
      </c>
      <c r="AY26" s="23">
        <f>Tableau5617192223242425262827293031333432353620383961719241822254140424344104746[[#This Row],[Budget Mission
 €]]/1.2-AX26</f>
        <v>0</v>
      </c>
      <c r="AZ26" s="8">
        <f>IFERROR(VLOOKUP(H26,#REF!,43,FALSE),0)</f>
        <v>0</v>
      </c>
      <c r="BA26" s="8">
        <f>AX26-IFERROR(VLOOKUP(H26,#REF!,42,FALSE),0)</f>
        <v>0</v>
      </c>
      <c r="BB26" s="16">
        <f t="shared" si="15"/>
        <v>0</v>
      </c>
      <c r="BC26" s="24">
        <f>IFERROR(VLOOKUP(H26,#REF!,47,FALSE),IFERROR(VLOOKUP(H26,#REF!,5,FALSE),0)+IFERROR(VLOOKUP(H26,#REF!,5,FALSE),0))</f>
        <v>0</v>
      </c>
      <c r="BD26" s="25">
        <f>IFERROR(VLOOKUP(H26,#REF!,2,FALSE),0)</f>
        <v>0</v>
      </c>
      <c r="BE26" s="25">
        <f>IFERROR(VLOOKUP(H26,#REF!,49,FALSE),0)</f>
        <v>0</v>
      </c>
      <c r="BF26" s="26" t="e">
        <f t="shared" si="5"/>
        <v>#REF!</v>
      </c>
      <c r="BG26" s="26" t="e">
        <f t="shared" si="6"/>
        <v>#REF!</v>
      </c>
      <c r="BH26" s="27">
        <f>AE26+ (AI26-AJ26+AM26+Tableau5617192223242425262827293031333432353620383961719241822254140424344104746[[#This Row],[Int Commandé OT
€]]-Tableau5617192223242425262827293031333432353620383961719241822254140424344104746[[#This Row],[Int Réalisé OT
€]]+AR26) +AY26+BC26</f>
        <v>35708.034</v>
      </c>
      <c r="BI26" s="16" t="e">
        <f t="shared" si="16"/>
        <v>#REF!</v>
      </c>
      <c r="BJ26" s="16" t="e">
        <f t="shared" si="8"/>
        <v>#REF!</v>
      </c>
      <c r="BK26" s="27" t="e">
        <f t="shared" si="9"/>
        <v>#REF!</v>
      </c>
      <c r="BL26" s="26" t="e">
        <f t="shared" si="10"/>
        <v>#REF!</v>
      </c>
      <c r="BM26" s="28">
        <f>IFERROR(VLOOKUP(H26,'[1]2023dec'!H:CA,54,FALSE),105)</f>
        <v>96</v>
      </c>
      <c r="BN26" s="29">
        <v>1</v>
      </c>
      <c r="BO26" s="30" t="e">
        <f>P26-AC26-AG26-AV26-Tableau5617192223242425262827293031333432353620383961719241822254140424344104746[[#This Row],[Provisions pour risques]]</f>
        <v>#REF!</v>
      </c>
      <c r="BP26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6" s="33" t="e">
        <f t="shared" si="11"/>
        <v>#REF!</v>
      </c>
      <c r="BS26" s="34" t="e">
        <f>Tableau5617192223242425262827293031333432353620383961719241822254140424344104746[[#This Row],[Consommé global Enregistré à date (€ HT)]]-IFERROR(VLOOKUP(H26,#REF!,50,FALSE),0)</f>
        <v>#REF!</v>
      </c>
      <c r="BT26" s="35" t="e">
        <f t="shared" si="12"/>
        <v>#REF!</v>
      </c>
      <c r="BU26" s="36">
        <f>BD26-IFERROR(VLOOKUP(H26,#REF!,47,FALSE),0)</f>
        <v>0</v>
      </c>
      <c r="BV26" s="37" t="e">
        <f>+BF26+Tableau5617192223242425262827293031333432353620383961719241822254140424344104746[[#This Row],[CA fin N-1]]-IFERROR(VLOOKUP(H26,#REF!,49,FALSE),0)-IFERROR(VLOOKUP(H26,#REF!,50,FALSE),0)</f>
        <v>#REF!</v>
      </c>
      <c r="BW26" s="33" t="e">
        <f>BG26-IFERROR(VLOOKUP(H26,#REF!,51,FALSE),0)</f>
        <v>#REF!</v>
      </c>
      <c r="BX26" s="35" t="e">
        <f t="shared" si="13"/>
        <v>#REF!</v>
      </c>
      <c r="BY26" s="36">
        <f>BD26-IFERROR(VLOOKUP(H26,#REF!,48,FALSE),0)</f>
        <v>0</v>
      </c>
      <c r="BZ2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6" s="39" t="e">
        <f>VLOOKUP(Tableau5617192223242425262827293031333432353620383961719241822254140424344104746[[#This Row],[Num Projets]],#REF!,1,FALSE)</f>
        <v>#REF!</v>
      </c>
      <c r="CB26" s="40">
        <v>747.03000000000009</v>
      </c>
      <c r="CC26" s="40">
        <v>0</v>
      </c>
      <c r="CD2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-747.03000000000009</v>
      </c>
    </row>
    <row r="27" spans="1:82" ht="13.5" customHeight="1" x14ac:dyDescent="0.25">
      <c r="A27" s="316" t="s">
        <v>62</v>
      </c>
      <c r="B27" s="1" t="s">
        <v>30</v>
      </c>
      <c r="C27" s="2" t="e">
        <f>_xlfn.XLOOKUP(Tableau5617192223242425262827293031333432353620383961719241822254140424344104746[[#This Row],[Num Projets]],#REF!,#REF!,FALSE)</f>
        <v>#REF!</v>
      </c>
      <c r="D27" s="3" t="s">
        <v>6</v>
      </c>
      <c r="E27" s="3" t="e">
        <f>_xlfn.XLOOKUP(Tableau5617192223242425262827293031333432353620383961719241822254140424344104746[[#This Row],[Num Projets]],#REF!,#REF!,FALSE)</f>
        <v>#REF!</v>
      </c>
      <c r="F27" s="3" t="e">
        <f>_xlfn.XLOOKUP(Tableau5617192223242425262827293031333432353620383961719241822254140424344104746[[#This Row],[Num Projets]],#REF!,#REF!,"newavr",0)</f>
        <v>#REF!</v>
      </c>
      <c r="G27" s="3" t="s">
        <v>2</v>
      </c>
      <c r="H27" s="90" t="s">
        <v>63</v>
      </c>
      <c r="I2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7" s="4" t="e">
        <f>VLOOKUP(Tableau5617192223242425262827293031333432353620383961719241822254140424344104746[[#This Row],[Num Projets]],#REF!,36,FALSE)</f>
        <v>#REF!</v>
      </c>
      <c r="K27" s="5" t="s">
        <v>21</v>
      </c>
      <c r="L2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7" s="3" t="s">
        <v>64</v>
      </c>
      <c r="N27" s="7" t="e">
        <f>VLOOKUP(H27,#REF!,7,FALSE)</f>
        <v>#REF!</v>
      </c>
      <c r="O27" s="7" t="e">
        <f>IF(VLOOKUP(H27,#REF!,27,FALSE)=0,"",VLOOKUP(H27,#REF!,27,FALSE))</f>
        <v>#REF!</v>
      </c>
      <c r="P27" s="91" t="e">
        <f>VLOOKUP(H27,#REF!,2,FALSE)+16000</f>
        <v>#REF!</v>
      </c>
      <c r="Q27" s="9" t="e">
        <f>Tableau5617192223242425262827293031333432353620383961719241822254140424344104746[[#This Row],[Total Budget
€]]-IFERROR(VLOOKUP(H27,#REF!,8,FALSE),0)</f>
        <v>#REF!</v>
      </c>
      <c r="R27" s="10" t="e">
        <f>AD27+AI27+Tableau5617192223242425262827293031333432353620383961719241822254140424344104746[[#This Row],[Int Commandé OT
€]]+AX27</f>
        <v>#REF!</v>
      </c>
      <c r="S27" s="10" t="e">
        <f>AD27+AJ27+Tableau5617192223242425262827293031333432353620383961719241822254140424344104746[[#This Row],[Int Réalisé OT
€]]+AX27</f>
        <v>#REF!</v>
      </c>
      <c r="T27" s="47" t="e">
        <f t="shared" si="2"/>
        <v>#REF!</v>
      </c>
      <c r="U2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7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7" s="91">
        <f>IFERROR(VLOOKUP(H27,#REF!,2,FALSE),0)+16000/105</f>
        <v>152.38095238095238</v>
      </c>
      <c r="X27" s="13">
        <f>IFERROR(VLOOKUP(H27,#REF!,2,FALSE),0)</f>
        <v>0</v>
      </c>
      <c r="Y27" s="13">
        <f>IFERROR(VLOOKUP(H27,#REF!,3,FALSE),0)</f>
        <v>0</v>
      </c>
      <c r="Z27" s="14">
        <f>16000/105</f>
        <v>152.38095238095238</v>
      </c>
      <c r="AA27" s="13">
        <f>IFERROR(VLOOKUP(H27,#REF!,18,FALSE),0)</f>
        <v>0</v>
      </c>
      <c r="AB27" s="13">
        <f>SUM(X27:Y27)-IFERROR(VLOOKUP(H27,#REF!,16,FALSE),0)-IFERROR(VLOOKUP(H27,#REF!,17,FALSE),0)</f>
        <v>0</v>
      </c>
      <c r="AC27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7" s="8" t="e">
        <f>(X27*VLOOKUP(H27,#REF!,2,FALSE)+Y27*VLOOKUP(H27,#REF!,3,FALSE))</f>
        <v>#REF!</v>
      </c>
      <c r="AE27" s="8">
        <f t="shared" si="3"/>
        <v>7283.8095238095229</v>
      </c>
      <c r="AF27" s="47" t="e">
        <f t="shared" si="4"/>
        <v>#REF!</v>
      </c>
      <c r="AG27" s="41">
        <f>IFERROR(VLOOKUP(H27,#REF!,3,FALSE),0)+IFERROR(VLOOKUP(H27,#REF!,3,FALSE),0)-72000</f>
        <v>-72000</v>
      </c>
      <c r="AH27" s="8">
        <f>IFERROR(VLOOKUP(Tableau5617192223242425262827293031333432353620383961719241822254140424344104746[[#This Row],[Num Projets]],#REF!,2,FALSE),0)</f>
        <v>0</v>
      </c>
      <c r="AI27" s="17">
        <f>+IFERROR(VLOOKUP(H27,#REF!,2,FALSE),0)-Tableau5617192223242425262827293031333432353620383961719241822254140424344104746[[#This Row],[Int Commandé OT
€]]</f>
        <v>0</v>
      </c>
      <c r="AJ27" s="8">
        <f>IFERROR(VLOOKUP(H27,#REF!,11,FALSE),0)-IFERROR(VLOOKUP(H27,#REF!,10,FALSE),0)+Tableau5617192223242425262827293031333432353620383961719241822254140424344104746[[#This Row],[dont FNP à date (€ HT)]]</f>
        <v>77</v>
      </c>
      <c r="AK27" s="23">
        <f t="shared" si="14"/>
        <v>-77</v>
      </c>
      <c r="AL2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77</v>
      </c>
      <c r="AM27" s="19">
        <f>IF(Tableau5617192223242425262827293031333432353620383961719241822254140424344104746[[#This Row],[RAF Achats M-1
€]]=0,0,AN27-AO27)</f>
        <v>0</v>
      </c>
      <c r="AN27" s="8">
        <f>IFERROR(VLOOKUP(H27,#REF!,31,FALSE),0)</f>
        <v>0</v>
      </c>
      <c r="AO27" s="8">
        <f>AI27+-IFERROR(VLOOKUP(H27,#REF!,27,FALSE),0)</f>
        <v>0</v>
      </c>
      <c r="AP27" s="20">
        <f>IFERROR(VLOOKUP(Tableau5617192223242425262827293031333432353620383961719241822254140424344104746[[#This Row],[Num Projets]],#REF!,2,FALSE),0)</f>
        <v>0</v>
      </c>
      <c r="AQ27" s="20">
        <f>_xlfn.XLOOKUP(H27,[2]Synth!$N:$N,[2]Synth!$O:$O,0,FALSE)+_xlfn.XLOOKUP(Tableau5617192223242425262827293031333432353620383961719241822254140424344104746[[#This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517177.49960000004</v>
      </c>
      <c r="AR27" s="21">
        <f>74000-74000</f>
        <v>0</v>
      </c>
      <c r="AS27" s="20">
        <f>+IFERROR(VLOOKUP(H27,#REF!,36,FALSE),0)</f>
        <v>0</v>
      </c>
      <c r="AT2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7" s="22">
        <f>IF(AG27=0,0,1-((AI27+AM27+Tableau5617192223242425262827293031333432353620383961719241822254140424344104746[[#This Row],[Int Commandé OT
€]]+Tableau5617192223242425262827293031333432353620383961719241822254140424344104746[[#This Row],[RAF Int OT
€]])/AG27))</f>
        <v>1</v>
      </c>
      <c r="AV27" s="8">
        <f>IFERROR(VLOOKUP(H27,#REF!,4,FALSE),0)+IFERROR(VLOOKUP(H27,#REF!,4,FALSE),0)</f>
        <v>0</v>
      </c>
      <c r="AW27" s="8">
        <f>IFERROR(VLOOKUP(Tableau5617192223242425262827293031333432353620383961719241822254140424344104746[[#This Row],[Num Projets]],#REF!,3,FALSE),0)</f>
        <v>0</v>
      </c>
      <c r="AX27" s="41">
        <f>IFERROR(VLOOKUP(Tableau5617192223242425262827293031333432353620383961719241822254140424344104746[[#This Row],[Num Projets]],#REF!,10,FALSE),0)-3284.31</f>
        <v>-3284.31</v>
      </c>
      <c r="AY27" s="23">
        <f>Tableau5617192223242425262827293031333432353620383961719241822254140424344104746[[#This Row],[Budget Mission
 €]]/1.2-AX27</f>
        <v>3284.31</v>
      </c>
      <c r="AZ27" s="8">
        <f>IFERROR(VLOOKUP(H27,#REF!,43,FALSE),0)</f>
        <v>0</v>
      </c>
      <c r="BA27" s="8">
        <f>AX27-IFERROR(VLOOKUP(H27,#REF!,42,FALSE),0)</f>
        <v>-3284.31</v>
      </c>
      <c r="BB27" s="16">
        <f t="shared" si="15"/>
        <v>0</v>
      </c>
      <c r="BC27" s="24">
        <f>IFERROR(VLOOKUP(H27,#REF!,47,FALSE),IFERROR(VLOOKUP(H27,#REF!,5,FALSE),0)+IFERROR(VLOOKUP(H27,#REF!,5,FALSE),0))</f>
        <v>0</v>
      </c>
      <c r="BD27" s="25">
        <f>IFERROR(VLOOKUP(H27,#REF!,2,FALSE),0)</f>
        <v>0</v>
      </c>
      <c r="BE27" s="25">
        <f>IFERROR(VLOOKUP(H27,#REF!,49,FALSE),0)</f>
        <v>0</v>
      </c>
      <c r="BF27" s="26" t="e">
        <f t="shared" si="5"/>
        <v>#REF!</v>
      </c>
      <c r="BG27" s="26" t="e">
        <f t="shared" si="6"/>
        <v>#REF!</v>
      </c>
      <c r="BH27" s="27">
        <f>AE27+ (AI27-AJ27+AM27+Tableau5617192223242425262827293031333432353620383961719241822254140424344104746[[#This Row],[Int Commandé OT
€]]-Tableau5617192223242425262827293031333432353620383961719241822254140424344104746[[#This Row],[Int Réalisé OT
€]]+AR27) +AY27+BC27</f>
        <v>-506686.38007619051</v>
      </c>
      <c r="BI27" s="89" t="e">
        <f>IF((BG27/(BG27+BH27))&lt;VLOOKUP(Tableau5617192223242425262827293031333432353620383961719241822254140424344104746[[#This Row],[Num Projets]],#REF!,53,FALSE),VLOOKUP(Tableau5617192223242425262827293031333432353620383961719241822254140424344104746[[#This Row],[Num Projets]],#REF!,53,FALSE),BG27/(BG27+BH27))</f>
        <v>#REF!</v>
      </c>
      <c r="BJ27" s="16" t="e">
        <f t="shared" si="8"/>
        <v>#REF!</v>
      </c>
      <c r="BK27" s="27" t="e">
        <f t="shared" si="9"/>
        <v>#REF!</v>
      </c>
      <c r="BL27" s="26" t="e">
        <f t="shared" si="10"/>
        <v>#REF!</v>
      </c>
      <c r="BM27" s="28">
        <f>IFERROR(VLOOKUP(H27,'[1]2023dec'!H:CA,54,FALSE),105)</f>
        <v>96</v>
      </c>
      <c r="BN27" s="29">
        <v>1</v>
      </c>
      <c r="BO27" s="30" t="e">
        <f>P27-AC27-AG27-AV27-Tableau5617192223242425262827293031333432353620383961719241822254140424344104746[[#This Row],[Provisions pour risques]]</f>
        <v>#REF!</v>
      </c>
      <c r="BP27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7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7" s="33" t="e">
        <f t="shared" si="11"/>
        <v>#REF!</v>
      </c>
      <c r="BS27" s="34" t="e">
        <f>Tableau5617192223242425262827293031333432353620383961719241822254140424344104746[[#This Row],[Consommé global Enregistré à date (€ HT)]]-IFERROR(VLOOKUP(H27,#REF!,50,FALSE),0)</f>
        <v>#REF!</v>
      </c>
      <c r="BT27" s="35" t="e">
        <f t="shared" si="12"/>
        <v>#REF!</v>
      </c>
      <c r="BU27" s="36">
        <f>BD27-IFERROR(VLOOKUP(H27,#REF!,47,FALSE),0)</f>
        <v>0</v>
      </c>
      <c r="BV27" s="37" t="e">
        <f>+BF27+Tableau5617192223242425262827293031333432353620383961719241822254140424344104746[[#This Row],[CA fin N-1]]-IFERROR(VLOOKUP(H27,#REF!,49,FALSE),0)-IFERROR(VLOOKUP(H27,#REF!,50,FALSE),0)</f>
        <v>#REF!</v>
      </c>
      <c r="BW27" s="33" t="e">
        <f>BG27-IFERROR(VLOOKUP(H27,#REF!,51,FALSE),0)</f>
        <v>#REF!</v>
      </c>
      <c r="BX27" s="35" t="e">
        <f t="shared" si="13"/>
        <v>#REF!</v>
      </c>
      <c r="BY27" s="36">
        <f>BD27-IFERROR(VLOOKUP(H27,#REF!,48,FALSE),0)</f>
        <v>0</v>
      </c>
      <c r="BZ2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7" s="39" t="e">
        <f>VLOOKUP(Tableau5617192223242425262827293031333432353620383961719241822254140424344104746[[#This Row],[Num Projets]],#REF!,1,FALSE)</f>
        <v>#REF!</v>
      </c>
      <c r="CB27" s="40">
        <v>3911.5</v>
      </c>
      <c r="CC27" s="40">
        <v>0</v>
      </c>
      <c r="CD2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-3911.5</v>
      </c>
    </row>
    <row r="28" spans="1:82" ht="13.5" customHeight="1" x14ac:dyDescent="0.25">
      <c r="A28" s="311"/>
      <c r="B28" s="1"/>
      <c r="C28" s="2" t="e">
        <f>_xlfn.XLOOKUP(Tableau5617192223242425262827293031333432353620383961719241822254140424344104746[[#This Row],[Num Projets]],#REF!,#REF!,FALSE)</f>
        <v>#REF!</v>
      </c>
      <c r="D28" s="3" t="s">
        <v>6</v>
      </c>
      <c r="E28" s="3" t="e">
        <f>_xlfn.XLOOKUP(Tableau5617192223242425262827293031333432353620383961719241822254140424344104746[[#This Row],[Num Projets]],#REF!,#REF!,FALSE)</f>
        <v>#REF!</v>
      </c>
      <c r="F28" s="3" t="e">
        <f>_xlfn.XLOOKUP(Tableau5617192223242425262827293031333432353620383961719241822254140424344104746[[#This Row],[Num Projets]],#REF!,#REF!,"newavr",0)</f>
        <v>#REF!</v>
      </c>
      <c r="G28" s="3" t="s">
        <v>58</v>
      </c>
      <c r="H28" s="3" t="s">
        <v>65</v>
      </c>
      <c r="I2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8" s="4" t="e">
        <f>VLOOKUP(Tableau5617192223242425262827293031333432353620383961719241822254140424344104746[[#This Row],[Num Projets]],#REF!,36,FALSE)</f>
        <v>#REF!</v>
      </c>
      <c r="K28" s="5" t="s">
        <v>9</v>
      </c>
      <c r="L2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8" s="3" t="e">
        <f>SUBSTITUTE(_xlfn.XLOOKUP(Tableau5617192223242425262827293031333432353620383961719241822254140424344104746[[#This Row],[Num Projets]],#REF!,#REF!,FALSE)," ","")</f>
        <v>#REF!</v>
      </c>
      <c r="N28" s="7" t="e">
        <f>VLOOKUP(H28,#REF!,7,FALSE)</f>
        <v>#REF!</v>
      </c>
      <c r="O28" s="7" t="e">
        <f>IF(VLOOKUP(H28,#REF!,27,FALSE)=0,"",VLOOKUP(H28,#REF!,27,FALSE))</f>
        <v>#REF!</v>
      </c>
      <c r="P28" s="8" t="e">
        <f>VLOOKUP(H28,#REF!,2,FALSE)</f>
        <v>#REF!</v>
      </c>
      <c r="Q28" s="9" t="e">
        <f>Tableau5617192223242425262827293031333432353620383961719241822254140424344104746[[#This Row],[Total Budget
€]]-IFERROR(VLOOKUP(H28,#REF!,8,FALSE),0)</f>
        <v>#REF!</v>
      </c>
      <c r="R28" s="10" t="e">
        <f>AD28+AI28+Tableau5617192223242425262827293031333432353620383961719241822254140424344104746[[#This Row],[Int Commandé OT
€]]+AX28</f>
        <v>#REF!</v>
      </c>
      <c r="S28" s="10" t="e">
        <f>AD28+AJ28+Tableau5617192223242425262827293031333432353620383961719241822254140424344104746[[#This Row],[Int Réalisé OT
€]]+AX28</f>
        <v>#REF!</v>
      </c>
      <c r="T28" s="47" t="e">
        <f t="shared" si="2"/>
        <v>#REF!</v>
      </c>
      <c r="U2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8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8" s="12">
        <f>IFERROR(VLOOKUP(H28,#REF!,2,FALSE),0)</f>
        <v>0</v>
      </c>
      <c r="X28" s="13">
        <f>IFERROR(VLOOKUP(H28,#REF!,2,FALSE),0)</f>
        <v>0</v>
      </c>
      <c r="Y28" s="13">
        <f>IFERROR(VLOOKUP(H28,#REF!,3,FALSE),0)</f>
        <v>0</v>
      </c>
      <c r="Z2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80.5</v>
      </c>
      <c r="AA28" s="13">
        <f>IFERROR(VLOOKUP(H28,#REF!,18,FALSE),0)</f>
        <v>0</v>
      </c>
      <c r="AB28" s="13">
        <f>SUM(X28:Y28)-IFERROR(VLOOKUP(H28,#REF!,16,FALSE),0)-IFERROR(VLOOKUP(H28,#REF!,17,FALSE),0)</f>
        <v>0</v>
      </c>
      <c r="AC28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8" s="8" t="e">
        <f>(X28*VLOOKUP(H28,#REF!,2,FALSE)+Y28*VLOOKUP(H28,#REF!,3,FALSE))</f>
        <v>#REF!</v>
      </c>
      <c r="AE28" s="8">
        <f t="shared" si="3"/>
        <v>3847.8999999999996</v>
      </c>
      <c r="AF28" s="47" t="e">
        <f t="shared" si="4"/>
        <v>#REF!</v>
      </c>
      <c r="AG28" s="8">
        <f>IFERROR(VLOOKUP(H28,#REF!,3,FALSE),0)+IFERROR(VLOOKUP(H28,#REF!,3,FALSE),0)</f>
        <v>0</v>
      </c>
      <c r="AH28" s="8">
        <f>IFERROR(VLOOKUP(Tableau5617192223242425262827293031333432353620383961719241822254140424344104746[[#This Row],[Num Projets]],#REF!,2,FALSE),0)</f>
        <v>0</v>
      </c>
      <c r="AI28" s="17">
        <f>+IFERROR(VLOOKUP(H28,#REF!,2,FALSE),0)-Tableau5617192223242425262827293031333432353620383961719241822254140424344104746[[#This Row],[Int Commandé OT
€]]</f>
        <v>0</v>
      </c>
      <c r="AJ28" s="8">
        <f>IFERROR(VLOOKUP(H28,#REF!,11,FALSE),0)-IFERROR(VLOOKUP(H28,#REF!,10,FALSE),0)+Tableau5617192223242425262827293031333432353620383961719241822254140424344104746[[#This Row],[dont FNP à date (€ HT)]]</f>
        <v>0</v>
      </c>
      <c r="AK28" s="15">
        <f t="shared" si="14"/>
        <v>0</v>
      </c>
      <c r="AL2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8" s="19">
        <f>IF(Tableau5617192223242425262827293031333432353620383961719241822254140424344104746[[#This Row],[RAF Achats M-1
€]]=0,0,AN28-AO28)</f>
        <v>0</v>
      </c>
      <c r="AN28" s="8">
        <f>IFERROR(VLOOKUP(H28,#REF!,31,FALSE),0)</f>
        <v>0</v>
      </c>
      <c r="AO28" s="8">
        <f>AI28+-IFERROR(VLOOKUP(H28,#REF!,27,FALSE),0)</f>
        <v>0</v>
      </c>
      <c r="AP28" s="20">
        <f>IFERROR(VLOOKUP(Tableau5617192223242425262827293031333432353620383961719241822254140424344104746[[#This Row],[Num Projets]],#REF!,2,FALSE),0)</f>
        <v>0</v>
      </c>
      <c r="AQ28" s="20">
        <f>_xlfn.XLOOKUP(H28,[2]Synth!$N:$N,[2]Synth!$O:$O,0,FALSE)+_xlfn.XLOOKUP(Tableau5617192223242425262827293031333432353620383961719241822254140424344104746[[#This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8" s="21">
        <v>0</v>
      </c>
      <c r="AS28" s="20">
        <f>+IFERROR(VLOOKUP(H28,#REF!,36,FALSE),0)</f>
        <v>0</v>
      </c>
      <c r="AT2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8" s="22">
        <f>IF(AG28=0,0,1-((AI28+AM28+Tableau5617192223242425262827293031333432353620383961719241822254140424344104746[[#This Row],[Int Commandé OT
€]]+Tableau5617192223242425262827293031333432353620383961719241822254140424344104746[[#This Row],[RAF Int OT
€]])/AG28))</f>
        <v>0</v>
      </c>
      <c r="AV28" s="8">
        <f>IFERROR(VLOOKUP(H28,#REF!,4,FALSE),0)+IFERROR(VLOOKUP(H28,#REF!,4,FALSE),0)</f>
        <v>0</v>
      </c>
      <c r="AW28" s="8">
        <f>IFERROR(VLOOKUP(Tableau5617192223242425262827293031333432353620383961719241822254140424344104746[[#This Row],[Num Projets]],#REF!,3,FALSE),0)</f>
        <v>0</v>
      </c>
      <c r="AX28" s="20">
        <f>IFERROR(VLOOKUP(Tableau5617192223242425262827293031333432353620383961719241822254140424344104746[[#This Row],[Num Projets]],#REF!,10,FALSE),0)</f>
        <v>0</v>
      </c>
      <c r="AY28" s="23">
        <f>Tableau5617192223242425262827293031333432353620383961719241822254140424344104746[[#This Row],[Budget Mission
 €]]/1.2-AX28</f>
        <v>0</v>
      </c>
      <c r="AZ28" s="8">
        <f>IFERROR(VLOOKUP(H28,#REF!,43,FALSE),0)</f>
        <v>0</v>
      </c>
      <c r="BA28" s="8">
        <f>AX28-IFERROR(VLOOKUP(H28,#REF!,42,FALSE),0)</f>
        <v>0</v>
      </c>
      <c r="BB28" s="16">
        <f t="shared" si="15"/>
        <v>0</v>
      </c>
      <c r="BC28" s="24">
        <f>IFERROR(VLOOKUP(H28,#REF!,47,FALSE),IFERROR(VLOOKUP(H28,#REF!,5,FALSE),0)+IFERROR(VLOOKUP(H28,#REF!,5,FALSE),0))</f>
        <v>0</v>
      </c>
      <c r="BD28" s="25">
        <f>IFERROR(VLOOKUP(H28,#REF!,2,FALSE),0)</f>
        <v>0</v>
      </c>
      <c r="BE28" s="25">
        <f>IFERROR(VLOOKUP(H28,#REF!,49,FALSE),0)</f>
        <v>0</v>
      </c>
      <c r="BF28" s="26" t="e">
        <f t="shared" si="5"/>
        <v>#REF!</v>
      </c>
      <c r="BG28" s="26" t="e">
        <f t="shared" si="6"/>
        <v>#REF!</v>
      </c>
      <c r="BH28" s="27">
        <f>AE28+ (AI28-AJ28+AM28+Tableau5617192223242425262827293031333432353620383961719241822254140424344104746[[#This Row],[Int Commandé OT
€]]-Tableau5617192223242425262827293031333432353620383961719241822254140424344104746[[#This Row],[Int Réalisé OT
€]]+AR28) +AY28+BC28</f>
        <v>3847.8999999999996</v>
      </c>
      <c r="BI28" s="16" t="e">
        <f t="shared" si="16"/>
        <v>#REF!</v>
      </c>
      <c r="BJ28" s="16" t="e">
        <f t="shared" si="8"/>
        <v>#REF!</v>
      </c>
      <c r="BK28" s="27" t="e">
        <f t="shared" si="9"/>
        <v>#REF!</v>
      </c>
      <c r="BL28" s="26" t="e">
        <f t="shared" si="10"/>
        <v>#REF!</v>
      </c>
      <c r="BM28" s="28">
        <f>IFERROR(VLOOKUP(H28,'[1]2023dec'!H:CA,54,FALSE),105)</f>
        <v>96</v>
      </c>
      <c r="BN28" s="29">
        <v>1</v>
      </c>
      <c r="BO28" s="30" t="e">
        <f>P28-AC28-AG28-AV28-Tableau5617192223242425262827293031333432353620383961719241822254140424344104746[[#This Row],[Provisions pour risques]]</f>
        <v>#REF!</v>
      </c>
      <c r="BP28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28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28" s="33" t="e">
        <f t="shared" si="11"/>
        <v>#REF!</v>
      </c>
      <c r="BS28" s="34" t="e">
        <f>Tableau5617192223242425262827293031333432353620383961719241822254140424344104746[[#This Row],[Consommé global Enregistré à date (€ HT)]]-IFERROR(VLOOKUP(H28,#REF!,50,FALSE),0)</f>
        <v>#REF!</v>
      </c>
      <c r="BT28" s="35" t="e">
        <f t="shared" si="12"/>
        <v>#REF!</v>
      </c>
      <c r="BU28" s="36">
        <f>BD28-IFERROR(VLOOKUP(H28,#REF!,47,FALSE),0)</f>
        <v>0</v>
      </c>
      <c r="BV28" s="37" t="e">
        <f>+BF28+Tableau5617192223242425262827293031333432353620383961719241822254140424344104746[[#This Row],[CA fin N-1]]-IFERROR(VLOOKUP(H28,#REF!,49,FALSE),0)-IFERROR(VLOOKUP(H28,#REF!,50,FALSE),0)</f>
        <v>#REF!</v>
      </c>
      <c r="BW28" s="33" t="e">
        <f>BG28-IFERROR(VLOOKUP(H28,#REF!,51,FALSE),0)</f>
        <v>#REF!</v>
      </c>
      <c r="BX28" s="35" t="e">
        <f t="shared" si="13"/>
        <v>#REF!</v>
      </c>
      <c r="BY28" s="36">
        <f>BD28-IFERROR(VLOOKUP(H28,#REF!,48,FALSE),0)</f>
        <v>0</v>
      </c>
      <c r="BZ2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8" s="39" t="e">
        <f>VLOOKUP(Tableau5617192223242425262827293031333432353620383961719241822254140424344104746[[#This Row],[Num Projets]],#REF!,1,FALSE)</f>
        <v>#REF!</v>
      </c>
      <c r="CB28" s="40">
        <v>80.5</v>
      </c>
      <c r="CC28" s="40">
        <v>0</v>
      </c>
      <c r="CD2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-80.5</v>
      </c>
    </row>
    <row r="29" spans="1:82" ht="13.5" customHeight="1" x14ac:dyDescent="0.25">
      <c r="A29" s="311"/>
      <c r="B29" s="1"/>
      <c r="C29" s="2" t="e">
        <f>_xlfn.XLOOKUP(Tableau5617192223242425262827293031333432353620383961719241822254140424344104746[[#This Row],[Num Projets]],#REF!,#REF!,FALSE)</f>
        <v>#REF!</v>
      </c>
      <c r="D29" s="3" t="s">
        <v>40</v>
      </c>
      <c r="E29" s="3" t="e">
        <f>_xlfn.XLOOKUP(Tableau5617192223242425262827293031333432353620383961719241822254140424344104746[[#This Row],[Num Projets]],#REF!,#REF!,FALSE)</f>
        <v>#REF!</v>
      </c>
      <c r="F29" s="3" t="e">
        <f>_xlfn.XLOOKUP(Tableau5617192223242425262827293031333432353620383961719241822254140424344104746[[#This Row],[Num Projets]],#REF!,#REF!,"newavr",0)</f>
        <v>#REF!</v>
      </c>
      <c r="G29" s="3" t="s">
        <v>2</v>
      </c>
      <c r="H29" s="3" t="s">
        <v>66</v>
      </c>
      <c r="I2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29" s="4" t="e">
        <f>VLOOKUP(Tableau5617192223242425262827293031333432353620383961719241822254140424344104746[[#This Row],[Num Projets]],#REF!,36,FALSE)</f>
        <v>#REF!</v>
      </c>
      <c r="K29" s="5" t="s">
        <v>14</v>
      </c>
      <c r="L2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9" s="3" t="e">
        <f>SUBSTITUTE(_xlfn.XLOOKUP(Tableau5617192223242425262827293031333432353620383961719241822254140424344104746[[#This Row],[Num Projets]],#REF!,#REF!,FALSE)," ","")</f>
        <v>#REF!</v>
      </c>
      <c r="N29" s="7" t="e">
        <f>VLOOKUP(H29,#REF!,7,FALSE)</f>
        <v>#REF!</v>
      </c>
      <c r="O29" s="7" t="e">
        <f>IF(VLOOKUP(H29,#REF!,27,FALSE)=0,"",VLOOKUP(H29,#REF!,27,FALSE))</f>
        <v>#REF!</v>
      </c>
      <c r="P29" s="8" t="e">
        <f>VLOOKUP(H29,#REF!,2,FALSE)</f>
        <v>#REF!</v>
      </c>
      <c r="Q29" s="9" t="e">
        <f>Tableau5617192223242425262827293031333432353620383961719241822254140424344104746[[#This Row],[Total Budget
€]]-IFERROR(VLOOKUP(H29,#REF!,8,FALSE),0)</f>
        <v>#REF!</v>
      </c>
      <c r="R29" s="10">
        <f>AD29+AI29+Tableau5617192223242425262827293031333432353620383961719241822254140424344104746[[#This Row],[Int Commandé OT
€]]+AX29</f>
        <v>0</v>
      </c>
      <c r="S29" s="10">
        <f>AD29+AJ29+Tableau5617192223242425262827293031333432353620383961719241822254140424344104746[[#This Row],[Int Réalisé OT
€]]+AX29</f>
        <v>0</v>
      </c>
      <c r="T29" s="47" t="e">
        <f t="shared" si="2"/>
        <v>#REF!</v>
      </c>
      <c r="U2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9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9" s="12">
        <f>IFERROR(VLOOKUP(H29,#REF!,2,FALSE),0)</f>
        <v>0</v>
      </c>
      <c r="X29" s="13">
        <f>IFERROR(VLOOKUP(H29,#REF!,2,FALSE),0)</f>
        <v>0</v>
      </c>
      <c r="Y29" s="13">
        <f>IFERROR(VLOOKUP(H29,#REF!,3,FALSE),0)</f>
        <v>0</v>
      </c>
      <c r="Z2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29" s="13">
        <f>IFERROR(VLOOKUP(H29,#REF!,18,FALSE),0)</f>
        <v>0</v>
      </c>
      <c r="AB29" s="13">
        <f>SUM(X29:Y29)-IFERROR(VLOOKUP(H29,#REF!,16,FALSE),0)-IFERROR(VLOOKUP(H29,#REF!,17,FALSE),0)</f>
        <v>0</v>
      </c>
      <c r="AC29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9" s="10">
        <f>IFERROR(VLOOKUP(Tableau5617192223242425262827293031333432353620383961719241822254140424344104746[[#This Row],[Num Projets]],#REF!,2,FALSE),0)</f>
        <v>0</v>
      </c>
      <c r="AE29" s="8">
        <f t="shared" si="3"/>
        <v>0</v>
      </c>
      <c r="AF29" s="47" t="e">
        <f t="shared" si="4"/>
        <v>#REF!</v>
      </c>
      <c r="AG29" s="8">
        <f>IFERROR(VLOOKUP(H29,#REF!,3,FALSE),0)+IFERROR(VLOOKUP(H29,#REF!,3,FALSE),0)</f>
        <v>0</v>
      </c>
      <c r="AH29" s="8">
        <f>IFERROR(VLOOKUP(Tableau5617192223242425262827293031333432353620383961719241822254140424344104746[[#This Row],[Num Projets]],#REF!,2,FALSE),0)</f>
        <v>0</v>
      </c>
      <c r="AI29" s="17">
        <f>+IFERROR(VLOOKUP(H29,#REF!,2,FALSE),0)-Tableau5617192223242425262827293031333432353620383961719241822254140424344104746[[#This Row],[Int Commandé OT
€]]</f>
        <v>0</v>
      </c>
      <c r="AJ29" s="8">
        <f>IFERROR(VLOOKUP(H29,#REF!,11,FALSE),0)-IFERROR(VLOOKUP(H29,#REF!,10,FALSE),0)+Tableau5617192223242425262827293031333432353620383961719241822254140424344104746[[#This Row],[dont FNP à date (€ HT)]]</f>
        <v>0</v>
      </c>
      <c r="AK29" s="15">
        <f t="shared" si="14"/>
        <v>0</v>
      </c>
      <c r="AL2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9" s="19">
        <f>IF(Tableau5617192223242425262827293031333432353620383961719241822254140424344104746[[#This Row],[RAF Achats M-1
€]]=0,0,AN29-AO29)</f>
        <v>0</v>
      </c>
      <c r="AN29" s="8">
        <f>IFERROR(VLOOKUP(H29,#REF!,31,FALSE),0)</f>
        <v>0</v>
      </c>
      <c r="AO29" s="8">
        <f>AI29+-IFERROR(VLOOKUP(H29,#REF!,27,FALSE),0)</f>
        <v>0</v>
      </c>
      <c r="AP29" s="20">
        <f>IFERROR(VLOOKUP(Tableau5617192223242425262827293031333432353620383961719241822254140424344104746[[#This Row],[Num Projets]],#REF!,2,FALSE),0)</f>
        <v>0</v>
      </c>
      <c r="AQ29" s="20">
        <f>_xlfn.XLOOKUP(H29,[2]Synth!$N:$N,[2]Synth!$O:$O,0,FALSE)+_xlfn.XLOOKUP(Tableau5617192223242425262827293031333432353620383961719241822254140424344104746[[#This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9" s="21">
        <v>0</v>
      </c>
      <c r="AS29" s="20">
        <f>+IFERROR(VLOOKUP(H29,#REF!,36,FALSE),0)</f>
        <v>0</v>
      </c>
      <c r="AT2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9" s="22">
        <f>IF(AG29=0,0,1-((AI29+AM29+Tableau5617192223242425262827293031333432353620383961719241822254140424344104746[[#This Row],[Int Commandé OT
€]]+Tableau5617192223242425262827293031333432353620383961719241822254140424344104746[[#This Row],[RAF Int OT
€]])/AG29))</f>
        <v>0</v>
      </c>
      <c r="AV29" s="8">
        <f>IFERROR(VLOOKUP(H29,#REF!,4,FALSE),0)+IFERROR(VLOOKUP(H29,#REF!,4,FALSE),0)</f>
        <v>0</v>
      </c>
      <c r="AW29" s="8">
        <f>IFERROR(VLOOKUP(Tableau5617192223242425262827293031333432353620383961719241822254140424344104746[[#This Row],[Num Projets]],#REF!,3,FALSE),0)</f>
        <v>0</v>
      </c>
      <c r="AX29" s="20">
        <f>IFERROR(VLOOKUP(Tableau5617192223242425262827293031333432353620383961719241822254140424344104746[[#This Row],[Num Projets]],#REF!,10,FALSE),0)</f>
        <v>0</v>
      </c>
      <c r="AY29" s="23">
        <f>Tableau5617192223242425262827293031333432353620383961719241822254140424344104746[[#This Row],[Budget Mission
 €]]/1.2-AX29</f>
        <v>0</v>
      </c>
      <c r="AZ29" s="8">
        <f>IFERROR(VLOOKUP(H29,#REF!,43,FALSE),0)</f>
        <v>0</v>
      </c>
      <c r="BA29" s="8">
        <f>AX29-IFERROR(VLOOKUP(H29,#REF!,42,FALSE),0)</f>
        <v>0</v>
      </c>
      <c r="BB29" s="16">
        <f t="shared" si="15"/>
        <v>0</v>
      </c>
      <c r="BC29" s="24">
        <f>IFERROR(VLOOKUP(H29,#REF!,47,FALSE),IFERROR(VLOOKUP(H29,#REF!,5,FALSE),0)+IFERROR(VLOOKUP(H29,#REF!,5,FALSE),0))</f>
        <v>0</v>
      </c>
      <c r="BD29" s="25">
        <f>IFERROR(VLOOKUP(H29,#REF!,2,FALSE),0)</f>
        <v>0</v>
      </c>
      <c r="BE29" s="25">
        <f>IFERROR(VLOOKUP(H29,#REF!,49,FALSE),0)</f>
        <v>0</v>
      </c>
      <c r="BF29" s="26" t="e">
        <f t="shared" si="5"/>
        <v>#REF!</v>
      </c>
      <c r="BG29" s="26">
        <f t="shared" si="6"/>
        <v>0</v>
      </c>
      <c r="BH29" s="27">
        <f>AE29+ (AI29-AJ29+AM29+Tableau5617192223242425262827293031333432353620383961719241822254140424344104746[[#This Row],[Int Commandé OT
€]]-Tableau5617192223242425262827293031333432353620383961719241822254140424344104746[[#This Row],[Int Réalisé OT
€]]+AR29) +AY29+BC29</f>
        <v>0</v>
      </c>
      <c r="BI29" s="16">
        <f t="shared" si="16"/>
        <v>1</v>
      </c>
      <c r="BJ29" s="16" t="e">
        <f t="shared" si="8"/>
        <v>#REF!</v>
      </c>
      <c r="BK29" s="27" t="e">
        <f t="shared" si="9"/>
        <v>#REF!</v>
      </c>
      <c r="BL29" s="26" t="e">
        <f t="shared" si="10"/>
        <v>#REF!</v>
      </c>
      <c r="BM29" s="28">
        <f>IFERROR(VLOOKUP(H29,'[1]2023dec'!H:CA,54,FALSE),105)</f>
        <v>96</v>
      </c>
      <c r="BN29" s="29">
        <v>1</v>
      </c>
      <c r="BO29" s="30" t="e">
        <f>P29-AC29-AG29-AV29-Tableau5617192223242425262827293031333432353620383961719241822254140424344104746[[#This Row],[Provisions pour risques]]</f>
        <v>#REF!</v>
      </c>
      <c r="BP2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2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29" s="33" t="e">
        <f t="shared" si="11"/>
        <v>#REF!</v>
      </c>
      <c r="BS29" s="34">
        <f>Tableau5617192223242425262827293031333432353620383961719241822254140424344104746[[#This Row],[Consommé global Enregistré à date (€ HT)]]-IFERROR(VLOOKUP(H29,#REF!,50,FALSE),0)</f>
        <v>0</v>
      </c>
      <c r="BT29" s="35" t="e">
        <f t="shared" si="12"/>
        <v>#REF!</v>
      </c>
      <c r="BU29" s="36">
        <f>BD29-IFERROR(VLOOKUP(H29,#REF!,47,FALSE),0)</f>
        <v>0</v>
      </c>
      <c r="BV29" s="37" t="e">
        <f>+BF29+Tableau5617192223242425262827293031333432353620383961719241822254140424344104746[[#This Row],[CA fin N-1]]-IFERROR(VLOOKUP(H29,#REF!,49,FALSE),0)-IFERROR(VLOOKUP(H29,#REF!,50,FALSE),0)</f>
        <v>#REF!</v>
      </c>
      <c r="BW29" s="33">
        <f>BG29-IFERROR(VLOOKUP(H29,#REF!,51,FALSE),0)</f>
        <v>0</v>
      </c>
      <c r="BX29" s="35" t="e">
        <f t="shared" si="13"/>
        <v>#REF!</v>
      </c>
      <c r="BY29" s="36">
        <f>BD29-IFERROR(VLOOKUP(H29,#REF!,48,FALSE),0)</f>
        <v>0</v>
      </c>
      <c r="BZ2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9" s="39" t="e">
        <f>VLOOKUP(Tableau5617192223242425262827293031333432353620383961719241822254140424344104746[[#This Row],[Num Projets]],#REF!,1,FALSE)</f>
        <v>#REF!</v>
      </c>
      <c r="CB29" s="40">
        <v>0</v>
      </c>
      <c r="CC29" s="40">
        <v>0</v>
      </c>
      <c r="CD2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30" spans="1:82" ht="13.5" customHeight="1" x14ac:dyDescent="0.25">
      <c r="A30" s="316" t="s">
        <v>67</v>
      </c>
      <c r="B30" s="1" t="s">
        <v>30</v>
      </c>
      <c r="C30" s="2" t="e">
        <f>_xlfn.XLOOKUP(Tableau5617192223242425262827293031333432353620383961719241822254140424344104746[[#This Row],[Num Projets]],#REF!,#REF!,FALSE)</f>
        <v>#REF!</v>
      </c>
      <c r="D30" s="3" t="s">
        <v>6</v>
      </c>
      <c r="E30" s="3" t="e">
        <f>_xlfn.XLOOKUP(Tableau5617192223242425262827293031333432353620383961719241822254140424344104746[[#This Row],[Num Projets]],#REF!,#REF!,FALSE)</f>
        <v>#REF!</v>
      </c>
      <c r="F30" s="3" t="e">
        <f>_xlfn.XLOOKUP(Tableau5617192223242425262827293031333432353620383961719241822254140424344104746[[#This Row],[Num Projets]],#REF!,#REF!,"newavr",0)</f>
        <v>#REF!</v>
      </c>
      <c r="G30" s="3" t="s">
        <v>2</v>
      </c>
      <c r="H30" s="90" t="s">
        <v>68</v>
      </c>
      <c r="I3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0" s="4" t="e">
        <f>VLOOKUP(Tableau5617192223242425262827293031333432353620383961719241822254140424344104746[[#This Row],[Num Projets]],#REF!,36,FALSE)</f>
        <v>#REF!</v>
      </c>
      <c r="K30" s="5" t="s">
        <v>21</v>
      </c>
      <c r="L3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0" s="3" t="e">
        <f>SUBSTITUTE(_xlfn.XLOOKUP(Tableau5617192223242425262827293031333432353620383961719241822254140424344104746[[#This Row],[Num Projets]],#REF!,#REF!,FALSE)," ","")</f>
        <v>#REF!</v>
      </c>
      <c r="N30" s="7" t="e">
        <f>VLOOKUP(H30,#REF!,7,FALSE)</f>
        <v>#REF!</v>
      </c>
      <c r="O30" s="7" t="e">
        <f>IF(VLOOKUP(H30,#REF!,27,FALSE)=0,"",VLOOKUP(H30,#REF!,27,FALSE))</f>
        <v>#REF!</v>
      </c>
      <c r="P30" s="8" t="e">
        <f>VLOOKUP(H30,#REF!,2,FALSE)</f>
        <v>#REF!</v>
      </c>
      <c r="Q30" s="9" t="e">
        <f>Tableau5617192223242425262827293031333432353620383961719241822254140424344104746[[#This Row],[Total Budget
€]]-IFERROR(VLOOKUP(H30,#REF!,8,FALSE),0)</f>
        <v>#REF!</v>
      </c>
      <c r="R30" s="10">
        <f>AD30+AI30+Tableau5617192223242425262827293031333432353620383961719241822254140424344104746[[#This Row],[Int Commandé OT
€]]+AX30</f>
        <v>0</v>
      </c>
      <c r="S30" s="10">
        <f>AD30+AJ30+Tableau5617192223242425262827293031333432353620383961719241822254140424344104746[[#This Row],[Int Réalisé OT
€]]+AX30</f>
        <v>356862.16099999996</v>
      </c>
      <c r="T30" s="47" t="e">
        <f t="shared" si="2"/>
        <v>#REF!</v>
      </c>
      <c r="U3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0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0" s="12">
        <f>IFERROR(VLOOKUP(H30,#REF!,2,FALSE),0)</f>
        <v>0</v>
      </c>
      <c r="X30" s="13">
        <f>IFERROR(VLOOKUP(H30,#REF!,2,FALSE),0)</f>
        <v>0</v>
      </c>
      <c r="Y30" s="13">
        <f>IFERROR(VLOOKUP(H30,#REF!,3,FALSE),0)</f>
        <v>0</v>
      </c>
      <c r="Z30" s="14">
        <v>0</v>
      </c>
      <c r="AA30" s="13">
        <f>IFERROR(VLOOKUP(H30,#REF!,18,FALSE),0)</f>
        <v>0</v>
      </c>
      <c r="AB30" s="13">
        <f>SUM(X30:Y30)-IFERROR(VLOOKUP(H30,#REF!,16,FALSE),0)-IFERROR(VLOOKUP(H30,#REF!,17,FALSE),0)</f>
        <v>0</v>
      </c>
      <c r="AC30" s="15" t="e">
        <f>VLOOKUP(Tableau5617192223242425262827293031333432353620383961719241822254140424344104746[[#This Row],[Num Projets]],#REF!,2,FALSE)</f>
        <v>#REF!</v>
      </c>
      <c r="AD30" s="10">
        <f>IFERROR(VLOOKUP(Tableau5617192223242425262827293031333432353620383961719241822254140424344104746[[#This Row],[Num Projets]],#REF!,2,FALSE),0)</f>
        <v>0</v>
      </c>
      <c r="AE30" s="8">
        <f t="shared" si="3"/>
        <v>0</v>
      </c>
      <c r="AF30" s="47" t="e">
        <f t="shared" si="4"/>
        <v>#REF!</v>
      </c>
      <c r="AG30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30" s="8">
        <f>IFERROR(VLOOKUP(Tableau5617192223242425262827293031333432353620383961719241822254140424344104746[[#This Row],[Num Projets]],#REF!,2,FALSE),0)</f>
        <v>0</v>
      </c>
      <c r="AI30" s="17">
        <f>+IFERROR(VLOOKUP(H30,#REF!,2,FALSE),0)-Tableau5617192223242425262827293031333432353620383961719241822254140424344104746[[#This Row],[Int Commandé OT
€]]</f>
        <v>0</v>
      </c>
      <c r="AJ30" s="8">
        <f>IFERROR(VLOOKUP(H30,#REF!,11,FALSE),0)-IFERROR(VLOOKUP(H30,#REF!,10,FALSE),0)+Tableau5617192223242425262827293031333432353620383961719241822254140424344104746[[#This Row],[dont FNP à date (€ HT)]]</f>
        <v>0</v>
      </c>
      <c r="AK30" s="15">
        <f>AI30-AJ30</f>
        <v>0</v>
      </c>
      <c r="AL3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0" s="19">
        <f>IF(Tableau5617192223242425262827293031333432353620383961719241822254140424344104746[[#This Row],[RAF Achats M-1
€]]=0,0,AN30-AO30)</f>
        <v>0</v>
      </c>
      <c r="AN30" s="8">
        <f>IFERROR(VLOOKUP(H30,#REF!,31,FALSE),0)</f>
        <v>0</v>
      </c>
      <c r="AO30" s="8">
        <f>AI30+-IFERROR(VLOOKUP(H30,#REF!,27,FALSE),0)</f>
        <v>0</v>
      </c>
      <c r="AP30" s="20">
        <f>IFERROR(VLOOKUP(Tableau5617192223242425262827293031333432353620383961719241822254140424344104746[[#This Row],[Num Projets]],#REF!,2,FALSE),0)</f>
        <v>0</v>
      </c>
      <c r="AQ30" s="20">
        <f>_xlfn.XLOOKUP(H30,[2]Synth!$N:$N,[2]Synth!$O:$O,0,FALSE)+_xlfn.XLOOKUP(Tableau5617192223242425262827293031333432353620383961719241822254140424344104746[[#This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356862.16099999996</v>
      </c>
      <c r="AR30" s="21">
        <v>0</v>
      </c>
      <c r="AS30" s="20">
        <f>+IFERROR(VLOOKUP(H30,#REF!,36,FALSE),0)</f>
        <v>0</v>
      </c>
      <c r="AT3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0" s="22" t="e">
        <f>IF(AG30=0,0,1-((AI30+AM30+Tableau5617192223242425262827293031333432353620383961719241822254140424344104746[[#This Row],[Int Commandé OT
€]]+Tableau5617192223242425262827293031333432353620383961719241822254140424344104746[[#This Row],[RAF Int OT
€]])/AG30))</f>
        <v>#REF!</v>
      </c>
      <c r="AV30" s="8">
        <f>IFERROR(VLOOKUP(H30,#REF!,4,FALSE),0)+IFERROR(VLOOKUP(H30,#REF!,4,FALSE),0)</f>
        <v>0</v>
      </c>
      <c r="AW30" s="8">
        <f>IFERROR(VLOOKUP(Tableau5617192223242425262827293031333432353620383961719241822254140424344104746[[#This Row],[Num Projets]],#REF!,3,FALSE),0)</f>
        <v>0</v>
      </c>
      <c r="AX30" s="20">
        <f>IFERROR(VLOOKUP(Tableau5617192223242425262827293031333432353620383961719241822254140424344104746[[#This Row],[Num Projets]],#REF!,10,FALSE),0)</f>
        <v>0</v>
      </c>
      <c r="AY30" s="23">
        <v>0</v>
      </c>
      <c r="AZ30" s="8">
        <f>IFERROR(VLOOKUP(H30,#REF!,43,FALSE),0)</f>
        <v>0</v>
      </c>
      <c r="BA30" s="8">
        <f>AX30-IFERROR(VLOOKUP(H30,#REF!,42,FALSE),0)</f>
        <v>0</v>
      </c>
      <c r="BB30" s="16">
        <f>IF(AV30=0,0,(1-((AX30+AY30)/AV30)))</f>
        <v>0</v>
      </c>
      <c r="BC30" s="24">
        <f>IFERROR(VLOOKUP(H30,#REF!,47,FALSE),IFERROR(VLOOKUP(H30,#REF!,5,FALSE),0)+IFERROR(VLOOKUP(H30,#REF!,5,FALSE),0))</f>
        <v>0</v>
      </c>
      <c r="BD30" s="24">
        <f>IFERROR(VLOOKUP(H30,#REF!,2,FALSE),0)</f>
        <v>0</v>
      </c>
      <c r="BE30" s="25">
        <f>IFERROR(VLOOKUP(H30,#REF!,49,FALSE),0)</f>
        <v>0</v>
      </c>
      <c r="BF30" s="26" t="e">
        <f t="shared" si="5"/>
        <v>#DIV/0!</v>
      </c>
      <c r="BG30" s="26">
        <f t="shared" si="6"/>
        <v>356862.16099999996</v>
      </c>
      <c r="BH30" s="27">
        <f>AE30+ (AI30-AJ30+AM30+Tableau5617192223242425262827293031333432353620383961719241822254140424344104746[[#This Row],[Int Commandé OT
€]]-Tableau5617192223242425262827293031333432353620383961719241822254140424344104746[[#This Row],[Int Réalisé OT
€]]+AR30) +AY30+BC30</f>
        <v>-356862.16099999996</v>
      </c>
      <c r="BI30" s="89" t="e">
        <f>IF((BG30/(BG30+BH30))&lt;VLOOKUP(Tableau5617192223242425262827293031333432353620383961719241822254140424344104746[[#This Row],[Num Projets]],#REF!,53,FALSE),VLOOKUP(Tableau5617192223242425262827293031333432353620383961719241822254140424344104746[[#This Row],[Num Projets]],#REF!,53,FALSE),BG30/(BG30+BH30))</f>
        <v>#DIV/0!</v>
      </c>
      <c r="BJ30" s="16" t="e">
        <f t="shared" si="8"/>
        <v>#REF!</v>
      </c>
      <c r="BK30" s="27" t="e">
        <f t="shared" si="9"/>
        <v>#DIV/0!</v>
      </c>
      <c r="BL30" s="26" t="e">
        <f t="shared" si="10"/>
        <v>#DIV/0!</v>
      </c>
      <c r="BM30" s="28">
        <f>IFERROR(VLOOKUP(H30,'[1]2023dec'!H:CA,54,FALSE),105)</f>
        <v>100</v>
      </c>
      <c r="BN30" s="29">
        <v>1</v>
      </c>
      <c r="BO30" s="30" t="e">
        <f>P30-AC30-AG30-AV30-Tableau5617192223242425262827293031333432353620383961719241822254140424344104746[[#This Row],[Provisions pour risques]]</f>
        <v>#REF!</v>
      </c>
      <c r="BP3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3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#DIV/0!</v>
      </c>
      <c r="BR30" s="33" t="e">
        <f>BF30</f>
        <v>#DIV/0!</v>
      </c>
      <c r="BS30" s="34">
        <f>Tableau5617192223242425262827293031333432353620383961719241822254140424344104746[[#This Row],[Consommé global Enregistré à date (€ HT)]]-IFERROR(VLOOKUP(H30,#REF!,50,FALSE),0)</f>
        <v>356862.16099999996</v>
      </c>
      <c r="BT30" s="35" t="e">
        <f>BR30-BS30</f>
        <v>#DIV/0!</v>
      </c>
      <c r="BU30" s="36">
        <f>BD30-IFERROR(VLOOKUP(H30,#REF!,47,FALSE),0)</f>
        <v>0</v>
      </c>
      <c r="BV30" s="37" t="e">
        <f>+BF30+Tableau5617192223242425262827293031333432353620383961719241822254140424344104746[[#This Row],[CA fin N-1]]-IFERROR(VLOOKUP(H30,#REF!,49,FALSE),0)-IFERROR(VLOOKUP(H30,#REF!,50,FALSE),0)</f>
        <v>#DIV/0!</v>
      </c>
      <c r="BW30" s="33">
        <f>BG30-IFERROR(VLOOKUP(H30,#REF!,51,FALSE),0)</f>
        <v>356862.16099999996</v>
      </c>
      <c r="BX30" s="35" t="e">
        <f>BV30-BW30</f>
        <v>#DIV/0!</v>
      </c>
      <c r="BY30" s="36">
        <f>BD30-IFERROR(VLOOKUP(H30,#REF!,48,FALSE),0)</f>
        <v>0</v>
      </c>
      <c r="BZ3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0" s="39" t="e">
        <f>VLOOKUP(Tableau5617192223242425262827293031333432353620383961719241822254140424344104746[[#This Row],[Num Projets]],#REF!,1,FALSE)</f>
        <v>#REF!</v>
      </c>
      <c r="CB30" s="40">
        <v>1747.85</v>
      </c>
      <c r="CC30" s="40">
        <v>0</v>
      </c>
      <c r="CD3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-1747.85</v>
      </c>
    </row>
    <row r="31" spans="1:82" ht="13.5" customHeight="1" x14ac:dyDescent="0.25">
      <c r="A31" s="312" t="s">
        <v>69</v>
      </c>
      <c r="B31" s="1"/>
      <c r="C31" s="2" t="e">
        <f>_xlfn.XLOOKUP(Tableau5617192223242425262827293031333432353620383961719241822254140424344104746[[#This Row],[Num Projets]],#REF!,#REF!,FALSE)</f>
        <v>#REF!</v>
      </c>
      <c r="D31" s="3" t="s">
        <v>6</v>
      </c>
      <c r="E31" s="3" t="e">
        <f>_xlfn.XLOOKUP(Tableau5617192223242425262827293031333432353620383961719241822254140424344104746[[#This Row],[Num Projets]],#REF!,#REF!,FALSE)</f>
        <v>#REF!</v>
      </c>
      <c r="F31" s="3" t="s">
        <v>70</v>
      </c>
      <c r="G31" s="3" t="s">
        <v>2</v>
      </c>
      <c r="H31" s="3" t="s">
        <v>71</v>
      </c>
      <c r="I3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1" s="4" t="e">
        <f>VLOOKUP(Tableau5617192223242425262827293031333432353620383961719241822254140424344104746[[#This Row],[Num Projets]],#REF!,36,FALSE)</f>
        <v>#REF!</v>
      </c>
      <c r="K31" s="45" t="s">
        <v>21</v>
      </c>
      <c r="L3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1" s="3" t="e">
        <f>SUBSTITUTE(_xlfn.XLOOKUP(Tableau5617192223242425262827293031333432353620383961719241822254140424344104746[[#This Row],[Num Projets]],#REF!,#REF!,FALSE)," ","")</f>
        <v>#REF!</v>
      </c>
      <c r="N31" s="7" t="e">
        <f>VLOOKUP(H31,#REF!,7,FALSE)</f>
        <v>#REF!</v>
      </c>
      <c r="O31" s="7"/>
      <c r="P31" s="8" t="e">
        <f>VLOOKUP(H31,#REF!,2,FALSE)</f>
        <v>#REF!</v>
      </c>
      <c r="Q31" s="9" t="e">
        <f>Tableau5617192223242425262827293031333432353620383961719241822254140424344104746[[#This Row],[Total Budget
€]]-IFERROR(VLOOKUP(H31,#REF!,8,FALSE),0)</f>
        <v>#REF!</v>
      </c>
      <c r="R31" s="10" t="e">
        <f>AD31+AI31+Tableau5617192223242425262827293031333432353620383961719241822254140424344104746[[#This Row],[Int Commandé OT
€]]+AX31</f>
        <v>#REF!</v>
      </c>
      <c r="S31" s="10" t="e">
        <f>AD31+AJ31+Tableau5617192223242425262827293031333432353620383961719241822254140424344104746[[#This Row],[Int Réalisé OT
€]]+AX31</f>
        <v>#REF!</v>
      </c>
      <c r="T31" s="47" t="e">
        <f t="shared" si="2"/>
        <v>#REF!</v>
      </c>
      <c r="U3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1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1" s="42" t="e">
        <f>Tableau5617192223242425262827293031333432353620383961719241822254140424344104746[[#This Row],[Budget Heures Valorisées
€]]/105</f>
        <v>#REF!</v>
      </c>
      <c r="X31" s="13">
        <f>IFERROR(VLOOKUP(H31,#REF!,2,FALSE),0)</f>
        <v>0</v>
      </c>
      <c r="Y31" s="13">
        <f>IFERROR(VLOOKUP(H31,#REF!,3,FALSE),0)</f>
        <v>0</v>
      </c>
      <c r="Z3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306.3</v>
      </c>
      <c r="AA31" s="13">
        <f>IFERROR(VLOOKUP(H31,#REF!,18,FALSE),0)</f>
        <v>0</v>
      </c>
      <c r="AB31" s="13">
        <f>SUM(X31:Y31)-IFERROR(VLOOKUP(H31,#REF!,16,FALSE),0)-IFERROR(VLOOKUP(H31,#REF!,17,FALSE),0)</f>
        <v>0</v>
      </c>
      <c r="AC31" s="15" t="e">
        <f>VLOOKUP(Tableau5617192223242425262827293031333432353620383961719241822254140424344104746[[#This Row],[Num Projets]],#REF!,2,FALSE)</f>
        <v>#REF!</v>
      </c>
      <c r="AD31" s="8" t="e">
        <f>(X31*VLOOKUP(H31,#REF!,2,FALSE)+Y31*VLOOKUP(H31,#REF!,3,FALSE))</f>
        <v>#REF!</v>
      </c>
      <c r="AE31" s="8">
        <f t="shared" si="3"/>
        <v>14641.14</v>
      </c>
      <c r="AF31" s="47" t="e">
        <f t="shared" si="4"/>
        <v>#REF!</v>
      </c>
      <c r="AG31" s="8">
        <v>0</v>
      </c>
      <c r="AH31" s="8">
        <f>IFERROR(VLOOKUP(Tableau5617192223242425262827293031333432353620383961719241822254140424344104746[[#This Row],[Num Projets]],#REF!,2,FALSE),0)</f>
        <v>0</v>
      </c>
      <c r="AI31" s="17">
        <f>+IFERROR(VLOOKUP(H31,#REF!,2,FALSE),0)-Tableau5617192223242425262827293031333432353620383961719241822254140424344104746[[#This Row],[Int Commandé OT
€]]</f>
        <v>0</v>
      </c>
      <c r="AJ31" s="48">
        <f>IFERROR(VLOOKUP(H31,#REF!,11,FALSE),0)-IFERROR(VLOOKUP(H31,#REF!,10,FALSE),0)+Tableau5617192223242425262827293031333432353620383961719241822254140424344104746[[#This Row],[dont FNP à date (€ HT)]]-896</f>
        <v>-896</v>
      </c>
      <c r="AK31" s="15">
        <f>AI31-AJ31</f>
        <v>896</v>
      </c>
      <c r="AL3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1" s="19">
        <f>IF(Tableau5617192223242425262827293031333432353620383961719241822254140424344104746[[#This Row],[RAF Achats M-1
€]]=0,0,AN31-AO31)</f>
        <v>0</v>
      </c>
      <c r="AN31" s="8">
        <f>IFERROR(VLOOKUP(H31,#REF!,31,FALSE),0)</f>
        <v>0</v>
      </c>
      <c r="AO31" s="8">
        <f>AI31+-IFERROR(VLOOKUP(H31,#REF!,27,FALSE),0)</f>
        <v>0</v>
      </c>
      <c r="AP31" s="20">
        <f>IFERROR(VLOOKUP(Tableau5617192223242425262827293031333432353620383961719241822254140424344104746[[#This Row],[Num Projets]],#REF!,2,FALSE),0)</f>
        <v>0</v>
      </c>
      <c r="AQ31" s="20">
        <f>_xlfn.XLOOKUP(H31,[2]Synth!$N:$N,[2]Synth!$O:$O,0,FALSE)+_xlfn.XLOOKUP(Tableau5617192223242425262827293031333432353620383961719241822254140424344104746[[#This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1" s="21">
        <v>0</v>
      </c>
      <c r="AS31" s="20">
        <f>+IFERROR(VLOOKUP(H31,#REF!,36,FALSE),0)</f>
        <v>0</v>
      </c>
      <c r="AT3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1" s="22">
        <f>IF(AG31=0,0,1-((AI31+AM31+Tableau5617192223242425262827293031333432353620383961719241822254140424344104746[[#This Row],[Int Commandé OT
€]]+Tableau5617192223242425262827293031333432353620383961719241822254140424344104746[[#This Row],[RAF Int OT
€]])/AG31))</f>
        <v>0</v>
      </c>
      <c r="AV31" s="8">
        <f>IFERROR(VLOOKUP(H31,#REF!,4,FALSE),0)+IFERROR(VLOOKUP(H31,#REF!,4,FALSE),0)</f>
        <v>0</v>
      </c>
      <c r="AW31" s="8">
        <f>IFERROR(VLOOKUP(Tableau5617192223242425262827293031333432353620383961719241822254140424344104746[[#This Row],[Num Projets]],#REF!,3,FALSE),0)</f>
        <v>0</v>
      </c>
      <c r="AX31" s="48">
        <f>IFERROR(VLOOKUP(Tableau5617192223242425262827293031333432353620383961719241822254140424344104746[[#This Row],[Num Projets]],#REF!,10,FALSE),0)+3616.17</f>
        <v>3616.17</v>
      </c>
      <c r="AY31" s="23">
        <v>0</v>
      </c>
      <c r="AZ31" s="8">
        <f>IFERROR(VLOOKUP(H31,#REF!,43,FALSE),0)</f>
        <v>0</v>
      </c>
      <c r="BA31" s="8">
        <f>AX31-IFERROR(VLOOKUP(H31,#REF!,42,FALSE),0)</f>
        <v>3616.17</v>
      </c>
      <c r="BB31" s="16">
        <f>IF(AV31=0,0,(1-((AX31+AY31)/AV31)))</f>
        <v>0</v>
      </c>
      <c r="BC31" s="24">
        <f>IFERROR(VLOOKUP(H31,#REF!,47,FALSE),IFERROR(VLOOKUP(H31,#REF!,5,FALSE),0)+IFERROR(VLOOKUP(H31,#REF!,5,FALSE),0))</f>
        <v>0</v>
      </c>
      <c r="BD31" s="25">
        <f>IFERROR(VLOOKUP(H31,#REF!,2,FALSE),0)</f>
        <v>0</v>
      </c>
      <c r="BE31" s="25">
        <f>IFERROR(VLOOKUP(H31,#REF!,49,FALSE),0)</f>
        <v>0</v>
      </c>
      <c r="BF31" s="26" t="e">
        <f t="shared" si="5"/>
        <v>#REF!</v>
      </c>
      <c r="BG31" s="26" t="e">
        <f t="shared" si="6"/>
        <v>#REF!</v>
      </c>
      <c r="BH31" s="27">
        <f>AE31+ (AI31-AJ31+AM31+Tableau5617192223242425262827293031333432353620383961719241822254140424344104746[[#This Row],[Int Commandé OT
€]]-Tableau5617192223242425262827293031333432353620383961719241822254140424344104746[[#This Row],[Int Réalisé OT
€]]+AR31) +AY31+BC31</f>
        <v>15537.14</v>
      </c>
      <c r="BI31" s="16" t="e">
        <f t="shared" si="16"/>
        <v>#REF!</v>
      </c>
      <c r="BJ31" s="16" t="e">
        <f t="shared" si="8"/>
        <v>#REF!</v>
      </c>
      <c r="BK31" s="27" t="e">
        <f t="shared" si="9"/>
        <v>#REF!</v>
      </c>
      <c r="BL31" s="26" t="e">
        <f t="shared" si="10"/>
        <v>#REF!</v>
      </c>
      <c r="BM31" s="28">
        <f>IFERROR(VLOOKUP(H31,'[1]2023dec'!H:CA,54,FALSE),105)</f>
        <v>100</v>
      </c>
      <c r="BN31" s="29">
        <v>1</v>
      </c>
      <c r="BO31" s="30" t="e">
        <f>P31-AC31-AG31-AV31-Tableau5617192223242425262827293031333432353620383961719241822254140424344104746[[#This Row],[Provisions pour risques]]</f>
        <v>#REF!</v>
      </c>
      <c r="BP31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31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31" s="33" t="e">
        <f>BF31</f>
        <v>#REF!</v>
      </c>
      <c r="BS31" s="34" t="e">
        <f>Tableau5617192223242425262827293031333432353620383961719241822254140424344104746[[#This Row],[Consommé global Enregistré à date (€ HT)]]-IFERROR(VLOOKUP(H31,#REF!,50,FALSE),0)</f>
        <v>#REF!</v>
      </c>
      <c r="BT31" s="35" t="e">
        <f>BR31-BS31</f>
        <v>#REF!</v>
      </c>
      <c r="BU31" s="36">
        <f>BD31-IFERROR(VLOOKUP(H31,#REF!,47,FALSE),0)</f>
        <v>0</v>
      </c>
      <c r="BV31" s="37" t="e">
        <f>+BF31+Tableau5617192223242425262827293031333432353620383961719241822254140424344104746[[#This Row],[CA fin N-1]]-IFERROR(VLOOKUP(H31,#REF!,49,FALSE),0)-IFERROR(VLOOKUP(H31,#REF!,50,FALSE),0)</f>
        <v>#REF!</v>
      </c>
      <c r="BW31" s="33" t="e">
        <f>BG31-IFERROR(VLOOKUP(H31,#REF!,51,FALSE),0)</f>
        <v>#REF!</v>
      </c>
      <c r="BX31" s="35" t="e">
        <f>BV31-BW31</f>
        <v>#REF!</v>
      </c>
      <c r="BY31" s="36">
        <f>BD31-IFERROR(VLOOKUP(H31,#REF!,48,FALSE),0)</f>
        <v>0</v>
      </c>
      <c r="BZ3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1" s="39" t="e">
        <f>VLOOKUP(Tableau5617192223242425262827293031333432353620383961719241822254140424344104746[[#This Row],[Num Projets]],#REF!,1,FALSE)</f>
        <v>#REF!</v>
      </c>
      <c r="CB31" s="40">
        <v>306.3</v>
      </c>
      <c r="CC31" s="40">
        <v>0</v>
      </c>
      <c r="CD3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-306.3</v>
      </c>
    </row>
    <row r="32" spans="1:82" s="258" customFormat="1" ht="13.5" customHeight="1" x14ac:dyDescent="0.25">
      <c r="A32" s="311" t="s">
        <v>72</v>
      </c>
      <c r="B32" s="1"/>
      <c r="C32" s="2" t="e">
        <f>_xlfn.XLOOKUP(Tableau5617192223242425262827293031333432353620383961719241822254140424344104746[[#This Row],[Num Projets]],#REF!,#REF!,FALSE)</f>
        <v>#REF!</v>
      </c>
      <c r="D32" s="3" t="s">
        <v>40</v>
      </c>
      <c r="E32" s="3" t="e">
        <f>_xlfn.XLOOKUP(Tableau5617192223242425262827293031333432353620383961719241822254140424344104746[[#This Row],[Num Projets]],#REF!,#REF!,FALSE)</f>
        <v>#REF!</v>
      </c>
      <c r="F32" s="3" t="e">
        <f>_xlfn.XLOOKUP(Tableau5617192223242425262827293031333432353620383961719241822254140424344104746[[#This Row],[Num Projets]],#REF!,#REF!,"newavr",0)</f>
        <v>#REF!</v>
      </c>
      <c r="G32" s="3" t="s">
        <v>58</v>
      </c>
      <c r="H32" s="3" t="s">
        <v>73</v>
      </c>
      <c r="I3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2" s="4" t="e">
        <f>VLOOKUP(Tableau5617192223242425262827293031333432353620383961719241822254140424344104746[[#This Row],[Num Projets]],#REF!,36,FALSE)</f>
        <v>#REF!</v>
      </c>
      <c r="K32" s="5" t="s">
        <v>14</v>
      </c>
      <c r="L3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2" s="3" t="e">
        <f>SUBSTITUTE(_xlfn.XLOOKUP(Tableau5617192223242425262827293031333432353620383961719241822254140424344104746[[#This Row],[Num Projets]],#REF!,#REF!,FALSE)," ","")</f>
        <v>#REF!</v>
      </c>
      <c r="N32" s="7" t="e">
        <f>VLOOKUP(H32,#REF!,7,FALSE)</f>
        <v>#REF!</v>
      </c>
      <c r="O32" s="7" t="e">
        <f>IF(VLOOKUP(H32,#REF!,27,FALSE)=0,"",VLOOKUP(H32,#REF!,27,FALSE))</f>
        <v>#REF!</v>
      </c>
      <c r="P32" s="8" t="e">
        <f>VLOOKUP(H32,#REF!,2,FALSE)</f>
        <v>#REF!</v>
      </c>
      <c r="Q32" s="9" t="e">
        <f>Tableau5617192223242425262827293031333432353620383961719241822254140424344104746[[#This Row],[Total Budget
€]]-IFERROR(VLOOKUP(H32,#REF!,8,FALSE),0)</f>
        <v>#REF!</v>
      </c>
      <c r="R32" s="15">
        <f>AD32+AI32+Tableau5617192223242425262827293031333432353620383961719241822254140424344104746[[#This Row],[Int Commandé OT
€]]+AX32</f>
        <v>0</v>
      </c>
      <c r="S32" s="15">
        <f>AD32+AJ32+Tableau5617192223242425262827293031333432353620383961719241822254140424344104746[[#This Row],[Int Réalisé OT
€]]+AX32</f>
        <v>0</v>
      </c>
      <c r="T32" s="47" t="e">
        <f t="shared" si="2"/>
        <v>#REF!</v>
      </c>
      <c r="U3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2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2" s="42" t="e">
        <f>Tableau5617192223242425262827293031333432353620383961719241822254140424344104746[[#This Row],[Budget Heures Valorisées
€]]/105</f>
        <v>#REF!</v>
      </c>
      <c r="X32" s="13">
        <f>IFERROR(VLOOKUP(H32,#REF!,2,FALSE),0)</f>
        <v>0</v>
      </c>
      <c r="Y32" s="13">
        <f>IFERROR(VLOOKUP(H32,#REF!,3,FALSE),0)</f>
        <v>0</v>
      </c>
      <c r="Z3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32" s="13">
        <f>IFERROR(VLOOKUP(H32,#REF!,18,FALSE),0)</f>
        <v>0</v>
      </c>
      <c r="AB32" s="13">
        <f>SUM(X32:Y32)-IFERROR(VLOOKUP(H32,#REF!,16,FALSE),0)-IFERROR(VLOOKUP(H32,#REF!,17,FALSE),0)</f>
        <v>0</v>
      </c>
      <c r="AC32" s="15" t="e">
        <f>VLOOKUP(Tableau5617192223242425262827293031333432353620383961719241822254140424344104746[[#This Row],[Num Projets]],#REF!,2,FALSE)</f>
        <v>#REF!</v>
      </c>
      <c r="AD32" s="10">
        <f>IFERROR(VLOOKUP(Tableau5617192223242425262827293031333432353620383961719241822254140424344104746[[#This Row],[Num Projets]],#REF!,2,FALSE),0)</f>
        <v>0</v>
      </c>
      <c r="AE32" s="8">
        <f t="shared" si="3"/>
        <v>0</v>
      </c>
      <c r="AF32" s="47" t="e">
        <f t="shared" si="4"/>
        <v>#REF!</v>
      </c>
      <c r="AG32" s="8">
        <f>IFERROR(VLOOKUP(H32,#REF!,3,FALSE),0)+IFERROR(VLOOKUP(H32,#REF!,3,FALSE),0)</f>
        <v>0</v>
      </c>
      <c r="AH32" s="8">
        <f>IFERROR(VLOOKUP(Tableau5617192223242425262827293031333432353620383961719241822254140424344104746[[#This Row],[Num Projets]],#REF!,2,FALSE),0)</f>
        <v>0</v>
      </c>
      <c r="AI32" s="17">
        <f>+IFERROR(VLOOKUP(H32,#REF!,2,FALSE),0)-Tableau5617192223242425262827293031333432353620383961719241822254140424344104746[[#This Row],[Int Commandé OT
€]]</f>
        <v>0</v>
      </c>
      <c r="AJ32" s="8">
        <f>IFERROR(VLOOKUP(H32,#REF!,11,FALSE),0)-IFERROR(VLOOKUP(H32,#REF!,10,FALSE),0)+Tableau5617192223242425262827293031333432353620383961719241822254140424344104746[[#This Row],[dont FNP à date (€ HT)]]</f>
        <v>0</v>
      </c>
      <c r="AK32" s="15">
        <f t="shared" si="14"/>
        <v>0</v>
      </c>
      <c r="AL3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2" s="19">
        <f>IF(Tableau5617192223242425262827293031333432353620383961719241822254140424344104746[[#This Row],[RAF Achats M-1
€]]=0,0,AN32-AO32)</f>
        <v>0</v>
      </c>
      <c r="AN32" s="8">
        <f>IFERROR(VLOOKUP(H32,#REF!,31,FALSE),0)</f>
        <v>0</v>
      </c>
      <c r="AO32" s="8">
        <f>AI32+-IFERROR(VLOOKUP(H32,#REF!,27,FALSE),0)</f>
        <v>0</v>
      </c>
      <c r="AP32" s="20">
        <f>IFERROR(VLOOKUP(Tableau5617192223242425262827293031333432353620383961719241822254140424344104746[[#This Row],[Num Projets]],#REF!,2,FALSE),0)</f>
        <v>0</v>
      </c>
      <c r="AQ32" s="20">
        <f>_xlfn.XLOOKUP(H32,[2]Synth!$N:$N,[2]Synth!$O:$O,0,FALSE)+_xlfn.XLOOKUP(Tableau5617192223242425262827293031333432353620383961719241822254140424344104746[[#This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2" s="21">
        <v>0</v>
      </c>
      <c r="AS32" s="20">
        <f>+IFERROR(VLOOKUP(H32,#REF!,36,FALSE),0)</f>
        <v>0</v>
      </c>
      <c r="AT3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2" s="22">
        <f>IF(AG32=0,0,1-((AI32+AM32+Tableau5617192223242425262827293031333432353620383961719241822254140424344104746[[#This Row],[Int Commandé OT
€]]+Tableau5617192223242425262827293031333432353620383961719241822254140424344104746[[#This Row],[RAF Int OT
€]])/AG32))</f>
        <v>0</v>
      </c>
      <c r="AV32" s="8">
        <f>IFERROR(VLOOKUP(H32,#REF!,4,FALSE),0)+IFERROR(VLOOKUP(H32,#REF!,4,FALSE),0)</f>
        <v>0</v>
      </c>
      <c r="AW32" s="8">
        <f>IFERROR(VLOOKUP(Tableau5617192223242425262827293031333432353620383961719241822254140424344104746[[#This Row],[Num Projets]],#REF!,3,FALSE),0)</f>
        <v>0</v>
      </c>
      <c r="AX32" s="20">
        <f>IFERROR(VLOOKUP(Tableau5617192223242425262827293031333432353620383961719241822254140424344104746[[#This Row],[Num Projets]],#REF!,10,FALSE),0)</f>
        <v>0</v>
      </c>
      <c r="AY32" s="23">
        <v>0</v>
      </c>
      <c r="AZ32" s="8">
        <f>IFERROR(VLOOKUP(H32,#REF!,43,FALSE),0)</f>
        <v>0</v>
      </c>
      <c r="BA32" s="8">
        <f>AX32-IFERROR(VLOOKUP(H32,#REF!,42,FALSE),0)</f>
        <v>0</v>
      </c>
      <c r="BB32" s="47">
        <f>IF(AV32=0,0,(1-((AX32+AY32)/AV32)))</f>
        <v>0</v>
      </c>
      <c r="BC32" s="24">
        <f>IFERROR(VLOOKUP(H32,#REF!,47,FALSE),IFERROR(VLOOKUP(H32,#REF!,5,FALSE),0)+IFERROR(VLOOKUP(H32,#REF!,5,FALSE),0))</f>
        <v>0</v>
      </c>
      <c r="BD32" s="25">
        <f>IFERROR(VLOOKUP(H32,#REF!,2,FALSE),0)</f>
        <v>0</v>
      </c>
      <c r="BE32" s="25">
        <f>IFERROR(VLOOKUP(H32,#REF!,49,FALSE),0)</f>
        <v>0</v>
      </c>
      <c r="BF32" s="26" t="e">
        <f t="shared" si="5"/>
        <v>#REF!</v>
      </c>
      <c r="BG32" s="26">
        <f t="shared" si="6"/>
        <v>0</v>
      </c>
      <c r="BH32" s="27">
        <f>AE32+ (AI32-AJ32+AM32+Tableau5617192223242425262827293031333432353620383961719241822254140424344104746[[#This Row],[Int Commandé OT
€]]-Tableau5617192223242425262827293031333432353620383961719241822254140424344104746[[#This Row],[Int Réalisé OT
€]]+AR32) +AY32+BC32</f>
        <v>0</v>
      </c>
      <c r="BI32" s="16">
        <f t="shared" si="16"/>
        <v>1</v>
      </c>
      <c r="BJ32" s="16" t="e">
        <f t="shared" si="8"/>
        <v>#REF!</v>
      </c>
      <c r="BK32" s="27" t="e">
        <f t="shared" si="9"/>
        <v>#REF!</v>
      </c>
      <c r="BL32" s="26" t="e">
        <f t="shared" si="10"/>
        <v>#REF!</v>
      </c>
      <c r="BM32" s="28">
        <f>IFERROR(VLOOKUP(H32,'[1]2023dec'!H:CA,54,FALSE),105)</f>
        <v>105</v>
      </c>
      <c r="BN32" s="29">
        <v>1</v>
      </c>
      <c r="BO32" s="30" t="e">
        <f>P32-AC32-AG32-AV32-Tableau5617192223242425262827293031333432353620383961719241822254140424344104746[[#This Row],[Provisions pour risques]]</f>
        <v>#REF!</v>
      </c>
      <c r="BP3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3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32" s="33" t="e">
        <f>BF32</f>
        <v>#REF!</v>
      </c>
      <c r="BS32" s="34">
        <f>Tableau5617192223242425262827293031333432353620383961719241822254140424344104746[[#This Row],[Consommé global Enregistré à date (€ HT)]]-IFERROR(VLOOKUP(H32,#REF!,50,FALSE),0)</f>
        <v>0</v>
      </c>
      <c r="BT32" s="35" t="e">
        <f>BR32-BS32</f>
        <v>#REF!</v>
      </c>
      <c r="BU32" s="36">
        <f>BD32-IFERROR(VLOOKUP(H32,#REF!,47,FALSE),0)</f>
        <v>0</v>
      </c>
      <c r="BV32" s="37" t="e">
        <f>+BF32+Tableau5617192223242425262827293031333432353620383961719241822254140424344104746[[#This Row],[CA fin N-1]]-IFERROR(VLOOKUP(H32,#REF!,49,FALSE),0)-IFERROR(VLOOKUP(H32,#REF!,50,FALSE),0)</f>
        <v>#REF!</v>
      </c>
      <c r="BW32" s="33">
        <f>BG32-IFERROR(VLOOKUP(H32,#REF!,51,FALSE),0)</f>
        <v>0</v>
      </c>
      <c r="BX32" s="35" t="e">
        <f>BV32-BW32</f>
        <v>#REF!</v>
      </c>
      <c r="BY32" s="36">
        <f>BD32-IFERROR(VLOOKUP(H32,#REF!,48,FALSE),0)</f>
        <v>0</v>
      </c>
      <c r="BZ3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2" s="39" t="e">
        <f>VLOOKUP(Tableau5617192223242425262827293031333432353620383961719241822254140424344104746[[#This Row],[Num Projets]],#REF!,1,FALSE)</f>
        <v>#REF!</v>
      </c>
      <c r="CB32" s="40">
        <v>0</v>
      </c>
      <c r="CC32" s="40">
        <v>0</v>
      </c>
      <c r="CD3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33" spans="1:82" s="258" customFormat="1" ht="13.5" customHeight="1" x14ac:dyDescent="0.25">
      <c r="A33" s="311" t="s">
        <v>74</v>
      </c>
      <c r="B33" s="1"/>
      <c r="C33" s="2" t="e">
        <f>_xlfn.XLOOKUP(Tableau5617192223242425262827293031333432353620383961719241822254140424344104746[[#This Row],[Num Projets]],#REF!,#REF!,FALSE)</f>
        <v>#REF!</v>
      </c>
      <c r="D33" s="3" t="s">
        <v>6</v>
      </c>
      <c r="E33" s="3" t="e">
        <f>_xlfn.XLOOKUP(Tableau5617192223242425262827293031333432353620383961719241822254140424344104746[[#This Row],[Num Projets]],#REF!,#REF!,FALSE)</f>
        <v>#REF!</v>
      </c>
      <c r="F33" s="3" t="e">
        <f>_xlfn.XLOOKUP(Tableau5617192223242425262827293031333432353620383961719241822254140424344104746[[#This Row],[Num Projets]],#REF!,#REF!,"newavr",0)</f>
        <v>#REF!</v>
      </c>
      <c r="G33" s="3" t="s">
        <v>2</v>
      </c>
      <c r="H33" s="3" t="s">
        <v>75</v>
      </c>
      <c r="I3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3" s="4" t="e">
        <f>VLOOKUP(Tableau5617192223242425262827293031333432353620383961719241822254140424344104746[[#This Row],[Num Projets]],#REF!,36,FALSE)</f>
        <v>#REF!</v>
      </c>
      <c r="K33" s="5" t="s">
        <v>21</v>
      </c>
      <c r="L3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3" s="3" t="e">
        <f>SUBSTITUTE(_xlfn.XLOOKUP(Tableau5617192223242425262827293031333432353620383961719241822254140424344104746[[#This Row],[Num Projets]],#REF!,#REF!,FALSE)," ","")</f>
        <v>#REF!</v>
      </c>
      <c r="N33" s="7" t="e">
        <f>VLOOKUP(H33,#REF!,7,FALSE)</f>
        <v>#REF!</v>
      </c>
      <c r="O33" s="7" t="e">
        <f>IF(VLOOKUP(H33,#REF!,27,FALSE)=0,"",VLOOKUP(H33,#REF!,27,FALSE))</f>
        <v>#REF!</v>
      </c>
      <c r="P33" s="8" t="e">
        <f>VLOOKUP(H33,#REF!,2,FALSE)</f>
        <v>#REF!</v>
      </c>
      <c r="Q33" s="9" t="e">
        <f>Tableau5617192223242425262827293031333432353620383961719241822254140424344104746[[#This Row],[Total Budget
€]]-IFERROR(VLOOKUP(H33,#REF!,8,FALSE),0)</f>
        <v>#REF!</v>
      </c>
      <c r="R33" s="15">
        <f>AD33+AI33+Tableau5617192223242425262827293031333432353620383961719241822254140424344104746[[#This Row],[Int Commandé OT
€]]+AX33</f>
        <v>0</v>
      </c>
      <c r="S33" s="15">
        <f>AD33+AJ33+Tableau5617192223242425262827293031333432353620383961719241822254140424344104746[[#This Row],[Int Réalisé OT
€]]+AX33</f>
        <v>21825</v>
      </c>
      <c r="T33" s="47" t="e">
        <f t="shared" si="2"/>
        <v>#REF!</v>
      </c>
      <c r="U3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3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3" s="12">
        <f>IFERROR(VLOOKUP(H33,#REF!,2,FALSE),0)</f>
        <v>0</v>
      </c>
      <c r="X33" s="13">
        <f>IFERROR(VLOOKUP(H33,#REF!,2,FALSE),0)</f>
        <v>0</v>
      </c>
      <c r="Y33" s="13">
        <f>IFERROR(VLOOKUP(H33,#REF!,3,FALSE),0)</f>
        <v>0</v>
      </c>
      <c r="Z3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2404</v>
      </c>
      <c r="AA33" s="13">
        <f>IFERROR(VLOOKUP(H33,#REF!,18,FALSE),0)</f>
        <v>0</v>
      </c>
      <c r="AB33" s="13">
        <f>SUM(X33:Y33)-IFERROR(VLOOKUP(H33,#REF!,16,FALSE),0)-IFERROR(VLOOKUP(H33,#REF!,17,FALSE),0)</f>
        <v>0</v>
      </c>
      <c r="AC33" s="15" t="e">
        <f>VLOOKUP(Tableau5617192223242425262827293031333432353620383961719241822254140424344104746[[#This Row],[Num Projets]],#REF!,2,FALSE)</f>
        <v>#REF!</v>
      </c>
      <c r="AD33" s="10">
        <f>IFERROR(VLOOKUP(Tableau5617192223242425262827293031333432353620383961719241822254140424344104746[[#This Row],[Num Projets]],#REF!,2,FALSE),0)</f>
        <v>0</v>
      </c>
      <c r="AE33" s="8">
        <f t="shared" si="3"/>
        <v>114911.2</v>
      </c>
      <c r="AF33" s="47" t="e">
        <f t="shared" si="4"/>
        <v>#REF!</v>
      </c>
      <c r="AG33" s="20">
        <f>IFERROR(VLOOKUP(H33,#REF!,3,FALSE),0)+IFERROR(VLOOKUP(H33,#REF!,3,FALSE),0)</f>
        <v>0</v>
      </c>
      <c r="AH33" s="8">
        <f>IFERROR(VLOOKUP(Tableau5617192223242425262827293031333432353620383961719241822254140424344104746[[#This Row],[Num Projets]],#REF!,2,FALSE),0)</f>
        <v>0</v>
      </c>
      <c r="AI33" s="17">
        <f>+IFERROR(VLOOKUP(H33,#REF!,2,FALSE),0)-Tableau5617192223242425262827293031333432353620383961719241822254140424344104746[[#This Row],[Int Commandé OT
€]]</f>
        <v>0</v>
      </c>
      <c r="AJ33" s="8">
        <f>IFERROR(VLOOKUP(H33,#REF!,11,FALSE),0)-IFERROR(VLOOKUP(H33,#REF!,10,FALSE),0)+Tableau5617192223242425262827293031333432353620383961719241822254140424344104746[[#This Row],[dont FNP à date (€ HT)]]</f>
        <v>21825</v>
      </c>
      <c r="AK33" s="23">
        <f t="shared" si="14"/>
        <v>-21825</v>
      </c>
      <c r="AL3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21825</v>
      </c>
      <c r="AM33" s="19">
        <f>IF(Tableau5617192223242425262827293031333432353620383961719241822254140424344104746[[#This Row],[RAF Achats M-1
€]]=0,0,AN33-AO33)</f>
        <v>0</v>
      </c>
      <c r="AN33" s="8">
        <f>IFERROR(VLOOKUP(H33,#REF!,31,FALSE),0)</f>
        <v>0</v>
      </c>
      <c r="AO33" s="8">
        <f>AI33+-IFERROR(VLOOKUP(H33,#REF!,27,FALSE),0)</f>
        <v>0</v>
      </c>
      <c r="AP33" s="20">
        <f>IFERROR(VLOOKUP(Tableau5617192223242425262827293031333432353620383961719241822254140424344104746[[#This Row],[Num Projets]],#REF!,2,FALSE),0)</f>
        <v>0</v>
      </c>
      <c r="AQ33" s="20">
        <f>_xlfn.XLOOKUP(H33,[2]Synth!$N:$N,[2]Synth!$O:$O,0,FALSE)+_xlfn.XLOOKUP(Tableau5617192223242425262827293031333432353620383961719241822254140424344104746[[#This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3" s="21">
        <v>0</v>
      </c>
      <c r="AS33" s="20">
        <f>+IFERROR(VLOOKUP(H33,#REF!,36,FALSE),0)</f>
        <v>0</v>
      </c>
      <c r="AT3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3" s="22">
        <f>IF(AG33=0,0,1-((AI33+AM33+Tableau5617192223242425262827293031333432353620383961719241822254140424344104746[[#This Row],[Int Commandé OT
€]]+Tableau5617192223242425262827293031333432353620383961719241822254140424344104746[[#This Row],[RAF Int OT
€]])/AG33))</f>
        <v>0</v>
      </c>
      <c r="AV33" s="8">
        <f>IFERROR(VLOOKUP(H33,#REF!,4,FALSE),0)+IFERROR(VLOOKUP(H33,#REF!,4,FALSE),0)</f>
        <v>0</v>
      </c>
      <c r="AW33" s="8">
        <f>IFERROR(VLOOKUP(Tableau5617192223242425262827293031333432353620383961719241822254140424344104746[[#This Row],[Num Projets]],#REF!,3,FALSE),0)</f>
        <v>0</v>
      </c>
      <c r="AX33" s="20">
        <f>IFERROR(VLOOKUP(Tableau5617192223242425262827293031333432353620383961719241822254140424344104746[[#This Row],[Num Projets]],#REF!,10,FALSE),0)</f>
        <v>0</v>
      </c>
      <c r="AY33" s="23">
        <f>Tableau5617192223242425262827293031333432353620383961719241822254140424344104746[[#This Row],[Budget Mission
 €]]/1.2-AX33</f>
        <v>0</v>
      </c>
      <c r="AZ33" s="8">
        <f>IFERROR(VLOOKUP(H33,#REF!,43,FALSE),0)</f>
        <v>0</v>
      </c>
      <c r="BA33" s="8">
        <f>AX33-IFERROR(VLOOKUP(H33,#REF!,42,FALSE),0)</f>
        <v>0</v>
      </c>
      <c r="BB33" s="47">
        <f>IF(AV33=0,0,(1-((AX33+AY33)/AV33)))</f>
        <v>0</v>
      </c>
      <c r="BC33" s="24">
        <f>IFERROR(VLOOKUP(H33,#REF!,47,FALSE),IFERROR(VLOOKUP(H33,#REF!,5,FALSE),0)+IFERROR(VLOOKUP(H33,#REF!,5,FALSE),0))</f>
        <v>0</v>
      </c>
      <c r="BD33" s="25">
        <f>IFERROR(VLOOKUP(H33,#REF!,2,FALSE),0)</f>
        <v>0</v>
      </c>
      <c r="BE33" s="25">
        <f>IFERROR(VLOOKUP(H33,#REF!,49,FALSE),0)</f>
        <v>0</v>
      </c>
      <c r="BF33" s="26" t="e">
        <f t="shared" si="5"/>
        <v>#REF!</v>
      </c>
      <c r="BG33" s="26">
        <f t="shared" si="6"/>
        <v>21825</v>
      </c>
      <c r="BH33" s="27">
        <f>AE33+ (AI33-AJ33+AM33+Tableau5617192223242425262827293031333432353620383961719241822254140424344104746[[#This Row],[Int Commandé OT
€]]-Tableau5617192223242425262827293031333432353620383961719241822254140424344104746[[#This Row],[Int Réalisé OT
€]]+AR33) +AY33+BC33</f>
        <v>93086.2</v>
      </c>
      <c r="BI33" s="89" t="e">
        <f>IF((BG33/(BG33+BH33))&lt;VLOOKUP(Tableau5617192223242425262827293031333432353620383961719241822254140424344104746[[#This Row],[Num Projets]],#REF!,53,FALSE),VLOOKUP(Tableau5617192223242425262827293031333432353620383961719241822254140424344104746[[#This Row],[Num Projets]],#REF!,53,FALSE),BG33/(BG33+BH33))</f>
        <v>#REF!</v>
      </c>
      <c r="BJ33" s="16" t="e">
        <f t="shared" si="8"/>
        <v>#REF!</v>
      </c>
      <c r="BK33" s="27" t="e">
        <f t="shared" si="9"/>
        <v>#REF!</v>
      </c>
      <c r="BL33" s="26" t="e">
        <f t="shared" si="10"/>
        <v>#REF!</v>
      </c>
      <c r="BM33" s="28">
        <f>IFERROR(VLOOKUP(H33,'[1]2023dec'!H:CA,54,FALSE),105)</f>
        <v>105</v>
      </c>
      <c r="BN33" s="29">
        <v>1</v>
      </c>
      <c r="BO33" s="30" t="e">
        <f>P33-AC33-AG33-AV33-Tableau5617192223242425262827293031333432353620383961719241822254140424344104746[[#This Row],[Provisions pour risques]]</f>
        <v>#REF!</v>
      </c>
      <c r="BP3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114911.2</v>
      </c>
      <c r="BQ3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33" s="33" t="e">
        <f>BF33</f>
        <v>#REF!</v>
      </c>
      <c r="BS33" s="34">
        <f>Tableau5617192223242425262827293031333432353620383961719241822254140424344104746[[#This Row],[Consommé global Enregistré à date (€ HT)]]-IFERROR(VLOOKUP(H33,#REF!,50,FALSE),0)</f>
        <v>21825</v>
      </c>
      <c r="BT33" s="35" t="e">
        <f>BR33-BS33</f>
        <v>#REF!</v>
      </c>
      <c r="BU33" s="36">
        <f>BD33-IFERROR(VLOOKUP(H33,#REF!,47,FALSE),0)</f>
        <v>0</v>
      </c>
      <c r="BV33" s="37" t="e">
        <f>+BF33+Tableau5617192223242425262827293031333432353620383961719241822254140424344104746[[#This Row],[CA fin N-1]]-IFERROR(VLOOKUP(H33,#REF!,49,FALSE),0)-IFERROR(VLOOKUP(H33,#REF!,50,FALSE),0)</f>
        <v>#REF!</v>
      </c>
      <c r="BW33" s="33">
        <f>BG33-IFERROR(VLOOKUP(H33,#REF!,51,FALSE),0)</f>
        <v>21825</v>
      </c>
      <c r="BX33" s="35" t="e">
        <f>BV33-BW33</f>
        <v>#REF!</v>
      </c>
      <c r="BY33" s="36">
        <f>BD33-IFERROR(VLOOKUP(H33,#REF!,48,FALSE),0)</f>
        <v>0</v>
      </c>
      <c r="BZ3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3" s="39" t="e">
        <f>VLOOKUP(Tableau5617192223242425262827293031333432353620383961719241822254140424344104746[[#This Row],[Num Projets]],#REF!,1,FALSE)</f>
        <v>#REF!</v>
      </c>
      <c r="CB33" s="40">
        <v>2206.5</v>
      </c>
      <c r="CC33" s="40">
        <v>197.5</v>
      </c>
      <c r="CD3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-2206.5</v>
      </c>
    </row>
    <row r="34" spans="1:82" s="258" customFormat="1" ht="13.5" customHeight="1" x14ac:dyDescent="0.25">
      <c r="A34" s="311" t="s">
        <v>76</v>
      </c>
      <c r="B34" s="1"/>
      <c r="C34" s="2" t="e">
        <f>_xlfn.XLOOKUP(Tableau5617192223242425262827293031333432353620383961719241822254140424344104746[[#This Row],[Num Projets]],#REF!,#REF!,FALSE)</f>
        <v>#REF!</v>
      </c>
      <c r="D34" s="3" t="s">
        <v>1</v>
      </c>
      <c r="E34" s="3" t="e">
        <f>_xlfn.XLOOKUP(Tableau5617192223242425262827293031333432353620383961719241822254140424344104746[[#This Row],[Num Projets]],#REF!,#REF!,FALSE)</f>
        <v>#REF!</v>
      </c>
      <c r="F34" s="3" t="e">
        <f>_xlfn.XLOOKUP(Tableau5617192223242425262827293031333432353620383961719241822254140424344104746[[#This Row],[Num Projets]],#REF!,#REF!,"newavr",0)</f>
        <v>#REF!</v>
      </c>
      <c r="G34" s="3" t="s">
        <v>2</v>
      </c>
      <c r="H34" s="3" t="s">
        <v>77</v>
      </c>
      <c r="I3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4" s="4" t="e">
        <f>VLOOKUP(Tableau5617192223242425262827293031333432353620383961719241822254140424344104746[[#This Row],[Num Projets]],#REF!,36,FALSE)</f>
        <v>#REF!</v>
      </c>
      <c r="K34" s="5" t="s">
        <v>4</v>
      </c>
      <c r="L3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4" s="3" t="e">
        <f>SUBSTITUTE(_xlfn.XLOOKUP(Tableau5617192223242425262827293031333432353620383961719241822254140424344104746[[#This Row],[Num Projets]],#REF!,#REF!,FALSE)," ","")</f>
        <v>#REF!</v>
      </c>
      <c r="N34" s="7" t="e">
        <f>VLOOKUP(H34,#REF!,7,FALSE)</f>
        <v>#REF!</v>
      </c>
      <c r="O34" s="7" t="e">
        <f>IF(VLOOKUP(H34,#REF!,27,FALSE)=0,"",VLOOKUP(H34,#REF!,27,FALSE))</f>
        <v>#REF!</v>
      </c>
      <c r="P34" s="8" t="e">
        <f>VLOOKUP(H34,#REF!,2,FALSE)</f>
        <v>#REF!</v>
      </c>
      <c r="Q34" s="9" t="e">
        <f>Tableau5617192223242425262827293031333432353620383961719241822254140424344104746[[#This Row],[Total Budget
€]]-IFERROR(VLOOKUP(H34,#REF!,8,FALSE),0)</f>
        <v>#REF!</v>
      </c>
      <c r="R34" s="15">
        <f>AD34+AI34+Tableau5617192223242425262827293031333432353620383961719241822254140424344104746[[#This Row],[Int Commandé OT
€]]+AX34</f>
        <v>0</v>
      </c>
      <c r="S34" s="15">
        <f>AD34+AJ34+Tableau5617192223242425262827293031333432353620383961719241822254140424344104746[[#This Row],[Int Réalisé OT
€]]+AX34</f>
        <v>0</v>
      </c>
      <c r="T34" s="47" t="e">
        <f t="shared" si="2"/>
        <v>#REF!</v>
      </c>
      <c r="U3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4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4" s="12">
        <f>IFERROR(VLOOKUP(H34,#REF!,2,FALSE),0)</f>
        <v>0</v>
      </c>
      <c r="X34" s="13">
        <f>IFERROR(VLOOKUP(H34,#REF!,2,FALSE),0)</f>
        <v>0</v>
      </c>
      <c r="Y34" s="13">
        <f>IFERROR(VLOOKUP(H34,#REF!,3,FALSE),0)</f>
        <v>0</v>
      </c>
      <c r="Z3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34" s="13">
        <f>IFERROR(VLOOKUP(H34,#REF!,18,FALSE),0)</f>
        <v>0</v>
      </c>
      <c r="AB34" s="13">
        <f>SUM(X34:Y34)-IFERROR(VLOOKUP(H34,#REF!,16,FALSE),0)-IFERROR(VLOOKUP(H34,#REF!,17,FALSE),0)</f>
        <v>0</v>
      </c>
      <c r="AC34" s="15" t="e">
        <f>VLOOKUP(Tableau5617192223242425262827293031333432353620383961719241822254140424344104746[[#This Row],[Num Projets]],#REF!,2,FALSE)</f>
        <v>#REF!</v>
      </c>
      <c r="AD34" s="10">
        <f>IFERROR(VLOOKUP(Tableau5617192223242425262827293031333432353620383961719241822254140424344104746[[#This Row],[Num Projets]],#REF!,2,FALSE),0)</f>
        <v>0</v>
      </c>
      <c r="AE34" s="8">
        <f t="shared" si="3"/>
        <v>0</v>
      </c>
      <c r="AF34" s="47" t="e">
        <f t="shared" si="4"/>
        <v>#REF!</v>
      </c>
      <c r="AG34" s="8">
        <f>IFERROR(VLOOKUP(H34,#REF!,3,FALSE),0)+IFERROR(VLOOKUP(H34,#REF!,3,FALSE),0)</f>
        <v>0</v>
      </c>
      <c r="AH34" s="8">
        <f>IFERROR(VLOOKUP(Tableau5617192223242425262827293031333432353620383961719241822254140424344104746[[#This Row],[Num Projets]],#REF!,2,FALSE),0)</f>
        <v>0</v>
      </c>
      <c r="AI34" s="17">
        <f>+IFERROR(VLOOKUP(H34,#REF!,2,FALSE),0)-Tableau5617192223242425262827293031333432353620383961719241822254140424344104746[[#This Row],[Int Commandé OT
€]]</f>
        <v>0</v>
      </c>
      <c r="AJ34" s="8">
        <f>IFERROR(VLOOKUP(H34,#REF!,11,FALSE),0)-IFERROR(VLOOKUP(H34,#REF!,10,FALSE),0)+Tableau5617192223242425262827293031333432353620383961719241822254140424344104746[[#This Row],[dont FNP à date (€ HT)]]</f>
        <v>0</v>
      </c>
      <c r="AK34" s="15">
        <f t="shared" si="14"/>
        <v>0</v>
      </c>
      <c r="AL3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4" s="19">
        <f>IF(Tableau5617192223242425262827293031333432353620383961719241822254140424344104746[[#This Row],[RAF Achats M-1
€]]=0,0,AN34-AO34)</f>
        <v>0</v>
      </c>
      <c r="AN34" s="8">
        <f>IFERROR(VLOOKUP(H34,#REF!,31,FALSE),0)</f>
        <v>0</v>
      </c>
      <c r="AO34" s="8">
        <f>AI34+-IFERROR(VLOOKUP(H34,#REF!,27,FALSE),0)</f>
        <v>0</v>
      </c>
      <c r="AP34" s="20">
        <f>IFERROR(VLOOKUP(Tableau5617192223242425262827293031333432353620383961719241822254140424344104746[[#This Row],[Num Projets]],#REF!,2,FALSE),0)</f>
        <v>0</v>
      </c>
      <c r="AQ34" s="20">
        <f>_xlfn.XLOOKUP(H34,[2]Synth!$N:$N,[2]Synth!$O:$O,0,FALSE)+_xlfn.XLOOKUP(Tableau5617192223242425262827293031333432353620383961719241822254140424344104746[[#This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4" s="21">
        <v>0</v>
      </c>
      <c r="AS34" s="20">
        <f>+IFERROR(VLOOKUP(H34,#REF!,36,FALSE),0)</f>
        <v>0</v>
      </c>
      <c r="AT3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4" s="22">
        <f>IF(AG34=0,0,1-((AI34+AM34+Tableau5617192223242425262827293031333432353620383961719241822254140424344104746[[#This Row],[Int Commandé OT
€]]+Tableau5617192223242425262827293031333432353620383961719241822254140424344104746[[#This Row],[RAF Int OT
€]])/AG34))</f>
        <v>0</v>
      </c>
      <c r="AV34" s="8">
        <f>IFERROR(VLOOKUP(H34,#REF!,4,FALSE),0)+IFERROR(VLOOKUP(H34,#REF!,4,FALSE),0)</f>
        <v>0</v>
      </c>
      <c r="AW34" s="8">
        <f>IFERROR(VLOOKUP(Tableau5617192223242425262827293031333432353620383961719241822254140424344104746[[#This Row],[Num Projets]],#REF!,3,FALSE),0)</f>
        <v>0</v>
      </c>
      <c r="AX34" s="20">
        <f>IFERROR(VLOOKUP(Tableau5617192223242425262827293031333432353620383961719241822254140424344104746[[#This Row],[Num Projets]],#REF!,10,FALSE),0)</f>
        <v>0</v>
      </c>
      <c r="AY34" s="23">
        <f>Tableau5617192223242425262827293031333432353620383961719241822254140424344104746[[#This Row],[Budget Mission
 €]]/1.2-AX34</f>
        <v>0</v>
      </c>
      <c r="AZ34" s="8">
        <f>IFERROR(VLOOKUP(H34,#REF!,43,FALSE),0)</f>
        <v>0</v>
      </c>
      <c r="BA34" s="8">
        <f>AX34-IFERROR(VLOOKUP(H34,#REF!,42,FALSE),0)</f>
        <v>0</v>
      </c>
      <c r="BB34" s="47">
        <f>IF(AV34=0,0,(1-((AX34+AY34)/AV34)))</f>
        <v>0</v>
      </c>
      <c r="BC34" s="24">
        <f>IFERROR(VLOOKUP(H34,#REF!,47,FALSE),IFERROR(VLOOKUP(H34,#REF!,5,FALSE),0)+IFERROR(VLOOKUP(H34,#REF!,5,FALSE),0))</f>
        <v>0</v>
      </c>
      <c r="BD34" s="25">
        <f>IFERROR(VLOOKUP(H34,#REF!,2,FALSE),0)</f>
        <v>0</v>
      </c>
      <c r="BE34" s="25">
        <f>IFERROR(VLOOKUP(H34,#REF!,49,FALSE),0)</f>
        <v>0</v>
      </c>
      <c r="BF34" s="26" t="e">
        <f t="shared" si="5"/>
        <v>#REF!</v>
      </c>
      <c r="BG34" s="26">
        <f t="shared" si="6"/>
        <v>0</v>
      </c>
      <c r="BH34" s="27">
        <f>AE34+ (AI34-AJ34+AM34+Tableau5617192223242425262827293031333432353620383961719241822254140424344104746[[#This Row],[Int Commandé OT
€]]-Tableau5617192223242425262827293031333432353620383961719241822254140424344104746[[#This Row],[Int Réalisé OT
€]]+AR34) +AY34+BC34</f>
        <v>0</v>
      </c>
      <c r="BI34" s="16">
        <f t="shared" si="16"/>
        <v>1</v>
      </c>
      <c r="BJ34" s="16" t="e">
        <f t="shared" si="8"/>
        <v>#REF!</v>
      </c>
      <c r="BK34" s="27" t="e">
        <f t="shared" si="9"/>
        <v>#REF!</v>
      </c>
      <c r="BL34" s="26" t="e">
        <f t="shared" si="10"/>
        <v>#REF!</v>
      </c>
      <c r="BM34" s="28">
        <f>IFERROR(VLOOKUP(H34,'[1]2023dec'!H:CA,54,FALSE),105)</f>
        <v>105</v>
      </c>
      <c r="BN34" s="29">
        <v>1</v>
      </c>
      <c r="BO34" s="30" t="e">
        <f>P34-AC34-AG34-AV34-Tableau5617192223242425262827293031333432353620383961719241822254140424344104746[[#This Row],[Provisions pour risques]]</f>
        <v>#REF!</v>
      </c>
      <c r="BP3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3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34" s="33" t="e">
        <f>BF34</f>
        <v>#REF!</v>
      </c>
      <c r="BS34" s="34">
        <f>Tableau5617192223242425262827293031333432353620383961719241822254140424344104746[[#This Row],[Consommé global Enregistré à date (€ HT)]]-IFERROR(VLOOKUP(H34,#REF!,50,FALSE),0)</f>
        <v>0</v>
      </c>
      <c r="BT34" s="35" t="e">
        <f>BR34-BS34</f>
        <v>#REF!</v>
      </c>
      <c r="BU34" s="36">
        <f>BD34-IFERROR(VLOOKUP(H34,#REF!,47,FALSE),0)</f>
        <v>0</v>
      </c>
      <c r="BV34" s="37" t="e">
        <f>+BF34+Tableau5617192223242425262827293031333432353620383961719241822254140424344104746[[#This Row],[CA fin N-1]]-IFERROR(VLOOKUP(H34,#REF!,49,FALSE),0)-IFERROR(VLOOKUP(H34,#REF!,50,FALSE),0)</f>
        <v>#REF!</v>
      </c>
      <c r="BW34" s="33">
        <f>BG34-IFERROR(VLOOKUP(H34,#REF!,51,FALSE),0)</f>
        <v>0</v>
      </c>
      <c r="BX34" s="35" t="e">
        <f>BV34-BW34</f>
        <v>#REF!</v>
      </c>
      <c r="BY34" s="36">
        <f>BD34-IFERROR(VLOOKUP(H34,#REF!,48,FALSE),0)</f>
        <v>0</v>
      </c>
      <c r="BZ3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4" s="39" t="e">
        <f>VLOOKUP(Tableau5617192223242425262827293031333432353620383961719241822254140424344104746[[#This Row],[Num Projets]],#REF!,1,FALSE)</f>
        <v>#REF!</v>
      </c>
      <c r="CB34" s="40">
        <v>0</v>
      </c>
      <c r="CC34" s="40">
        <v>0</v>
      </c>
      <c r="CD3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35" spans="1:82" s="258" customFormat="1" ht="13.5" customHeight="1" x14ac:dyDescent="0.25">
      <c r="A35" s="313" t="s">
        <v>78</v>
      </c>
      <c r="B35" s="1" t="s">
        <v>30</v>
      </c>
      <c r="C35" s="2" t="e">
        <f>_xlfn.XLOOKUP(Tableau5617192223242425262827293031333432353620383961719241822254140424344104746[[#This Row],[Num Projets]],#REF!,#REF!,FALSE)</f>
        <v>#REF!</v>
      </c>
      <c r="D35" s="3" t="s">
        <v>1</v>
      </c>
      <c r="E35" s="3" t="e">
        <f>_xlfn.XLOOKUP(Tableau5617192223242425262827293031333432353620383961719241822254140424344104746[[#This Row],[Num Projets]],#REF!,#REF!,FALSE)</f>
        <v>#REF!</v>
      </c>
      <c r="F35" s="3" t="e">
        <f>_xlfn.XLOOKUP(Tableau5617192223242425262827293031333432353620383961719241822254140424344104746[[#This Row],[Num Projets]],#REF!,#REF!,"newavr",0)</f>
        <v>#REF!</v>
      </c>
      <c r="G35" s="3" t="s">
        <v>12</v>
      </c>
      <c r="H35" s="3" t="s">
        <v>79</v>
      </c>
      <c r="I3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5" s="4" t="e">
        <f>VLOOKUP(Tableau5617192223242425262827293031333432353620383961719241822254140424344104746[[#This Row],[Num Projets]],#REF!,36,FALSE)</f>
        <v>#REF!</v>
      </c>
      <c r="K35" s="5" t="s">
        <v>21</v>
      </c>
      <c r="L3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5" s="3" t="e">
        <f>SUBSTITUTE(_xlfn.XLOOKUP(Tableau5617192223242425262827293031333432353620383961719241822254140424344104746[[#This Row],[Num Projets]],#REF!,#REF!,FALSE)," ","")</f>
        <v>#REF!</v>
      </c>
      <c r="N35" s="7" t="e">
        <f>VLOOKUP(H35,#REF!,7,FALSE)</f>
        <v>#REF!</v>
      </c>
      <c r="O35" s="7" t="e">
        <f>IF(VLOOKUP(H35,#REF!,27,FALSE)=0,"",VLOOKUP(H35,#REF!,27,FALSE))</f>
        <v>#REF!</v>
      </c>
      <c r="P35" s="62">
        <f>Tableau5617192223242425262827293031333432353620383961719241822254140424344104746[[#This Row],[Budget Heures Valorisées
€]]+Tableau5617192223242425262827293031333432353620383961719241822254140424344104746[[#This Row],[Budget Achat HT
€]]+Tableau5617192223242425262827293031333432353620383961719241822254140424344104746[[#This Row],[Budget Mission
 €]]</f>
        <v>15801.785</v>
      </c>
      <c r="Q35" s="9">
        <f>Tableau5617192223242425262827293031333432353620383961719241822254140424344104746[[#This Row],[Total Budget
€]]-IFERROR(VLOOKUP(H35,#REF!,8,FALSE),0)</f>
        <v>15801.785</v>
      </c>
      <c r="R35" s="10" t="e">
        <f>AD35+AI35+Tableau5617192223242425262827293031333432353620383961719241822254140424344104746[[#This Row],[Int Commandé OT
€]]+AX35</f>
        <v>#REF!</v>
      </c>
      <c r="S35" s="10" t="e">
        <f>AD35+AJ35+Tableau5617192223242425262827293031333432353620383961719241822254140424344104746[[#This Row],[Int Réalisé OT
€]]+AX35</f>
        <v>#REF!</v>
      </c>
      <c r="T35" s="47" t="e">
        <f t="shared" si="2"/>
        <v>#REF!</v>
      </c>
      <c r="U3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5" s="47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0.16699999999999998</v>
      </c>
      <c r="W35" s="12">
        <f>Tableau5617192223242425262827293031333432353620383961719241822254140424344104746[[#This Row],[Réel Heures Internes
Hrs]]+Tableau5617192223242425262827293031333432353620383961719241822254140424344104746[[#This Row],[Réel Heures ST
Hrs]]</f>
        <v>0</v>
      </c>
      <c r="X35" s="13">
        <f>IFERROR(VLOOKUP(H35,#REF!,2,FALSE),0)</f>
        <v>0</v>
      </c>
      <c r="Y35" s="13">
        <f>IFERROR(VLOOKUP(H35,#REF!,3,FALSE),0)</f>
        <v>0</v>
      </c>
      <c r="Z35" s="14">
        <v>0</v>
      </c>
      <c r="AA35" s="13">
        <f>IFERROR(VLOOKUP(H35,#REF!,18,FALSE),0)</f>
        <v>0</v>
      </c>
      <c r="AB35" s="13">
        <f>SUM(X35:Y35)-IFERROR(VLOOKUP(H35,#REF!,16,FALSE),0)-IFERROR(VLOOKUP(H35,#REF!,17,FALSE),0)</f>
        <v>0</v>
      </c>
      <c r="AC35" s="15">
        <f>Tableau5617192223242425262827293031333432353620383961719241822254140424344104746[[#This Row],[Réel Heures Internes
Hrs]]*30.38+Tableau5617192223242425262827293031333432353620383961719241822254140424344104746[[#This Row],[Réel Heures ST
Hrs]]*53.85*50%*1.051</f>
        <v>0</v>
      </c>
      <c r="AD35" s="8" t="e">
        <f>(X35*VLOOKUP(H35,#REF!,2,FALSE)+Y35*VLOOKUP(H35,#REF!,3,FALSE))</f>
        <v>#REF!</v>
      </c>
      <c r="AE35" s="8">
        <f t="shared" si="3"/>
        <v>0</v>
      </c>
      <c r="AF35" s="47">
        <f t="shared" si="4"/>
        <v>0</v>
      </c>
      <c r="AG35" s="41">
        <f>(Tableau5617192223242425262827293031333432353620383961719241822254140424344104746[[#This Row],[Achats commandés HT
€]]+Tableau5617192223242425262827293031333432353620383961719241822254140424344104746[[#This Row],[Int Commandé OT
€]])*1.051*0.5</f>
        <v>15801.785</v>
      </c>
      <c r="AH35" s="8">
        <f>IFERROR(VLOOKUP(Tableau5617192223242425262827293031333432353620383961719241822254140424344104746[[#This Row],[Num Projets]],#REF!,2,FALSE),0)</f>
        <v>0</v>
      </c>
      <c r="AI35" s="92">
        <f>+IFERROR(VLOOKUP(H35,#REF!,2,FALSE),0)-Tableau5617192223242425262827293031333432353620383961719241822254140424344104746[[#This Row],[Int Commandé OT
€]]+62*485</f>
        <v>30070</v>
      </c>
      <c r="AJ35" s="8">
        <f>IFERROR(VLOOKUP(H35,#REF!,11,FALSE),0)-IFERROR(VLOOKUP(H35,#REF!,10,FALSE),0)+Tableau5617192223242425262827293031333432353620383961719241822254140424344104746[[#This Row],[dont FNP à date (€ HT)]]</f>
        <v>36029.680000000008</v>
      </c>
      <c r="AK35" s="23">
        <f>AI35-AJ35</f>
        <v>-5959.6800000000076</v>
      </c>
      <c r="AL3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36029.680000000008</v>
      </c>
      <c r="AM35" s="19">
        <f>IF(Tableau5617192223242425262827293031333432353620383961719241822254140424344104746[[#This Row],[RAF Achats M-1
€]]=0,0,AN35-AO35)</f>
        <v>0</v>
      </c>
      <c r="AN35" s="8">
        <f>IFERROR(VLOOKUP(H35,#REF!,31,FALSE),0)</f>
        <v>0</v>
      </c>
      <c r="AO35" s="8">
        <f>AI35+-IFERROR(VLOOKUP(H35,#REF!,27,FALSE),0)</f>
        <v>30070</v>
      </c>
      <c r="AP35" s="20">
        <f>IFERROR(VLOOKUP(Tableau5617192223242425262827293031333432353620383961719241822254140424344104746[[#This Row],[Num Projets]],#REF!,2,FALSE),0)</f>
        <v>0</v>
      </c>
      <c r="AQ35" s="20">
        <f>_xlfn.XLOOKUP(H35,[2]Synth!$N:$N,[2]Synth!$O:$O,0,FALSE)+_xlfn.XLOOKUP(Tableau5617192223242425262827293031333432353620383961719241822254140424344104746[[#This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28060.749999999993</v>
      </c>
      <c r="AR35" s="21">
        <v>0</v>
      </c>
      <c r="AS35" s="20">
        <f>+IFERROR(VLOOKUP(H35,#REF!,36,FALSE),0)</f>
        <v>0</v>
      </c>
      <c r="AT3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5" s="22">
        <f>IF(AG35=0,0,1-((AI35+AM35+Tableau5617192223242425262827293031333432353620383961719241822254140424344104746[[#This Row],[Int Commandé OT
€]]+Tableau5617192223242425262827293031333432353620383961719241822254140424344104746[[#This Row],[RAF Int OT
€]])/AG35))</f>
        <v>-0.90294957183634628</v>
      </c>
      <c r="AV35" s="41">
        <f>Tableau5617192223242425262827293031333432353620383961719241822254140424344104746[[#This Row],[Réel Mission
€]]*1.051*0.5</f>
        <v>0</v>
      </c>
      <c r="AW35" s="8">
        <f>IFERROR(VLOOKUP(Tableau5617192223242425262827293031333432353620383961719241822254140424344104746[[#This Row],[Num Projets]],#REF!,3,FALSE),0)</f>
        <v>0</v>
      </c>
      <c r="AX35" s="20">
        <f>IFERROR(VLOOKUP(Tableau5617192223242425262827293031333432353620383961719241822254140424344104746[[#This Row],[Num Projets]],#REF!,10,FALSE),0)</f>
        <v>0</v>
      </c>
      <c r="AY35" s="23">
        <v>0</v>
      </c>
      <c r="AZ35" s="8">
        <f>IFERROR(VLOOKUP(H35,#REF!,43,FALSE),0)</f>
        <v>0</v>
      </c>
      <c r="BA35" s="8">
        <f>AX35-IFERROR(VLOOKUP(H35,#REF!,42,FALSE),0)</f>
        <v>0</v>
      </c>
      <c r="BB35" s="16">
        <f t="shared" ref="BB35:BB98" si="17">IF(AV35=0,0,(1-((AX35+AY35)/AV35)))</f>
        <v>0</v>
      </c>
      <c r="BC35" s="24">
        <f>IFERROR(VLOOKUP(H35,#REF!,47,FALSE),IFERROR(VLOOKUP(H35,#REF!,5,FALSE),0)+IFERROR(VLOOKUP(H35,#REF!,5,FALSE),0))</f>
        <v>0</v>
      </c>
      <c r="BD35" s="25">
        <f>IFERROR(VLOOKUP(H35,#REF!,2,FALSE),0)</f>
        <v>0</v>
      </c>
      <c r="BE35" s="25">
        <f>IFERROR(VLOOKUP(H35,#REF!,49,FALSE),0)</f>
        <v>0</v>
      </c>
      <c r="BF35" s="26" t="e">
        <f t="shared" si="5"/>
        <v>#REF!</v>
      </c>
      <c r="BG35" s="26" t="e">
        <f t="shared" si="6"/>
        <v>#REF!</v>
      </c>
      <c r="BH35" s="27">
        <f>AE35+ (AI35-AJ35+AM35+Tableau5617192223242425262827293031333432353620383961719241822254140424344104746[[#This Row],[Int Commandé OT
€]]-Tableau5617192223242425262827293031333432353620383961719241822254140424344104746[[#This Row],[Int Réalisé OT
€]]+AR35) +AY35+BC35</f>
        <v>-34020.43</v>
      </c>
      <c r="BI35" s="63" t="e">
        <f t="shared" si="16"/>
        <v>#REF!</v>
      </c>
      <c r="BJ35" s="16">
        <f t="shared" si="8"/>
        <v>0</v>
      </c>
      <c r="BK35" s="27" t="e">
        <f t="shared" si="9"/>
        <v>#REF!</v>
      </c>
      <c r="BL35" s="26" t="e">
        <f t="shared" si="10"/>
        <v>#REF!</v>
      </c>
      <c r="BM35" s="28">
        <f>IFERROR(VLOOKUP(H35,'[1]2023dec'!H:CA,54,FALSE),105)</f>
        <v>96</v>
      </c>
      <c r="BN35" s="29">
        <v>1</v>
      </c>
      <c r="BO35" s="30">
        <f>P35-AC35-AG35-AV35-Tableau5617192223242425262827293031333432353620383961719241822254140424344104746[[#This Row],[Provisions pour risques]]</f>
        <v>0</v>
      </c>
      <c r="BP35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35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35" s="33" t="e">
        <f t="shared" ref="BR35:BR98" si="18">BF35</f>
        <v>#REF!</v>
      </c>
      <c r="BS35" s="34" t="e">
        <f>Tableau5617192223242425262827293031333432353620383961719241822254140424344104746[[#This Row],[Consommé global Enregistré à date (€ HT)]]-IFERROR(VLOOKUP(H35,#REF!,50,FALSE),0)</f>
        <v>#REF!</v>
      </c>
      <c r="BT35" s="35" t="e">
        <f t="shared" ref="BT35:BT98" si="19">BR35-BS35</f>
        <v>#REF!</v>
      </c>
      <c r="BU35" s="36">
        <f>BD35-IFERROR(VLOOKUP(H35,#REF!,47,FALSE),0)</f>
        <v>0</v>
      </c>
      <c r="BV35" s="37" t="e">
        <f>+BF35+Tableau5617192223242425262827293031333432353620383961719241822254140424344104746[[#This Row],[CA fin N-1]]-IFERROR(VLOOKUP(H35,#REF!,49,FALSE),0)-IFERROR(VLOOKUP(H35,#REF!,50,FALSE),0)</f>
        <v>#REF!</v>
      </c>
      <c r="BW35" s="33" t="e">
        <f>BG35-IFERROR(VLOOKUP(H35,#REF!,51,FALSE),0)</f>
        <v>#REF!</v>
      </c>
      <c r="BX35" s="35" t="e">
        <f t="shared" ref="BX35:BX98" si="20">BV35-BW35</f>
        <v>#REF!</v>
      </c>
      <c r="BY35" s="36">
        <f>BD35-IFERROR(VLOOKUP(H35,#REF!,48,FALSE),0)</f>
        <v>0</v>
      </c>
      <c r="BZ3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5" s="39" t="e">
        <f>VLOOKUP(Tableau5617192223242425262827293031333432353620383961719241822254140424344104746[[#This Row],[Num Projets]],#REF!,1,FALSE)</f>
        <v>#REF!</v>
      </c>
      <c r="CB35" s="40">
        <v>11149.4</v>
      </c>
      <c r="CC35" s="40">
        <v>0</v>
      </c>
      <c r="CD3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-11149.4</v>
      </c>
    </row>
    <row r="36" spans="1:82" s="258" customFormat="1" ht="13.5" customHeight="1" x14ac:dyDescent="0.25">
      <c r="A36" s="311"/>
      <c r="B36" s="1"/>
      <c r="C36" s="2" t="e">
        <f>_xlfn.XLOOKUP(Tableau5617192223242425262827293031333432353620383961719241822254140424344104746[[#This Row],[Num Projets]],#REF!,#REF!,FALSE)</f>
        <v>#REF!</v>
      </c>
      <c r="D36" s="3" t="s">
        <v>11</v>
      </c>
      <c r="E36" s="3" t="e">
        <f>_xlfn.XLOOKUP(Tableau5617192223242425262827293031333432353620383961719241822254140424344104746[[#This Row],[Num Projets]],#REF!,#REF!,FALSE)</f>
        <v>#REF!</v>
      </c>
      <c r="F36" s="3" t="e">
        <f>_xlfn.XLOOKUP(Tableau5617192223242425262827293031333432353620383961719241822254140424344104746[[#This Row],[Num Projets]],#REF!,#REF!,"newavr",0)</f>
        <v>#REF!</v>
      </c>
      <c r="G36" s="3" t="s">
        <v>2</v>
      </c>
      <c r="H36" s="3" t="s">
        <v>80</v>
      </c>
      <c r="I3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6" s="4" t="e">
        <f>VLOOKUP(Tableau5617192223242425262827293031333432353620383961719241822254140424344104746[[#This Row],[Num Projets]],#REF!,36,FALSE)</f>
        <v>#REF!</v>
      </c>
      <c r="K36" s="5" t="s">
        <v>21</v>
      </c>
      <c r="L3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6" s="3" t="e">
        <f>SUBSTITUTE(_xlfn.XLOOKUP(Tableau5617192223242425262827293031333432353620383961719241822254140424344104746[[#This Row],[Num Projets]],#REF!,#REF!,FALSE)," ","")</f>
        <v>#REF!</v>
      </c>
      <c r="N36" s="7" t="e">
        <f>VLOOKUP(H36,#REF!,7,FALSE)</f>
        <v>#REF!</v>
      </c>
      <c r="O36" s="7" t="e">
        <f>IF(VLOOKUP(H36,#REF!,27,FALSE)=0,"",VLOOKUP(H36,#REF!,27,FALSE))</f>
        <v>#REF!</v>
      </c>
      <c r="P36" s="8" t="e">
        <f>VLOOKUP(H36,#REF!,2,FALSE)</f>
        <v>#REF!</v>
      </c>
      <c r="Q36" s="9" t="e">
        <f>Tableau5617192223242425262827293031333432353620383961719241822254140424344104746[[#This Row],[Total Budget
€]]-IFERROR(VLOOKUP(H36,#REF!,8,FALSE),0)</f>
        <v>#REF!</v>
      </c>
      <c r="R36" s="15">
        <f>AD36+AI36+Tableau5617192223242425262827293031333432353620383961719241822254140424344104746[[#This Row],[Int Commandé OT
€]]+AX36</f>
        <v>0</v>
      </c>
      <c r="S36" s="15">
        <f>AD36+AJ36+Tableau5617192223242425262827293031333432353620383961719241822254140424344104746[[#This Row],[Int Réalisé OT
€]]+AX36</f>
        <v>0</v>
      </c>
      <c r="T36" s="47" t="e">
        <f t="shared" si="2"/>
        <v>#REF!</v>
      </c>
      <c r="U3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6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6" s="12">
        <f>IFERROR(VLOOKUP(H36,#REF!,2,FALSE),0)</f>
        <v>0</v>
      </c>
      <c r="X36" s="13">
        <f>IFERROR(VLOOKUP(H36,#REF!,2,FALSE),0)</f>
        <v>0</v>
      </c>
      <c r="Y36" s="13">
        <f>IFERROR(VLOOKUP(H36,#REF!,3,FALSE),0)</f>
        <v>0</v>
      </c>
      <c r="Z3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21</v>
      </c>
      <c r="AA36" s="13">
        <f>IFERROR(VLOOKUP(H36,#REF!,18,FALSE),0)</f>
        <v>0</v>
      </c>
      <c r="AB36" s="13">
        <f>SUM(X36:Y36)-IFERROR(VLOOKUP(H36,#REF!,16,FALSE),0)-IFERROR(VLOOKUP(H36,#REF!,17,FALSE),0)</f>
        <v>0</v>
      </c>
      <c r="AC36" s="15" t="e">
        <f>VLOOKUP(Tableau5617192223242425262827293031333432353620383961719241822254140424344104746[[#This Row],[Num Projets]],#REF!,2,FALSE)</f>
        <v>#REF!</v>
      </c>
      <c r="AD36" s="10">
        <f>IFERROR(VLOOKUP(Tableau5617192223242425262827293031333432353620383961719241822254140424344104746[[#This Row],[Num Projets]],#REF!,2,FALSE),0)</f>
        <v>0</v>
      </c>
      <c r="AE36" s="8">
        <f t="shared" si="3"/>
        <v>1003.8</v>
      </c>
      <c r="AF36" s="47" t="e">
        <f t="shared" si="4"/>
        <v>#REF!</v>
      </c>
      <c r="AG36" s="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36" s="8">
        <f>IFERROR(VLOOKUP(Tableau5617192223242425262827293031333432353620383961719241822254140424344104746[[#This Row],[Num Projets]],#REF!,2,FALSE),0)</f>
        <v>0</v>
      </c>
      <c r="AI36" s="17">
        <f>+IFERROR(VLOOKUP(H36,#REF!,2,FALSE),0)-Tableau5617192223242425262827293031333432353620383961719241822254140424344104746[[#This Row],[Int Commandé OT
€]]</f>
        <v>0</v>
      </c>
      <c r="AJ36" s="8">
        <f>IFERROR(VLOOKUP(H36,#REF!,11,FALSE),0)-IFERROR(VLOOKUP(H36,#REF!,10,FALSE),0)+Tableau5617192223242425262827293031333432353620383961719241822254140424344104746[[#This Row],[dont FNP à date (€ HT)]]</f>
        <v>0</v>
      </c>
      <c r="AK36" s="15">
        <f t="shared" si="14"/>
        <v>0</v>
      </c>
      <c r="AL3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6" s="19">
        <f>IF(Tableau5617192223242425262827293031333432353620383961719241822254140424344104746[[#This Row],[RAF Achats M-1
€]]=0,0,AN36-AO36)</f>
        <v>0</v>
      </c>
      <c r="AN36" s="8">
        <f>IFERROR(VLOOKUP(H36,#REF!,31,FALSE),0)</f>
        <v>0</v>
      </c>
      <c r="AO36" s="8">
        <f>AI36+-IFERROR(VLOOKUP(H36,#REF!,27,FALSE),0)</f>
        <v>0</v>
      </c>
      <c r="AP36" s="20">
        <f>IFERROR(VLOOKUP(Tableau5617192223242425262827293031333432353620383961719241822254140424344104746[[#This Row],[Num Projets]],#REF!,2,FALSE),0)</f>
        <v>0</v>
      </c>
      <c r="AQ36" s="20">
        <f>_xlfn.XLOOKUP(H36,[2]Synth!$N:$N,[2]Synth!$O:$O,0,FALSE)+_xlfn.XLOOKUP(Tableau5617192223242425262827293031333432353620383961719241822254140424344104746[[#This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6" s="21">
        <v>0</v>
      </c>
      <c r="AS36" s="20">
        <f>+IFERROR(VLOOKUP(H36,#REF!,36,FALSE),0)</f>
        <v>0</v>
      </c>
      <c r="AT3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6" s="22" t="e">
        <f>IF(AG36=0,0,1-((AI36+AM36+Tableau5617192223242425262827293031333432353620383961719241822254140424344104746[[#This Row],[Int Commandé OT
€]]+Tableau5617192223242425262827293031333432353620383961719241822254140424344104746[[#This Row],[RAF Int OT
€]])/AG36))</f>
        <v>#REF!</v>
      </c>
      <c r="AV36" s="8">
        <f>IFERROR(VLOOKUP(H36,#REF!,4,FALSE),0)+IFERROR(VLOOKUP(H36,#REF!,4,FALSE),0)</f>
        <v>0</v>
      </c>
      <c r="AW36" s="8">
        <f>IFERROR(VLOOKUP(Tableau5617192223242425262827293031333432353620383961719241822254140424344104746[[#This Row],[Num Projets]],#REF!,3,FALSE),0)</f>
        <v>0</v>
      </c>
      <c r="AX36" s="20">
        <f>IFERROR(VLOOKUP(Tableau5617192223242425262827293031333432353620383961719241822254140424344104746[[#This Row],[Num Projets]],#REF!,10,FALSE),0)</f>
        <v>0</v>
      </c>
      <c r="AY36" s="23">
        <f>Tableau5617192223242425262827293031333432353620383961719241822254140424344104746[[#This Row],[Budget Mission
 €]]/1.2-AX36</f>
        <v>0</v>
      </c>
      <c r="AZ36" s="8">
        <f>IFERROR(VLOOKUP(H36,#REF!,43,FALSE),0)</f>
        <v>0</v>
      </c>
      <c r="BA36" s="8">
        <f>AX36-IFERROR(VLOOKUP(H36,#REF!,42,FALSE),0)</f>
        <v>0</v>
      </c>
      <c r="BB36" s="47">
        <f t="shared" si="17"/>
        <v>0</v>
      </c>
      <c r="BC36" s="24">
        <f>IFERROR(VLOOKUP(H36,#REF!,47,FALSE),IFERROR(VLOOKUP(H36,#REF!,5,FALSE),0)+IFERROR(VLOOKUP(H36,#REF!,5,FALSE),0))</f>
        <v>0</v>
      </c>
      <c r="BD36" s="25">
        <f>IFERROR(VLOOKUP(H36,#REF!,2,FALSE),0)</f>
        <v>0</v>
      </c>
      <c r="BE36" s="25">
        <f>IFERROR(VLOOKUP(H36,#REF!,49,FALSE),0)</f>
        <v>0</v>
      </c>
      <c r="BF36" s="26" t="e">
        <f t="shared" si="5"/>
        <v>#REF!</v>
      </c>
      <c r="BG36" s="26">
        <f t="shared" si="6"/>
        <v>0</v>
      </c>
      <c r="BH36" s="27">
        <f>AE36+ (AI36-AJ36+AM36+Tableau5617192223242425262827293031333432353620383961719241822254140424344104746[[#This Row],[Int Commandé OT
€]]-Tableau5617192223242425262827293031333432353620383961719241822254140424344104746[[#This Row],[Int Réalisé OT
€]]+AR36) +AY36+BC36</f>
        <v>1003.8</v>
      </c>
      <c r="BI36" s="16">
        <f t="shared" si="16"/>
        <v>0</v>
      </c>
      <c r="BJ36" s="16" t="e">
        <f t="shared" si="8"/>
        <v>#REF!</v>
      </c>
      <c r="BK36" s="27" t="e">
        <f t="shared" si="9"/>
        <v>#REF!</v>
      </c>
      <c r="BL36" s="26" t="e">
        <f t="shared" si="10"/>
        <v>#REF!</v>
      </c>
      <c r="BM36" s="28">
        <f>IFERROR(VLOOKUP(H36,'[1]2023dec'!H:CA,54,FALSE),105)</f>
        <v>105</v>
      </c>
      <c r="BN36" s="29">
        <v>1</v>
      </c>
      <c r="BO36" s="30" t="e">
        <f>P36-AC36-AG36-AV36-Tableau5617192223242425262827293031333432353620383961719241822254140424344104746[[#This Row],[Provisions pour risques]]</f>
        <v>#REF!</v>
      </c>
      <c r="BP3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1003.8</v>
      </c>
      <c r="BQ3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36" s="33" t="e">
        <f t="shared" si="18"/>
        <v>#REF!</v>
      </c>
      <c r="BS36" s="34">
        <f>Tableau5617192223242425262827293031333432353620383961719241822254140424344104746[[#This Row],[Consommé global Enregistré à date (€ HT)]]-IFERROR(VLOOKUP(H36,#REF!,50,FALSE),0)</f>
        <v>0</v>
      </c>
      <c r="BT36" s="35" t="e">
        <f t="shared" si="19"/>
        <v>#REF!</v>
      </c>
      <c r="BU36" s="36">
        <f>BD36-IFERROR(VLOOKUP(H36,#REF!,47,FALSE),0)</f>
        <v>0</v>
      </c>
      <c r="BV36" s="37" t="e">
        <f>+BF36+Tableau5617192223242425262827293031333432353620383961719241822254140424344104746[[#This Row],[CA fin N-1]]-IFERROR(VLOOKUP(H36,#REF!,49,FALSE),0)-IFERROR(VLOOKUP(H36,#REF!,50,FALSE),0)</f>
        <v>#REF!</v>
      </c>
      <c r="BW36" s="33">
        <f>BG36-IFERROR(VLOOKUP(H36,#REF!,51,FALSE),0)</f>
        <v>0</v>
      </c>
      <c r="BX36" s="35" t="e">
        <f t="shared" si="20"/>
        <v>#REF!</v>
      </c>
      <c r="BY36" s="36">
        <f>BD36-IFERROR(VLOOKUP(H36,#REF!,48,FALSE),0)</f>
        <v>0</v>
      </c>
      <c r="BZ3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6" s="39" t="e">
        <f>VLOOKUP(Tableau5617192223242425262827293031333432353620383961719241822254140424344104746[[#This Row],[Num Projets]],#REF!,1,FALSE)</f>
        <v>#REF!</v>
      </c>
      <c r="CB36" s="40">
        <v>21</v>
      </c>
      <c r="CC36" s="40">
        <v>0</v>
      </c>
      <c r="CD3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</v>
      </c>
    </row>
    <row r="37" spans="1:82" s="258" customFormat="1" ht="13.5" customHeight="1" x14ac:dyDescent="0.25">
      <c r="A37" s="311"/>
      <c r="B37" s="1" t="s">
        <v>30</v>
      </c>
      <c r="C37" s="2" t="e">
        <f>_xlfn.XLOOKUP(Tableau5617192223242425262827293031333432353620383961719241822254140424344104746[[#This Row],[Num Projets]],#REF!,#REF!,FALSE)</f>
        <v>#REF!</v>
      </c>
      <c r="D37" s="3" t="s">
        <v>1</v>
      </c>
      <c r="E37" s="3" t="e">
        <f>_xlfn.XLOOKUP(Tableau5617192223242425262827293031333432353620383961719241822254140424344104746[[#This Row],[Num Projets]],#REF!,#REF!,FALSE)</f>
        <v>#REF!</v>
      </c>
      <c r="F37" s="3" t="e">
        <f>_xlfn.XLOOKUP(Tableau5617192223242425262827293031333432353620383961719241822254140424344104746[[#This Row],[Num Projets]],#REF!,#REF!,"newavr",0)</f>
        <v>#REF!</v>
      </c>
      <c r="G37" s="3" t="s">
        <v>2</v>
      </c>
      <c r="H37" s="3" t="s">
        <v>81</v>
      </c>
      <c r="I3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7" s="4" t="e">
        <f>VLOOKUP(Tableau5617192223242425262827293031333432353620383961719241822254140424344104746[[#This Row],[Num Projets]],#REF!,36,FALSE)</f>
        <v>#REF!</v>
      </c>
      <c r="K37" s="5" t="s">
        <v>4</v>
      </c>
      <c r="L3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7" s="3" t="e">
        <f>SUBSTITUTE(_xlfn.XLOOKUP(Tableau5617192223242425262827293031333432353620383961719241822254140424344104746[[#This Row],[Num Projets]],#REF!,#REF!,FALSE)," ","")</f>
        <v>#REF!</v>
      </c>
      <c r="N37" s="7" t="e">
        <f>VLOOKUP(H37,#REF!,7,FALSE)</f>
        <v>#REF!</v>
      </c>
      <c r="O37" s="7" t="e">
        <f>IF(VLOOKUP(H37,#REF!,27,FALSE)=0,"",VLOOKUP(H37,#REF!,27,FALSE))</f>
        <v>#REF!</v>
      </c>
      <c r="P37" s="8" t="e">
        <f>VLOOKUP(H37,#REF!,2,FALSE)</f>
        <v>#REF!</v>
      </c>
      <c r="Q37" s="9" t="e">
        <f>Tableau5617192223242425262827293031333432353620383961719241822254140424344104746[[#This Row],[Total Budget
€]]-IFERROR(VLOOKUP(H37,#REF!,8,FALSE),0)</f>
        <v>#REF!</v>
      </c>
      <c r="R37" s="15">
        <f>AD37+AI37+Tableau5617192223242425262827293031333432353620383961719241822254140424344104746[[#This Row],[Int Commandé OT
€]]+AX37</f>
        <v>0</v>
      </c>
      <c r="S37" s="15">
        <f>AD37+AJ37+Tableau5617192223242425262827293031333432353620383961719241822254140424344104746[[#This Row],[Int Réalisé OT
€]]+AX37</f>
        <v>4320</v>
      </c>
      <c r="T37" s="47" t="e">
        <f t="shared" si="2"/>
        <v>#REF!</v>
      </c>
      <c r="U3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7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7" s="12">
        <f>IFERROR(VLOOKUP(H37,#REF!,2,FALSE),0)</f>
        <v>0</v>
      </c>
      <c r="X37" s="13">
        <f>IFERROR(VLOOKUP(H37,#REF!,2,FALSE),0)</f>
        <v>0</v>
      </c>
      <c r="Y37" s="13">
        <f>IFERROR(VLOOKUP(H37,#REF!,3,FALSE),0)</f>
        <v>0</v>
      </c>
      <c r="Z3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28.5</v>
      </c>
      <c r="AA37" s="13">
        <f>IFERROR(VLOOKUP(H37,#REF!,18,FALSE),0)</f>
        <v>0</v>
      </c>
      <c r="AB37" s="13">
        <f>SUM(X37:Y37)-IFERROR(VLOOKUP(H37,#REF!,16,FALSE),0)-IFERROR(VLOOKUP(H37,#REF!,17,FALSE),0)</f>
        <v>0</v>
      </c>
      <c r="AC37" s="15" t="e">
        <f>VLOOKUP(Tableau5617192223242425262827293031333432353620383961719241822254140424344104746[[#This Row],[Num Projets]],#REF!,2,FALSE)</f>
        <v>#REF!</v>
      </c>
      <c r="AD37" s="10">
        <f>IFERROR(VLOOKUP(Tableau5617192223242425262827293031333432353620383961719241822254140424344104746[[#This Row],[Num Projets]],#REF!,2,FALSE),0)</f>
        <v>0</v>
      </c>
      <c r="AE37" s="8">
        <f t="shared" si="3"/>
        <v>1362.3</v>
      </c>
      <c r="AF37" s="47" t="e">
        <f t="shared" si="4"/>
        <v>#REF!</v>
      </c>
      <c r="AG37" s="41">
        <f>IFERROR(VLOOKUP(H37,#REF!,3,FALSE),0)+IFERROR(VLOOKUP(H37,#REF!,3,FALSE),0)</f>
        <v>0</v>
      </c>
      <c r="AH37" s="8">
        <f>IFERROR(VLOOKUP(Tableau5617192223242425262827293031333432353620383961719241822254140424344104746[[#This Row],[Num Projets]],#REF!,2,FALSE),0)</f>
        <v>0</v>
      </c>
      <c r="AI37" s="17">
        <f>+IFERROR(VLOOKUP(H37,#REF!,2,FALSE),0)-Tableau5617192223242425262827293031333432353620383961719241822254140424344104746[[#This Row],[Int Commandé OT
€]]</f>
        <v>0</v>
      </c>
      <c r="AJ37" s="8">
        <f>IFERROR(VLOOKUP(H37,#REF!,11,FALSE),0)-IFERROR(VLOOKUP(H37,#REF!,10,FALSE),0)+Tableau5617192223242425262827293031333432353620383961719241822254140424344104746[[#This Row],[dont FNP à date (€ HT)]]</f>
        <v>0</v>
      </c>
      <c r="AK37" s="15">
        <f t="shared" si="14"/>
        <v>0</v>
      </c>
      <c r="AL3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7" s="19">
        <f>IF(Tableau5617192223242425262827293031333432353620383961719241822254140424344104746[[#This Row],[RAF Achats M-1
€]]=0,0,AN37-AO37)</f>
        <v>0</v>
      </c>
      <c r="AN37" s="8">
        <f>IFERROR(VLOOKUP(H37,#REF!,31,FALSE),0)</f>
        <v>0</v>
      </c>
      <c r="AO37" s="8">
        <f>AI37+-IFERROR(VLOOKUP(H37,#REF!,27,FALSE),0)</f>
        <v>0</v>
      </c>
      <c r="AP37" s="20">
        <f>IFERROR(VLOOKUP(Tableau5617192223242425262827293031333432353620383961719241822254140424344104746[[#This Row],[Num Projets]],#REF!,2,FALSE),0)</f>
        <v>0</v>
      </c>
      <c r="AQ37" s="20">
        <f>_xlfn.XLOOKUP(H37,[2]Synth!$N:$N,[2]Synth!$O:$O,0,FALSE)+_xlfn.XLOOKUP(Tableau5617192223242425262827293031333432353620383961719241822254140424344104746[[#This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4320</v>
      </c>
      <c r="AR37" s="21">
        <v>0</v>
      </c>
      <c r="AS37" s="20">
        <f>+IFERROR(VLOOKUP(H37,#REF!,36,FALSE),0)</f>
        <v>0</v>
      </c>
      <c r="AT3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7" s="22">
        <f>IF(AG37=0,0,1-((AI37+AM37+Tableau5617192223242425262827293031333432353620383961719241822254140424344104746[[#This Row],[Int Commandé OT
€]]+Tableau5617192223242425262827293031333432353620383961719241822254140424344104746[[#This Row],[RAF Int OT
€]])/AG37))</f>
        <v>0</v>
      </c>
      <c r="AV37" s="8">
        <f>IFERROR(VLOOKUP(H37,#REF!,4,FALSE),0)+IFERROR(VLOOKUP(H37,#REF!,4,FALSE),0)</f>
        <v>0</v>
      </c>
      <c r="AW37" s="8">
        <f>IFERROR(VLOOKUP(Tableau5617192223242425262827293031333432353620383961719241822254140424344104746[[#This Row],[Num Projets]],#REF!,3,FALSE),0)</f>
        <v>0</v>
      </c>
      <c r="AX37" s="20">
        <f>IFERROR(VLOOKUP(Tableau5617192223242425262827293031333432353620383961719241822254140424344104746[[#This Row],[Num Projets]],#REF!,10,FALSE),0)</f>
        <v>0</v>
      </c>
      <c r="AY37" s="23">
        <f>Tableau5617192223242425262827293031333432353620383961719241822254140424344104746[[#This Row],[Budget Mission
 €]]/1.2-AX37</f>
        <v>0</v>
      </c>
      <c r="AZ37" s="8">
        <f>IFERROR(VLOOKUP(H37,#REF!,43,FALSE),0)</f>
        <v>0</v>
      </c>
      <c r="BA37" s="8">
        <f>AX37-IFERROR(VLOOKUP(H37,#REF!,42,FALSE),0)</f>
        <v>0</v>
      </c>
      <c r="BB37" s="47">
        <f t="shared" si="17"/>
        <v>0</v>
      </c>
      <c r="BC37" s="24">
        <f>IFERROR(VLOOKUP(H37,#REF!,47,FALSE),IFERROR(VLOOKUP(H37,#REF!,5,FALSE),0)+IFERROR(VLOOKUP(H37,#REF!,5,FALSE),0))</f>
        <v>0</v>
      </c>
      <c r="BD37" s="25">
        <f>IFERROR(VLOOKUP(H37,#REF!,2,FALSE),0)</f>
        <v>0</v>
      </c>
      <c r="BE37" s="25">
        <f>IFERROR(VLOOKUP(H37,#REF!,49,FALSE),0)</f>
        <v>0</v>
      </c>
      <c r="BF37" s="26" t="e">
        <f t="shared" si="5"/>
        <v>#REF!</v>
      </c>
      <c r="BG37" s="26">
        <f t="shared" si="6"/>
        <v>4320</v>
      </c>
      <c r="BH37" s="27">
        <f>AE37+ (AI37-AJ37+AM37+Tableau5617192223242425262827293031333432353620383961719241822254140424344104746[[#This Row],[Int Commandé OT
€]]-Tableau5617192223242425262827293031333432353620383961719241822254140424344104746[[#This Row],[Int Réalisé OT
€]]+AR37) +AY37+BC37</f>
        <v>-2957.7</v>
      </c>
      <c r="BI37" s="16">
        <f t="shared" si="16"/>
        <v>3.1711076855318208</v>
      </c>
      <c r="BJ37" s="16" t="e">
        <f t="shared" si="8"/>
        <v>#REF!</v>
      </c>
      <c r="BK37" s="27" t="e">
        <f t="shared" si="9"/>
        <v>#REF!</v>
      </c>
      <c r="BL37" s="26" t="e">
        <f t="shared" si="10"/>
        <v>#REF!</v>
      </c>
      <c r="BM37" s="28">
        <f>IFERROR(VLOOKUP(H37,'[1]2023dec'!H:CA,54,FALSE),105)</f>
        <v>105</v>
      </c>
      <c r="BN37" s="29">
        <v>1</v>
      </c>
      <c r="BO37" s="30" t="e">
        <f>P37-AC37-AG37-AV37-Tableau5617192223242425262827293031333432353620383961719241822254140424344104746[[#This Row],[Provisions pour risques]]</f>
        <v>#REF!</v>
      </c>
      <c r="BP3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1362.3000000000002</v>
      </c>
      <c r="BQ3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3.1711076855318208</v>
      </c>
      <c r="BR37" s="33" t="e">
        <f t="shared" si="18"/>
        <v>#REF!</v>
      </c>
      <c r="BS37" s="34">
        <f>Tableau5617192223242425262827293031333432353620383961719241822254140424344104746[[#This Row],[Consommé global Enregistré à date (€ HT)]]-IFERROR(VLOOKUP(H37,#REF!,50,FALSE),0)</f>
        <v>4320</v>
      </c>
      <c r="BT37" s="35" t="e">
        <f t="shared" si="19"/>
        <v>#REF!</v>
      </c>
      <c r="BU37" s="36">
        <f>BD37-IFERROR(VLOOKUP(H37,#REF!,47,FALSE),0)</f>
        <v>0</v>
      </c>
      <c r="BV37" s="37" t="e">
        <f>+BF37+Tableau5617192223242425262827293031333432353620383961719241822254140424344104746[[#This Row],[CA fin N-1]]-IFERROR(VLOOKUP(H37,#REF!,49,FALSE),0)-IFERROR(VLOOKUP(H37,#REF!,50,FALSE),0)</f>
        <v>#REF!</v>
      </c>
      <c r="BW37" s="33">
        <f>BG37-IFERROR(VLOOKUP(H37,#REF!,51,FALSE),0)</f>
        <v>4320</v>
      </c>
      <c r="BX37" s="35" t="e">
        <f t="shared" si="20"/>
        <v>#REF!</v>
      </c>
      <c r="BY37" s="36">
        <f>BD37-IFERROR(VLOOKUP(H37,#REF!,48,FALSE),0)</f>
        <v>0</v>
      </c>
      <c r="BZ3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7" s="39" t="e">
        <f>VLOOKUP(Tableau5617192223242425262827293031333432353620383961719241822254140424344104746[[#This Row],[Num Projets]],#REF!,1,FALSE)</f>
        <v>#REF!</v>
      </c>
      <c r="CB37" s="40">
        <v>28.5</v>
      </c>
      <c r="CC37" s="40">
        <v>0</v>
      </c>
      <c r="CD3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-28.5</v>
      </c>
    </row>
    <row r="38" spans="1:82" s="258" customFormat="1" ht="13.5" customHeight="1" x14ac:dyDescent="0.25">
      <c r="A38" s="311" t="s">
        <v>82</v>
      </c>
      <c r="B38" s="1" t="s">
        <v>30</v>
      </c>
      <c r="C38" s="2" t="e">
        <f>_xlfn.XLOOKUP(Tableau5617192223242425262827293031333432353620383961719241822254140424344104746[[#This Row],[Num Projets]],#REF!,#REF!,FALSE)</f>
        <v>#REF!</v>
      </c>
      <c r="D38" s="3" t="s">
        <v>40</v>
      </c>
      <c r="E38" s="3" t="e">
        <f>_xlfn.XLOOKUP(Tableau5617192223242425262827293031333432353620383961719241822254140424344104746[[#This Row],[Num Projets]],#REF!,#REF!,FALSE)</f>
        <v>#REF!</v>
      </c>
      <c r="F38" s="3" t="e">
        <f>_xlfn.XLOOKUP(Tableau5617192223242425262827293031333432353620383961719241822254140424344104746[[#This Row],[Num Projets]],#REF!,#REF!,"newavr",0)</f>
        <v>#REF!</v>
      </c>
      <c r="G38" s="3" t="s">
        <v>53</v>
      </c>
      <c r="H38" s="3" t="s">
        <v>83</v>
      </c>
      <c r="I3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8" s="4" t="e">
        <f>VLOOKUP(Tableau5617192223242425262827293031333432353620383961719241822254140424344104746[[#This Row],[Num Projets]],#REF!,36,FALSE)</f>
        <v>#REF!</v>
      </c>
      <c r="K38" s="5" t="s">
        <v>55</v>
      </c>
      <c r="L3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8" s="3" t="e">
        <f>SUBSTITUTE(_xlfn.XLOOKUP(Tableau5617192223242425262827293031333432353620383961719241822254140424344104746[[#This Row],[Num Projets]],#REF!,#REF!,FALSE)," ","")</f>
        <v>#REF!</v>
      </c>
      <c r="N38" s="7" t="e">
        <f>VLOOKUP(H38,#REF!,7,FALSE)</f>
        <v>#REF!</v>
      </c>
      <c r="O38" s="93"/>
      <c r="P38" s="8" t="e">
        <f>VLOOKUP(H38,#REF!,2,FALSE)</f>
        <v>#REF!</v>
      </c>
      <c r="Q38" s="9" t="e">
        <f>Tableau5617192223242425262827293031333432353620383961719241822254140424344104746[[#This Row],[Total Budget
€]]-IFERROR(VLOOKUP(H38,#REF!,8,FALSE),0)</f>
        <v>#REF!</v>
      </c>
      <c r="R38" s="15">
        <f>AD38+AI38+Tableau5617192223242425262827293031333432353620383961719241822254140424344104746[[#This Row],[Int Commandé OT
€]]+AX38</f>
        <v>0</v>
      </c>
      <c r="S38" s="15">
        <f>AD38+AJ38+Tableau5617192223242425262827293031333432353620383961719241822254140424344104746[[#This Row],[Int Réalisé OT
€]]+AX38</f>
        <v>0</v>
      </c>
      <c r="T38" s="47" t="e">
        <f t="shared" si="2"/>
        <v>#REF!</v>
      </c>
      <c r="U3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8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8" s="12">
        <f>IFERROR(VLOOKUP(H38,#REF!,2,FALSE),0)</f>
        <v>0</v>
      </c>
      <c r="X38" s="13">
        <f>IFERROR(VLOOKUP(H38,#REF!,2,FALSE),0)</f>
        <v>0</v>
      </c>
      <c r="Y38" s="13">
        <f>IFERROR(VLOOKUP(H38,#REF!,3,FALSE),0)</f>
        <v>0</v>
      </c>
      <c r="Z3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38" s="13">
        <f>IFERROR(VLOOKUP(H38,#REF!,18,FALSE),0)</f>
        <v>0</v>
      </c>
      <c r="AB38" s="13">
        <f>SUM(X38:Y38)-IFERROR(VLOOKUP(H38,#REF!,16,FALSE),0)-IFERROR(VLOOKUP(H38,#REF!,17,FALSE),0)</f>
        <v>0</v>
      </c>
      <c r="AC38" s="15" t="e">
        <f>VLOOKUP(Tableau5617192223242425262827293031333432353620383961719241822254140424344104746[[#This Row],[Num Projets]],#REF!,2,FALSE)</f>
        <v>#REF!</v>
      </c>
      <c r="AD38" s="10">
        <f>IFERROR(VLOOKUP(Tableau5617192223242425262827293031333432353620383961719241822254140424344104746[[#This Row],[Num Projets]],#REF!,2,FALSE),0)</f>
        <v>0</v>
      </c>
      <c r="AE38" s="8">
        <f t="shared" si="3"/>
        <v>0</v>
      </c>
      <c r="AF38" s="47" t="e">
        <f t="shared" si="4"/>
        <v>#REF!</v>
      </c>
      <c r="AG38" s="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38" s="8">
        <f>IFERROR(VLOOKUP(Tableau5617192223242425262827293031333432353620383961719241822254140424344104746[[#This Row],[Num Projets]],#REF!,2,FALSE),0)</f>
        <v>0</v>
      </c>
      <c r="AI38" s="17">
        <f>+IFERROR(VLOOKUP(H38,#REF!,2,FALSE),0)-Tableau5617192223242425262827293031333432353620383961719241822254140424344104746[[#This Row],[Int Commandé OT
€]]</f>
        <v>0</v>
      </c>
      <c r="AJ38" s="8">
        <f>IFERROR(VLOOKUP(H38,#REF!,11,FALSE),0)-IFERROR(VLOOKUP(H38,#REF!,10,FALSE),0)+Tableau5617192223242425262827293031333432353620383961719241822254140424344104746[[#This Row],[dont FNP à date (€ HT)]]</f>
        <v>0</v>
      </c>
      <c r="AK38" s="15">
        <f t="shared" si="14"/>
        <v>0</v>
      </c>
      <c r="AL3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8" s="19">
        <f>IF(Tableau5617192223242425262827293031333432353620383961719241822254140424344104746[[#This Row],[RAF Achats M-1
€]]=0,0,AN38-AO38)</f>
        <v>0</v>
      </c>
      <c r="AN38" s="8">
        <f>IFERROR(VLOOKUP(H38,#REF!,31,FALSE),0)</f>
        <v>0</v>
      </c>
      <c r="AO38" s="8">
        <f>AI38+-IFERROR(VLOOKUP(H38,#REF!,27,FALSE),0)</f>
        <v>0</v>
      </c>
      <c r="AP38" s="20">
        <f>IFERROR(VLOOKUP(Tableau5617192223242425262827293031333432353620383961719241822254140424344104746[[#This Row],[Num Projets]],#REF!,2,FALSE),0)</f>
        <v>0</v>
      </c>
      <c r="AQ38" s="20">
        <f>_xlfn.XLOOKUP(H38,[2]Synth!$N:$N,[2]Synth!$O:$O,0,FALSE)+_xlfn.XLOOKUP(Tableau5617192223242425262827293031333432353620383961719241822254140424344104746[[#This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8" s="21">
        <v>0</v>
      </c>
      <c r="AS38" s="20">
        <f>+IFERROR(VLOOKUP(H38,#REF!,36,FALSE),0)</f>
        <v>0</v>
      </c>
      <c r="AT3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8" s="22" t="e">
        <f>IF(AG38=0,0,1-((AI38+AM38+Tableau5617192223242425262827293031333432353620383961719241822254140424344104746[[#This Row],[Int Commandé OT
€]]+Tableau5617192223242425262827293031333432353620383961719241822254140424344104746[[#This Row],[RAF Int OT
€]])/AG38))</f>
        <v>#REF!</v>
      </c>
      <c r="AV38" s="8">
        <f>IFERROR(VLOOKUP(H38,#REF!,4,FALSE),0)+IFERROR(VLOOKUP(H38,#REF!,4,FALSE),0)</f>
        <v>0</v>
      </c>
      <c r="AW38" s="8">
        <f>IFERROR(VLOOKUP(Tableau5617192223242425262827293031333432353620383961719241822254140424344104746[[#This Row],[Num Projets]],#REF!,3,FALSE),0)</f>
        <v>0</v>
      </c>
      <c r="AX38" s="20">
        <f>IFERROR(VLOOKUP(Tableau5617192223242425262827293031333432353620383961719241822254140424344104746[[#This Row],[Num Projets]],#REF!,10,FALSE),0)</f>
        <v>0</v>
      </c>
      <c r="AY38" s="23">
        <f>Tableau5617192223242425262827293031333432353620383961719241822254140424344104746[[#This Row],[Budget Mission
 €]]/1.2-AX38</f>
        <v>0</v>
      </c>
      <c r="AZ38" s="8">
        <f>IFERROR(VLOOKUP(H38,#REF!,43,FALSE),0)</f>
        <v>0</v>
      </c>
      <c r="BA38" s="8">
        <f>AX38-IFERROR(VLOOKUP(H38,#REF!,42,FALSE),0)</f>
        <v>0</v>
      </c>
      <c r="BB38" s="47">
        <f t="shared" si="17"/>
        <v>0</v>
      </c>
      <c r="BC38" s="24">
        <f>IFERROR(VLOOKUP(H38,#REF!,47,FALSE),IFERROR(VLOOKUP(H38,#REF!,5,FALSE),0)+IFERROR(VLOOKUP(H38,#REF!,5,FALSE),0))</f>
        <v>0</v>
      </c>
      <c r="BD38" s="25">
        <f>IFERROR(VLOOKUP(H38,#REF!,2,FALSE),0)</f>
        <v>0</v>
      </c>
      <c r="BE38" s="25">
        <f>IFERROR(VLOOKUP(H38,#REF!,49,FALSE),0)</f>
        <v>0</v>
      </c>
      <c r="BF38" s="26" t="e">
        <f t="shared" si="5"/>
        <v>#REF!</v>
      </c>
      <c r="BG38" s="26">
        <f t="shared" si="6"/>
        <v>0</v>
      </c>
      <c r="BH38" s="27">
        <f>AE38+ (AI38-AJ38+AM38+Tableau5617192223242425262827293031333432353620383961719241822254140424344104746[[#This Row],[Int Commandé OT
€]]-Tableau5617192223242425262827293031333432353620383961719241822254140424344104746[[#This Row],[Int Réalisé OT
€]]+AR38) +AY38+BC38</f>
        <v>0</v>
      </c>
      <c r="BI38" s="16">
        <f t="shared" si="16"/>
        <v>1</v>
      </c>
      <c r="BJ38" s="16" t="e">
        <f t="shared" si="8"/>
        <v>#REF!</v>
      </c>
      <c r="BK38" s="27" t="e">
        <f t="shared" si="9"/>
        <v>#REF!</v>
      </c>
      <c r="BL38" s="26" t="e">
        <f t="shared" si="10"/>
        <v>#REF!</v>
      </c>
      <c r="BM38" s="28">
        <f>IFERROR(VLOOKUP(H38,'[1]2023dec'!H:CA,54,FALSE),105)</f>
        <v>105</v>
      </c>
      <c r="BN38" s="29">
        <v>1</v>
      </c>
      <c r="BO38" s="30" t="e">
        <f>P38-AC38-AG38-AV38-Tableau5617192223242425262827293031333432353620383961719241822254140424344104746[[#This Row],[Provisions pour risques]]</f>
        <v>#REF!</v>
      </c>
      <c r="BP3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3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38" s="33" t="e">
        <f t="shared" si="18"/>
        <v>#REF!</v>
      </c>
      <c r="BS38" s="34">
        <f>Tableau5617192223242425262827293031333432353620383961719241822254140424344104746[[#This Row],[Consommé global Enregistré à date (€ HT)]]-IFERROR(VLOOKUP(H38,#REF!,50,FALSE),0)</f>
        <v>0</v>
      </c>
      <c r="BT38" s="35" t="e">
        <f t="shared" si="19"/>
        <v>#REF!</v>
      </c>
      <c r="BU38" s="36">
        <f>BD38-IFERROR(VLOOKUP(H38,#REF!,47,FALSE),0)</f>
        <v>0</v>
      </c>
      <c r="BV38" s="37" t="e">
        <f>+BF38+Tableau5617192223242425262827293031333432353620383961719241822254140424344104746[[#This Row],[CA fin N-1]]-IFERROR(VLOOKUP(H38,#REF!,49,FALSE),0)-IFERROR(VLOOKUP(H38,#REF!,50,FALSE),0)</f>
        <v>#REF!</v>
      </c>
      <c r="BW38" s="33">
        <f>BG38-IFERROR(VLOOKUP(H38,#REF!,51,FALSE),0)</f>
        <v>0</v>
      </c>
      <c r="BX38" s="35" t="e">
        <f t="shared" si="20"/>
        <v>#REF!</v>
      </c>
      <c r="BY38" s="36">
        <f>BD38-IFERROR(VLOOKUP(H38,#REF!,48,FALSE),0)</f>
        <v>0</v>
      </c>
      <c r="BZ3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8" s="39" t="e">
        <f>VLOOKUP(Tableau5617192223242425262827293031333432353620383961719241822254140424344104746[[#This Row],[Num Projets]],#REF!,1,FALSE)</f>
        <v>#REF!</v>
      </c>
      <c r="CB38" s="40">
        <v>0</v>
      </c>
      <c r="CC38" s="40">
        <v>0</v>
      </c>
      <c r="CD3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39" spans="1:82" s="258" customFormat="1" ht="13.5" customHeight="1" x14ac:dyDescent="0.25">
      <c r="A39" s="311" t="s">
        <v>84</v>
      </c>
      <c r="B39" s="1"/>
      <c r="C39" s="2" t="e">
        <f>_xlfn.XLOOKUP(Tableau5617192223242425262827293031333432353620383961719241822254140424344104746[[#This Row],[Num Projets]],#REF!,#REF!,FALSE)</f>
        <v>#REF!</v>
      </c>
      <c r="D39" s="3" t="s">
        <v>6</v>
      </c>
      <c r="E39" s="3" t="e">
        <f>_xlfn.XLOOKUP(Tableau5617192223242425262827293031333432353620383961719241822254140424344104746[[#This Row],[Num Projets]],#REF!,#REF!,FALSE)</f>
        <v>#REF!</v>
      </c>
      <c r="F39" s="3" t="e">
        <f>_xlfn.XLOOKUP(Tableau5617192223242425262827293031333432353620383961719241822254140424344104746[[#This Row],[Num Projets]],#REF!,#REF!,"newavr",0)</f>
        <v>#REF!</v>
      </c>
      <c r="G39" s="3" t="s">
        <v>85</v>
      </c>
      <c r="H39" s="3" t="s">
        <v>86</v>
      </c>
      <c r="I3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39" s="4" t="e">
        <f>VLOOKUP(Tableau5617192223242425262827293031333432353620383961719241822254140424344104746[[#This Row],[Num Projets]],#REF!,36,FALSE)</f>
        <v>#REF!</v>
      </c>
      <c r="K39" s="5" t="s">
        <v>9</v>
      </c>
      <c r="L3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39" s="3" t="e">
        <f>SUBSTITUTE(_xlfn.XLOOKUP(Tableau5617192223242425262827293031333432353620383961719241822254140424344104746[[#This Row],[Num Projets]],#REF!,#REF!,FALSE)," ","")</f>
        <v>#REF!</v>
      </c>
      <c r="N39" s="7" t="e">
        <f>VLOOKUP(H39,#REF!,7,FALSE)</f>
        <v>#REF!</v>
      </c>
      <c r="O39" s="7" t="e">
        <f>IF(VLOOKUP(H39,#REF!,27,FALSE)=0,"",VLOOKUP(H39,#REF!,27,FALSE))</f>
        <v>#REF!</v>
      </c>
      <c r="P39" s="8" t="e">
        <f>VLOOKUP(H39,#REF!,2,FALSE)</f>
        <v>#REF!</v>
      </c>
      <c r="Q39" s="9" t="e">
        <f>Tableau5617192223242425262827293031333432353620383961719241822254140424344104746[[#This Row],[Total Budget
€]]-IFERROR(VLOOKUP(H39,#REF!,8,FALSE),0)</f>
        <v>#REF!</v>
      </c>
      <c r="R39" s="15">
        <f>AD39+AI39+Tableau5617192223242425262827293031333432353620383961719241822254140424344104746[[#This Row],[Int Commandé OT
€]]+AX39</f>
        <v>0</v>
      </c>
      <c r="S39" s="15">
        <f>AD39+AJ39+Tableau5617192223242425262827293031333432353620383961719241822254140424344104746[[#This Row],[Int Réalisé OT
€]]+AX39</f>
        <v>0</v>
      </c>
      <c r="T39" s="47" t="e">
        <f t="shared" si="2"/>
        <v>#REF!</v>
      </c>
      <c r="U3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39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39" s="12">
        <f>IFERROR(VLOOKUP(H39,#REF!,2,FALSE),0)</f>
        <v>0</v>
      </c>
      <c r="X39" s="13">
        <f>IFERROR(VLOOKUP(H39,#REF!,2,FALSE),0)</f>
        <v>0</v>
      </c>
      <c r="Y39" s="13">
        <f>IFERROR(VLOOKUP(H39,#REF!,3,FALSE),0)</f>
        <v>0</v>
      </c>
      <c r="Z3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75</v>
      </c>
      <c r="AA39" s="13">
        <f>IFERROR(VLOOKUP(H39,#REF!,18,FALSE),0)</f>
        <v>0</v>
      </c>
      <c r="AB39" s="13">
        <f>SUM(X39:Y39)-IFERROR(VLOOKUP(H39,#REF!,16,FALSE),0)-IFERROR(VLOOKUP(H39,#REF!,17,FALSE),0)</f>
        <v>0</v>
      </c>
      <c r="AC39" s="15" t="e">
        <f>VLOOKUP(Tableau5617192223242425262827293031333432353620383961719241822254140424344104746[[#This Row],[Num Projets]],#REF!,2,FALSE)</f>
        <v>#REF!</v>
      </c>
      <c r="AD39" s="10">
        <f>IFERROR(VLOOKUP(Tableau5617192223242425262827293031333432353620383961719241822254140424344104746[[#This Row],[Num Projets]],#REF!,2,FALSE),0)</f>
        <v>0</v>
      </c>
      <c r="AE39" s="8">
        <f t="shared" si="3"/>
        <v>3585</v>
      </c>
      <c r="AF39" s="47" t="e">
        <f t="shared" si="4"/>
        <v>#REF!</v>
      </c>
      <c r="AG39" s="8">
        <f>IFERROR(VLOOKUP(H39,#REF!,3,FALSE),0)+IFERROR(VLOOKUP(H39,#REF!,3,FALSE),0)</f>
        <v>0</v>
      </c>
      <c r="AH39" s="8">
        <f>IFERROR(VLOOKUP(Tableau5617192223242425262827293031333432353620383961719241822254140424344104746[[#This Row],[Num Projets]],#REF!,2,FALSE),0)</f>
        <v>0</v>
      </c>
      <c r="AI39" s="17">
        <f>+IFERROR(VLOOKUP(H39,#REF!,2,FALSE),0)-Tableau5617192223242425262827293031333432353620383961719241822254140424344104746[[#This Row],[Int Commandé OT
€]]</f>
        <v>0</v>
      </c>
      <c r="AJ39" s="8">
        <f>IFERROR(VLOOKUP(H39,#REF!,11,FALSE),0)-IFERROR(VLOOKUP(H39,#REF!,10,FALSE),0)+Tableau5617192223242425262827293031333432353620383961719241822254140424344104746[[#This Row],[dont FNP à date (€ HT)]]</f>
        <v>0</v>
      </c>
      <c r="AK39" s="15">
        <f t="shared" si="14"/>
        <v>0</v>
      </c>
      <c r="AL3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39" s="19">
        <f>IF(Tableau5617192223242425262827293031333432353620383961719241822254140424344104746[[#This Row],[RAF Achats M-1
€]]=0,0,AN39-AO39)</f>
        <v>0</v>
      </c>
      <c r="AN39" s="8">
        <f>IFERROR(VLOOKUP(H39,#REF!,31,FALSE),0)</f>
        <v>0</v>
      </c>
      <c r="AO39" s="8">
        <f>AI39+-IFERROR(VLOOKUP(H39,#REF!,27,FALSE),0)</f>
        <v>0</v>
      </c>
      <c r="AP39" s="20">
        <f>IFERROR(VLOOKUP(Tableau5617192223242425262827293031333432353620383961719241822254140424344104746[[#This Row],[Num Projets]],#REF!,2,FALSE),0)</f>
        <v>0</v>
      </c>
      <c r="AQ39" s="20">
        <f>_xlfn.XLOOKUP(H39,[2]Synth!$N:$N,[2]Synth!$O:$O,0,FALSE)+_xlfn.XLOOKUP(Tableau5617192223242425262827293031333432353620383961719241822254140424344104746[[#This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39" s="21">
        <v>0</v>
      </c>
      <c r="AS39" s="20">
        <f>+IFERROR(VLOOKUP(H39,#REF!,36,FALSE),0)</f>
        <v>0</v>
      </c>
      <c r="AT3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39" s="22">
        <f>IF(AG39=0,0,1-((AI39+AM39+Tableau5617192223242425262827293031333432353620383961719241822254140424344104746[[#This Row],[Int Commandé OT
€]]+Tableau5617192223242425262827293031333432353620383961719241822254140424344104746[[#This Row],[RAF Int OT
€]])/AG39))</f>
        <v>0</v>
      </c>
      <c r="AV39" s="8">
        <f>IFERROR(VLOOKUP(H39,#REF!,4,FALSE),0)+IFERROR(VLOOKUP(H39,#REF!,4,FALSE),0)</f>
        <v>0</v>
      </c>
      <c r="AW39" s="8">
        <f>IFERROR(VLOOKUP(Tableau5617192223242425262827293031333432353620383961719241822254140424344104746[[#This Row],[Num Projets]],#REF!,3,FALSE),0)</f>
        <v>0</v>
      </c>
      <c r="AX39" s="20">
        <f>IFERROR(VLOOKUP(Tableau5617192223242425262827293031333432353620383961719241822254140424344104746[[#This Row],[Num Projets]],#REF!,10,FALSE),0)</f>
        <v>0</v>
      </c>
      <c r="AY39" s="23">
        <f>Tableau5617192223242425262827293031333432353620383961719241822254140424344104746[[#This Row],[Budget Mission
 €]]/1.2-AX39</f>
        <v>0</v>
      </c>
      <c r="AZ39" s="8">
        <f>IFERROR(VLOOKUP(H39,#REF!,43,FALSE),0)</f>
        <v>0</v>
      </c>
      <c r="BA39" s="8">
        <f>AX39-IFERROR(VLOOKUP(H39,#REF!,42,FALSE),0)</f>
        <v>0</v>
      </c>
      <c r="BB39" s="47">
        <f t="shared" si="17"/>
        <v>0</v>
      </c>
      <c r="BC39" s="24">
        <f>IFERROR(VLOOKUP(H39,#REF!,47,FALSE),IFERROR(VLOOKUP(H39,#REF!,5,FALSE),0)+IFERROR(VLOOKUP(H39,#REF!,5,FALSE),0))</f>
        <v>0</v>
      </c>
      <c r="BD39" s="25">
        <f>IFERROR(VLOOKUP(H39,#REF!,2,FALSE),0)</f>
        <v>0</v>
      </c>
      <c r="BE39" s="25">
        <f>IFERROR(VLOOKUP(H39,#REF!,49,FALSE),0)</f>
        <v>0</v>
      </c>
      <c r="BF39" s="26" t="e">
        <f t="shared" si="5"/>
        <v>#REF!</v>
      </c>
      <c r="BG39" s="26">
        <f t="shared" si="6"/>
        <v>0</v>
      </c>
      <c r="BH39" s="27">
        <f>AE39+ (AI39-AJ39+AM39+Tableau5617192223242425262827293031333432353620383961719241822254140424344104746[[#This Row],[Int Commandé OT
€]]-Tableau5617192223242425262827293031333432353620383961719241822254140424344104746[[#This Row],[Int Réalisé OT
€]]+AR39) +AY39+BC39</f>
        <v>3585</v>
      </c>
      <c r="BI39" s="16">
        <f t="shared" si="16"/>
        <v>0</v>
      </c>
      <c r="BJ39" s="16" t="e">
        <f t="shared" si="8"/>
        <v>#REF!</v>
      </c>
      <c r="BK39" s="27" t="e">
        <f t="shared" si="9"/>
        <v>#REF!</v>
      </c>
      <c r="BL39" s="26" t="e">
        <f t="shared" si="10"/>
        <v>#REF!</v>
      </c>
      <c r="BM39" s="28">
        <v>43</v>
      </c>
      <c r="BN39" s="29">
        <v>1</v>
      </c>
      <c r="BO39" s="30" t="e">
        <f>P39-AC39-AG39-AV39-Tableau5617192223242425262827293031333432353620383961719241822254140424344104746[[#This Row],[Provisions pour risques]]</f>
        <v>#REF!</v>
      </c>
      <c r="BP3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3585</v>
      </c>
      <c r="BQ3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39" s="33" t="e">
        <f t="shared" si="18"/>
        <v>#REF!</v>
      </c>
      <c r="BS39" s="34">
        <f>Tableau5617192223242425262827293031333432353620383961719241822254140424344104746[[#This Row],[Consommé global Enregistré à date (€ HT)]]-IFERROR(VLOOKUP(H39,#REF!,50,FALSE),0)</f>
        <v>0</v>
      </c>
      <c r="BT39" s="35" t="e">
        <f t="shared" si="19"/>
        <v>#REF!</v>
      </c>
      <c r="BU39" s="36">
        <f>BD39-IFERROR(VLOOKUP(H39,#REF!,47,FALSE),0)</f>
        <v>0</v>
      </c>
      <c r="BV39" s="37" t="e">
        <f>+BF39+Tableau5617192223242425262827293031333432353620383961719241822254140424344104746[[#This Row],[CA fin N-1]]-IFERROR(VLOOKUP(H39,#REF!,49,FALSE),0)-IFERROR(VLOOKUP(H39,#REF!,50,FALSE),0)</f>
        <v>#REF!</v>
      </c>
      <c r="BW39" s="33">
        <f>BG39-IFERROR(VLOOKUP(H39,#REF!,51,FALSE),0)</f>
        <v>0</v>
      </c>
      <c r="BX39" s="35" t="e">
        <f t="shared" si="20"/>
        <v>#REF!</v>
      </c>
      <c r="BY39" s="36">
        <f>BD39-IFERROR(VLOOKUP(H39,#REF!,48,FALSE),0)</f>
        <v>0</v>
      </c>
      <c r="BZ3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39" s="39" t="e">
        <f>VLOOKUP(Tableau5617192223242425262827293031333432353620383961719241822254140424344104746[[#This Row],[Num Projets]],#REF!,1,FALSE)</f>
        <v>#REF!</v>
      </c>
      <c r="CB39" s="40">
        <v>75</v>
      </c>
      <c r="CC39" s="40">
        <v>0</v>
      </c>
      <c r="CD3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-75</v>
      </c>
    </row>
    <row r="40" spans="1:82" s="258" customFormat="1" ht="13.5" customHeight="1" x14ac:dyDescent="0.25">
      <c r="A40" s="313" t="s">
        <v>87</v>
      </c>
      <c r="B40" s="1"/>
      <c r="C40" s="2" t="e">
        <f>_xlfn.XLOOKUP(Tableau5617192223242425262827293031333432353620383961719241822254140424344104746[[#This Row],[Num Projets]],#REF!,#REF!,FALSE)</f>
        <v>#REF!</v>
      </c>
      <c r="D40" s="3" t="s">
        <v>1</v>
      </c>
      <c r="E40" s="3" t="e">
        <f>_xlfn.XLOOKUP(Tableau5617192223242425262827293031333432353620383961719241822254140424344104746[[#This Row],[Num Projets]],#REF!,#REF!,FALSE)</f>
        <v>#REF!</v>
      </c>
      <c r="F40" s="3" t="e">
        <f>_xlfn.XLOOKUP(Tableau5617192223242425262827293031333432353620383961719241822254140424344104746[[#This Row],[Num Projets]],#REF!,#REF!,"newavr",0)</f>
        <v>#REF!</v>
      </c>
      <c r="G40" s="3" t="s">
        <v>2</v>
      </c>
      <c r="H40" s="3" t="s">
        <v>88</v>
      </c>
      <c r="I4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0" s="4" t="e">
        <f>VLOOKUP(Tableau5617192223242425262827293031333432353620383961719241822254140424344104746[[#This Row],[Num Projets]],#REF!,36,FALSE)</f>
        <v>#REF!</v>
      </c>
      <c r="K40" s="5" t="s">
        <v>4</v>
      </c>
      <c r="L4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0" s="3" t="e">
        <f>SUBSTITUTE(_xlfn.XLOOKUP(Tableau5617192223242425262827293031333432353620383961719241822254140424344104746[[#This Row],[Num Projets]],#REF!,#REF!,FALSE)," ","")</f>
        <v>#REF!</v>
      </c>
      <c r="N40" s="7" t="e">
        <f>VLOOKUP(H40,#REF!,7,FALSE)</f>
        <v>#REF!</v>
      </c>
      <c r="O40" s="7" t="e">
        <f>IF(VLOOKUP(H40,#REF!,27,FALSE)=0,"",VLOOKUP(H40,#REF!,27,FALSE))</f>
        <v>#REF!</v>
      </c>
      <c r="P40" s="8" t="e">
        <f>VLOOKUP(H40,#REF!,2,FALSE)</f>
        <v>#REF!</v>
      </c>
      <c r="Q40" s="9" t="e">
        <f>Tableau5617192223242425262827293031333432353620383961719241822254140424344104746[[#This Row],[Total Budget
€]]-IFERROR(VLOOKUP(H40,#REF!,8,FALSE),0)</f>
        <v>#REF!</v>
      </c>
      <c r="R40" s="15">
        <f>AD40+AI40+Tableau5617192223242425262827293031333432353620383961719241822254140424344104746[[#This Row],[Int Commandé OT
€]]+AX40</f>
        <v>0</v>
      </c>
      <c r="S40" s="15">
        <f>AD40+AJ40+Tableau5617192223242425262827293031333432353620383961719241822254140424344104746[[#This Row],[Int Réalisé OT
€]]+AX40</f>
        <v>0</v>
      </c>
      <c r="T40" s="47" t="e">
        <f t="shared" si="2"/>
        <v>#REF!</v>
      </c>
      <c r="U4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0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0" s="12">
        <f>IFERROR(VLOOKUP(H40,#REF!,2,FALSE),0)</f>
        <v>0</v>
      </c>
      <c r="X40" s="13">
        <f>IFERROR(VLOOKUP(H40,#REF!,2,FALSE),0)</f>
        <v>0</v>
      </c>
      <c r="Y40" s="13">
        <f>IFERROR(VLOOKUP(H40,#REF!,3,FALSE),0)</f>
        <v>0</v>
      </c>
      <c r="Z4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1489</v>
      </c>
      <c r="AA40" s="13">
        <f>IFERROR(VLOOKUP(H40,#REF!,18,FALSE),0)</f>
        <v>0</v>
      </c>
      <c r="AB40" s="13">
        <f>SUM(X40:Y40)-IFERROR(VLOOKUP(H40,#REF!,16,FALSE),0)-IFERROR(VLOOKUP(H40,#REF!,17,FALSE),0)</f>
        <v>0</v>
      </c>
      <c r="AC40" s="15" t="e">
        <f>VLOOKUP(Tableau5617192223242425262827293031333432353620383961719241822254140424344104746[[#This Row],[Num Projets]],#REF!,2,FALSE)</f>
        <v>#REF!</v>
      </c>
      <c r="AD40" s="10">
        <f>IFERROR(VLOOKUP(Tableau5617192223242425262827293031333432353620383961719241822254140424344104746[[#This Row],[Num Projets]],#REF!,2,FALSE),0)</f>
        <v>0</v>
      </c>
      <c r="AE40" s="8">
        <f t="shared" si="3"/>
        <v>71174.2</v>
      </c>
      <c r="AF40" s="47" t="e">
        <f t="shared" si="4"/>
        <v>#REF!</v>
      </c>
      <c r="AG40" s="8">
        <f>IFERROR(VLOOKUP(H40,#REF!,3,FALSE),0)+IFERROR(VLOOKUP(H40,#REF!,3,FALSE),0)</f>
        <v>0</v>
      </c>
      <c r="AH40" s="8">
        <f>IFERROR(VLOOKUP(Tableau5617192223242425262827293031333432353620383961719241822254140424344104746[[#This Row],[Num Projets]],#REF!,2,FALSE),0)</f>
        <v>0</v>
      </c>
      <c r="AI40" s="17">
        <f>+IFERROR(VLOOKUP(H40,#REF!,2,FALSE),0)-Tableau5617192223242425262827293031333432353620383961719241822254140424344104746[[#This Row],[Int Commandé OT
€]]</f>
        <v>0</v>
      </c>
      <c r="AJ40" s="8">
        <f>IFERROR(VLOOKUP(H40,#REF!,11,FALSE),0)-IFERROR(VLOOKUP(H40,#REF!,10,FALSE),0)+Tableau5617192223242425262827293031333432353620383961719241822254140424344104746[[#This Row],[dont FNP à date (€ HT)]]</f>
        <v>0</v>
      </c>
      <c r="AK40" s="15">
        <f t="shared" si="14"/>
        <v>0</v>
      </c>
      <c r="AL4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0" s="19">
        <f>IF(Tableau5617192223242425262827293031333432353620383961719241822254140424344104746[[#This Row],[RAF Achats M-1
€]]=0,0,AN40-AO40)</f>
        <v>0</v>
      </c>
      <c r="AN40" s="8">
        <f>IFERROR(VLOOKUP(H40,#REF!,31,FALSE),0)</f>
        <v>0</v>
      </c>
      <c r="AO40" s="8">
        <f>AI40+-IFERROR(VLOOKUP(H40,#REF!,27,FALSE),0)</f>
        <v>0</v>
      </c>
      <c r="AP40" s="20">
        <f>IFERROR(VLOOKUP(Tableau5617192223242425262827293031333432353620383961719241822254140424344104746[[#This Row],[Num Projets]],#REF!,2,FALSE),0)</f>
        <v>0</v>
      </c>
      <c r="AQ40" s="20">
        <f>_xlfn.XLOOKUP(H40,[2]Synth!$N:$N,[2]Synth!$O:$O,0,FALSE)+_xlfn.XLOOKUP(Tableau5617192223242425262827293031333432353620383961719241822254140424344104746[[#This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0" s="21">
        <v>0</v>
      </c>
      <c r="AS40" s="20">
        <f>+IFERROR(VLOOKUP(H40,#REF!,36,FALSE),0)</f>
        <v>0</v>
      </c>
      <c r="AT4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0" s="22">
        <f>IF(AG40=0,0,1-((AI40+AM40+Tableau5617192223242425262827293031333432353620383961719241822254140424344104746[[#This Row],[Int Commandé OT
€]]+Tableau5617192223242425262827293031333432353620383961719241822254140424344104746[[#This Row],[RAF Int OT
€]])/AG40))</f>
        <v>0</v>
      </c>
      <c r="AV40" s="8">
        <f>IFERROR(VLOOKUP(H40,#REF!,4,FALSE),0)+IFERROR(VLOOKUP(H40,#REF!,4,FALSE),0)</f>
        <v>0</v>
      </c>
      <c r="AW40" s="8">
        <f>IFERROR(VLOOKUP(Tableau5617192223242425262827293031333432353620383961719241822254140424344104746[[#This Row],[Num Projets]],#REF!,3,FALSE),0)</f>
        <v>0</v>
      </c>
      <c r="AX40" s="20">
        <f>IFERROR(VLOOKUP(Tableau5617192223242425262827293031333432353620383961719241822254140424344104746[[#This Row],[Num Projets]],#REF!,10,FALSE),0)</f>
        <v>0</v>
      </c>
      <c r="AY40" s="23">
        <f>Tableau5617192223242425262827293031333432353620383961719241822254140424344104746[[#This Row],[Budget Mission
 €]]/1.2-AX40</f>
        <v>0</v>
      </c>
      <c r="AZ40" s="8">
        <f>IFERROR(VLOOKUP(H40,#REF!,43,FALSE),0)</f>
        <v>0</v>
      </c>
      <c r="BA40" s="8">
        <f>AX40-IFERROR(VLOOKUP(H40,#REF!,42,FALSE),0)</f>
        <v>0</v>
      </c>
      <c r="BB40" s="47">
        <f t="shared" si="17"/>
        <v>0</v>
      </c>
      <c r="BC40" s="24">
        <f>IFERROR(VLOOKUP(H40,#REF!,47,FALSE),IFERROR(VLOOKUP(H40,#REF!,5,FALSE),0)+IFERROR(VLOOKUP(H40,#REF!,5,FALSE),0))</f>
        <v>0</v>
      </c>
      <c r="BD40" s="25">
        <f>IFERROR(VLOOKUP(H40,#REF!,2,FALSE),0)</f>
        <v>0</v>
      </c>
      <c r="BE40" s="25">
        <f>IFERROR(VLOOKUP(H40,#REF!,49,FALSE),0)</f>
        <v>0</v>
      </c>
      <c r="BF40" s="26" t="e">
        <f t="shared" si="5"/>
        <v>#REF!</v>
      </c>
      <c r="BG40" s="26">
        <f t="shared" si="6"/>
        <v>0</v>
      </c>
      <c r="BH40" s="27">
        <f>AE40+ (AI40-AJ40+AM40+Tableau5617192223242425262827293031333432353620383961719241822254140424344104746[[#This Row],[Int Commandé OT
€]]-Tableau5617192223242425262827293031333432353620383961719241822254140424344104746[[#This Row],[Int Réalisé OT
€]]+AR40) +AY40+BC40</f>
        <v>71174.2</v>
      </c>
      <c r="BI40" s="16">
        <f t="shared" si="16"/>
        <v>0</v>
      </c>
      <c r="BJ40" s="16" t="e">
        <f t="shared" si="8"/>
        <v>#REF!</v>
      </c>
      <c r="BK40" s="27" t="e">
        <f t="shared" si="9"/>
        <v>#REF!</v>
      </c>
      <c r="BL40" s="26" t="e">
        <f t="shared" si="10"/>
        <v>#REF!</v>
      </c>
      <c r="BM40" s="28">
        <f>IFERROR(VLOOKUP(H40,'[1]2023dec'!H:CA,54,FALSE),105)</f>
        <v>105</v>
      </c>
      <c r="BN40" s="29">
        <f>Tableau5617192223242425262827293031333432353620383961719241822254140424344104746[[#This Row],[Avancement Global Financier basé sur Enregistré à date (%)]]</f>
        <v>0</v>
      </c>
      <c r="BO40" s="30" t="e">
        <f>P40-AC40-AG40-AV40-Tableau5617192223242425262827293031333432353620383961719241822254140424344104746[[#This Row],[Provisions pour risques]]</f>
        <v>#REF!</v>
      </c>
      <c r="BP4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71174.2</v>
      </c>
      <c r="BQ4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0" s="33" t="e">
        <f t="shared" si="18"/>
        <v>#REF!</v>
      </c>
      <c r="BS40" s="34">
        <f>Tableau5617192223242425262827293031333432353620383961719241822254140424344104746[[#This Row],[Consommé global Enregistré à date (€ HT)]]-IFERROR(VLOOKUP(H40,#REF!,50,FALSE),0)</f>
        <v>0</v>
      </c>
      <c r="BT40" s="35" t="e">
        <f t="shared" si="19"/>
        <v>#REF!</v>
      </c>
      <c r="BU40" s="36">
        <f>BD40-IFERROR(VLOOKUP(H40,#REF!,47,FALSE),0)</f>
        <v>0</v>
      </c>
      <c r="BV40" s="37" t="e">
        <f>+BF40+Tableau5617192223242425262827293031333432353620383961719241822254140424344104746[[#This Row],[CA fin N-1]]-IFERROR(VLOOKUP(H40,#REF!,49,FALSE),0)-IFERROR(VLOOKUP(H40,#REF!,50,FALSE),0)</f>
        <v>#REF!</v>
      </c>
      <c r="BW40" s="33">
        <f>BG40-IFERROR(VLOOKUP(H40,#REF!,51,FALSE),0)</f>
        <v>0</v>
      </c>
      <c r="BX40" s="35" t="e">
        <f t="shared" si="20"/>
        <v>#REF!</v>
      </c>
      <c r="BY40" s="36">
        <f>BD40-IFERROR(VLOOKUP(H40,#REF!,48,FALSE),0)</f>
        <v>0</v>
      </c>
      <c r="BZ4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0" s="39" t="e">
        <f>VLOOKUP(Tableau5617192223242425262827293031333432353620383961719241822254140424344104746[[#This Row],[Num Projets]],#REF!,1,FALSE)</f>
        <v>#REF!</v>
      </c>
      <c r="CB40" s="40">
        <v>99</v>
      </c>
      <c r="CC40" s="40">
        <v>1390</v>
      </c>
      <c r="CD4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-99</v>
      </c>
    </row>
    <row r="41" spans="1:82" s="258" customFormat="1" ht="13.5" customHeight="1" x14ac:dyDescent="0.25">
      <c r="A41" s="313" t="s">
        <v>89</v>
      </c>
      <c r="B41" s="1"/>
      <c r="C41" s="2" t="e">
        <f>_xlfn.XLOOKUP(Tableau5617192223242425262827293031333432353620383961719241822254140424344104746[[#This Row],[Num Projets]],#REF!,#REF!,FALSE)</f>
        <v>#REF!</v>
      </c>
      <c r="D41" s="3" t="s">
        <v>6</v>
      </c>
      <c r="E41" s="3" t="e">
        <f>_xlfn.XLOOKUP(Tableau5617192223242425262827293031333432353620383961719241822254140424344104746[[#This Row],[Num Projets]],#REF!,#REF!,FALSE)</f>
        <v>#REF!</v>
      </c>
      <c r="F41" s="3" t="e">
        <f>_xlfn.XLOOKUP(Tableau5617192223242425262827293031333432353620383961719241822254140424344104746[[#This Row],[Num Projets]],#REF!,#REF!,"newavr",0)</f>
        <v>#REF!</v>
      </c>
      <c r="G41" s="3" t="s">
        <v>58</v>
      </c>
      <c r="H41" s="3" t="s">
        <v>90</v>
      </c>
      <c r="I4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1" s="4" t="e">
        <f>VLOOKUP(Tableau5617192223242425262827293031333432353620383961719241822254140424344104746[[#This Row],[Num Projets]],#REF!,36,FALSE)</f>
        <v>#REF!</v>
      </c>
      <c r="K41" s="5" t="s">
        <v>21</v>
      </c>
      <c r="L4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1" s="3" t="e">
        <f>SUBSTITUTE(_xlfn.XLOOKUP(Tableau5617192223242425262827293031333432353620383961719241822254140424344104746[[#This Row],[Num Projets]],#REF!,#REF!,FALSE)," ","")</f>
        <v>#REF!</v>
      </c>
      <c r="N41" s="7" t="e">
        <f>VLOOKUP(H41,#REF!,7,FALSE)</f>
        <v>#REF!</v>
      </c>
      <c r="O41" s="7" t="e">
        <f>IF(VLOOKUP(H41,#REF!,27,FALSE)=0,"",VLOOKUP(H41,#REF!,27,FALSE))</f>
        <v>#REF!</v>
      </c>
      <c r="P41" s="8" t="e">
        <f>VLOOKUP(H41,#REF!,2,FALSE)</f>
        <v>#REF!</v>
      </c>
      <c r="Q41" s="9" t="e">
        <f>Tableau5617192223242425262827293031333432353620383961719241822254140424344104746[[#This Row],[Total Budget
€]]-IFERROR(VLOOKUP(H41,#REF!,8,FALSE),0)</f>
        <v>#REF!</v>
      </c>
      <c r="R41" s="15">
        <f>AD41+AI41+Tableau5617192223242425262827293031333432353620383961719241822254140424344104746[[#This Row],[Int Commandé OT
€]]+AX41</f>
        <v>0</v>
      </c>
      <c r="S41" s="15">
        <f>AD41+AJ41+Tableau5617192223242425262827293031333432353620383961719241822254140424344104746[[#This Row],[Int Réalisé OT
€]]+AX41</f>
        <v>48617.05</v>
      </c>
      <c r="T41" s="47" t="e">
        <f t="shared" si="2"/>
        <v>#REF!</v>
      </c>
      <c r="U4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1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1" s="12">
        <f>IFERROR(VLOOKUP(H41,#REF!,2,FALSE),0)</f>
        <v>0</v>
      </c>
      <c r="X41" s="13">
        <f>IFERROR(VLOOKUP(H41,#REF!,2,FALSE),0)</f>
        <v>0</v>
      </c>
      <c r="Y41" s="13">
        <f>IFERROR(VLOOKUP(H41,#REF!,3,FALSE),0)</f>
        <v>0</v>
      </c>
      <c r="Z4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967.39</v>
      </c>
      <c r="AA41" s="13">
        <f>IFERROR(VLOOKUP(H41,#REF!,18,FALSE),0)</f>
        <v>0</v>
      </c>
      <c r="AB41" s="13">
        <f>SUM(X41:Y41)-IFERROR(VLOOKUP(H41,#REF!,16,FALSE),0)-IFERROR(VLOOKUP(H41,#REF!,17,FALSE),0)</f>
        <v>0</v>
      </c>
      <c r="AC41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41" s="10">
        <f>IFERROR(VLOOKUP(Tableau5617192223242425262827293031333432353620383961719241822254140424344104746[[#This Row],[Num Projets]],#REF!,2,FALSE),0)</f>
        <v>0</v>
      </c>
      <c r="AE41" s="8">
        <f t="shared" si="3"/>
        <v>46241.241999999998</v>
      </c>
      <c r="AF41" s="47" t="e">
        <f t="shared" si="4"/>
        <v>#REF!</v>
      </c>
      <c r="AG41" s="8">
        <f>IFERROR(VLOOKUP(H41,#REF!,3,FALSE),0)+IFERROR(VLOOKUP(H41,#REF!,3,FALSE),0)</f>
        <v>0</v>
      </c>
      <c r="AH41" s="8">
        <f>IFERROR(VLOOKUP(Tableau5617192223242425262827293031333432353620383961719241822254140424344104746[[#This Row],[Num Projets]],#REF!,2,FALSE),0)</f>
        <v>0</v>
      </c>
      <c r="AI41" s="17">
        <f>+IFERROR(VLOOKUP(H41,#REF!,2,FALSE),0)-Tableau5617192223242425262827293031333432353620383961719241822254140424344104746[[#This Row],[Int Commandé OT
€]]</f>
        <v>0</v>
      </c>
      <c r="AJ41" s="8">
        <f>IFERROR(VLOOKUP(H41,#REF!,11,FALSE),0)-IFERROR(VLOOKUP(H41,#REF!,10,FALSE),0)+Tableau5617192223242425262827293031333432353620383961719241822254140424344104746[[#This Row],[dont FNP à date (€ HT)]]</f>
        <v>0</v>
      </c>
      <c r="AK41" s="23">
        <f t="shared" si="14"/>
        <v>0</v>
      </c>
      <c r="AL4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1" s="19">
        <f>IF(Tableau5617192223242425262827293031333432353620383961719241822254140424344104746[[#This Row],[RAF Achats M-1
€]]=0,0,AN41-AO41)</f>
        <v>0</v>
      </c>
      <c r="AN41" s="8">
        <f>IFERROR(VLOOKUP(H41,#REF!,31,FALSE),0)</f>
        <v>0</v>
      </c>
      <c r="AO41" s="8">
        <f>AI41+-IFERROR(VLOOKUP(H41,#REF!,27,FALSE),0)</f>
        <v>0</v>
      </c>
      <c r="AP41" s="20">
        <f>IFERROR(VLOOKUP(Tableau5617192223242425262827293031333432353620383961719241822254140424344104746[[#This Row],[Num Projets]],#REF!,2,FALSE),0)</f>
        <v>0</v>
      </c>
      <c r="AQ41" s="20">
        <f>_xlfn.XLOOKUP(H41,[2]Synth!$N:$N,[2]Synth!$O:$O,0,FALSE)+_xlfn.XLOOKUP(Tableau5617192223242425262827293031333432353620383961719241822254140424344104746[[#This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48617.05</v>
      </c>
      <c r="AR41" s="21">
        <v>0</v>
      </c>
      <c r="AS41" s="20">
        <f>+IFERROR(VLOOKUP(H41,#REF!,36,FALSE),0)</f>
        <v>0</v>
      </c>
      <c r="AT4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1" s="22">
        <f>IF(AG41=0,0,1-((AI41+AM41+Tableau5617192223242425262827293031333432353620383961719241822254140424344104746[[#This Row],[Int Commandé OT
€]]+Tableau5617192223242425262827293031333432353620383961719241822254140424344104746[[#This Row],[RAF Int OT
€]])/AG41))</f>
        <v>0</v>
      </c>
      <c r="AV41" s="8">
        <f>IFERROR(VLOOKUP(H41,#REF!,4,FALSE),0)+IFERROR(VLOOKUP(H41,#REF!,4,FALSE),0)</f>
        <v>0</v>
      </c>
      <c r="AW41" s="8">
        <f>IFERROR(VLOOKUP(Tableau5617192223242425262827293031333432353620383961719241822254140424344104746[[#This Row],[Num Projets]],#REF!,3,FALSE),0)</f>
        <v>0</v>
      </c>
      <c r="AX41" s="20">
        <f>IFERROR(VLOOKUP(Tableau5617192223242425262827293031333432353620383961719241822254140424344104746[[#This Row],[Num Projets]],#REF!,10,FALSE),0)</f>
        <v>0</v>
      </c>
      <c r="AY41" s="23">
        <v>0</v>
      </c>
      <c r="AZ41" s="8">
        <f>IFERROR(VLOOKUP(H41,#REF!,43,FALSE),0)</f>
        <v>0</v>
      </c>
      <c r="BA41" s="8">
        <f>AX41-IFERROR(VLOOKUP(H41,#REF!,42,FALSE),0)</f>
        <v>0</v>
      </c>
      <c r="BB41" s="47">
        <f t="shared" si="17"/>
        <v>0</v>
      </c>
      <c r="BC41" s="24">
        <f>IFERROR(VLOOKUP(H41,#REF!,47,FALSE),IFERROR(VLOOKUP(H41,#REF!,5,FALSE),0)+IFERROR(VLOOKUP(H41,#REF!,5,FALSE),0))</f>
        <v>0</v>
      </c>
      <c r="BD41" s="25">
        <f>IFERROR(VLOOKUP(H41,#REF!,2,FALSE),0)</f>
        <v>0</v>
      </c>
      <c r="BE41" s="25">
        <f>IFERROR(VLOOKUP(H41,#REF!,49,FALSE),0)</f>
        <v>0</v>
      </c>
      <c r="BF41" s="26" t="e">
        <f t="shared" si="5"/>
        <v>#REF!</v>
      </c>
      <c r="BG41" s="26">
        <f t="shared" si="6"/>
        <v>48617.05</v>
      </c>
      <c r="BH41" s="27">
        <f>AE41+ (AI41-AJ41+AM41+Tableau5617192223242425262827293031333432353620383961719241822254140424344104746[[#This Row],[Int Commandé OT
€]]-Tableau5617192223242425262827293031333432353620383961719241822254140424344104746[[#This Row],[Int Réalisé OT
€]]+AR41) +AY41+BC41</f>
        <v>-2375.8080000000045</v>
      </c>
      <c r="BI41" s="16">
        <f t="shared" si="16"/>
        <v>1.0513785507750852</v>
      </c>
      <c r="BJ41" s="16" t="e">
        <f t="shared" si="8"/>
        <v>#REF!</v>
      </c>
      <c r="BK41" s="27" t="e">
        <f t="shared" si="9"/>
        <v>#REF!</v>
      </c>
      <c r="BL41" s="26" t="e">
        <f t="shared" si="10"/>
        <v>#REF!</v>
      </c>
      <c r="BM41" s="28">
        <f>IFERROR(VLOOKUP(H41,'[1]2023dec'!H:CA,54,FALSE),105)</f>
        <v>105</v>
      </c>
      <c r="BN41" s="29">
        <v>1</v>
      </c>
      <c r="BO41" s="30" t="e">
        <f>P41-AC41-AG41-AV41-Tableau5617192223242425262827293031333432353620383961719241822254140424344104746[[#This Row],[Provisions pour risques]]</f>
        <v>#REF!</v>
      </c>
      <c r="BP4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46241.241999999998</v>
      </c>
      <c r="BQ4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1.0513785507750852</v>
      </c>
      <c r="BR41" s="33" t="e">
        <f t="shared" si="18"/>
        <v>#REF!</v>
      </c>
      <c r="BS41" s="34">
        <f>Tableau5617192223242425262827293031333432353620383961719241822254140424344104746[[#This Row],[Consommé global Enregistré à date (€ HT)]]-IFERROR(VLOOKUP(H41,#REF!,50,FALSE),0)</f>
        <v>48617.05</v>
      </c>
      <c r="BT41" s="35" t="e">
        <f t="shared" si="19"/>
        <v>#REF!</v>
      </c>
      <c r="BU41" s="36">
        <f>BD41-IFERROR(VLOOKUP(H41,#REF!,47,FALSE),0)</f>
        <v>0</v>
      </c>
      <c r="BV41" s="37" t="e">
        <f>+BF41+Tableau5617192223242425262827293031333432353620383961719241822254140424344104746[[#This Row],[CA fin N-1]]-IFERROR(VLOOKUP(H41,#REF!,49,FALSE),0)-IFERROR(VLOOKUP(H41,#REF!,50,FALSE),0)</f>
        <v>#REF!</v>
      </c>
      <c r="BW41" s="33">
        <f>BG41-IFERROR(VLOOKUP(H41,#REF!,51,FALSE),0)</f>
        <v>48617.05</v>
      </c>
      <c r="BX41" s="35" t="e">
        <f t="shared" si="20"/>
        <v>#REF!</v>
      </c>
      <c r="BY41" s="36">
        <f>BD41-IFERROR(VLOOKUP(H41,#REF!,48,FALSE),0)</f>
        <v>0</v>
      </c>
      <c r="BZ4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1" s="39" t="e">
        <f>VLOOKUP(Tableau5617192223242425262827293031333432353620383961719241822254140424344104746[[#This Row],[Num Projets]],#REF!,1,FALSE)</f>
        <v>#REF!</v>
      </c>
      <c r="CB41" s="40">
        <v>963.39</v>
      </c>
      <c r="CC41" s="40">
        <v>3.9999999999999503</v>
      </c>
      <c r="CD4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-963.39</v>
      </c>
    </row>
    <row r="42" spans="1:82" s="258" customFormat="1" ht="13.5" customHeight="1" x14ac:dyDescent="0.25">
      <c r="A42" s="311" t="s">
        <v>91</v>
      </c>
      <c r="B42" s="1"/>
      <c r="C42" s="2" t="e">
        <f>_xlfn.XLOOKUP(Tableau5617192223242425262827293031333432353620383961719241822254140424344104746[[#This Row],[Num Projets]],#REF!,#REF!,FALSE)</f>
        <v>#REF!</v>
      </c>
      <c r="D42" s="3" t="s">
        <v>6</v>
      </c>
      <c r="E42" s="3" t="e">
        <f>_xlfn.XLOOKUP(Tableau5617192223242425262827293031333432353620383961719241822254140424344104746[[#This Row],[Num Projets]],#REF!,#REF!,FALSE)</f>
        <v>#REF!</v>
      </c>
      <c r="F42" s="3" t="e">
        <f>_xlfn.XLOOKUP(Tableau5617192223242425262827293031333432353620383961719241822254140424344104746[[#This Row],[Num Projets]],#REF!,#REF!,"newavr",0)</f>
        <v>#REF!</v>
      </c>
      <c r="G42" s="3" t="s">
        <v>2</v>
      </c>
      <c r="H42" s="3" t="s">
        <v>92</v>
      </c>
      <c r="I4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2" s="4" t="e">
        <f>VLOOKUP(Tableau5617192223242425262827293031333432353620383961719241822254140424344104746[[#This Row],[Num Projets]],#REF!,36,FALSE)</f>
        <v>#REF!</v>
      </c>
      <c r="K42" s="5" t="s">
        <v>9</v>
      </c>
      <c r="L4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2" s="3" t="e">
        <f>SUBSTITUTE(_xlfn.XLOOKUP(Tableau5617192223242425262827293031333432353620383961719241822254140424344104746[[#This Row],[Num Projets]],#REF!,#REF!,FALSE)," ","")</f>
        <v>#REF!</v>
      </c>
      <c r="N42" s="7" t="e">
        <f>VLOOKUP(H42,#REF!,7,FALSE)</f>
        <v>#REF!</v>
      </c>
      <c r="O42" s="7" t="e">
        <f>IF(VLOOKUP(H42,#REF!,27,FALSE)=0,"",VLOOKUP(H42,#REF!,27,FALSE))</f>
        <v>#REF!</v>
      </c>
      <c r="P42" s="8" t="e">
        <f>VLOOKUP(H42,#REF!,2,FALSE)</f>
        <v>#REF!</v>
      </c>
      <c r="Q42" s="9" t="e">
        <f>Tableau5617192223242425262827293031333432353620383961719241822254140424344104746[[#This Row],[Total Budget
€]]-IFERROR(VLOOKUP(H42,#REF!,8,FALSE),0)</f>
        <v>#REF!</v>
      </c>
      <c r="R42" s="15">
        <f>AD42+AI42+Tableau5617192223242425262827293031333432353620383961719241822254140424344104746[[#This Row],[Int Commandé OT
€]]+AX42</f>
        <v>0</v>
      </c>
      <c r="S42" s="15">
        <f>AD42+AJ42+Tableau5617192223242425262827293031333432353620383961719241822254140424344104746[[#This Row],[Int Réalisé OT
€]]+AX42</f>
        <v>6650.48</v>
      </c>
      <c r="T42" s="47" t="e">
        <f t="shared" si="2"/>
        <v>#REF!</v>
      </c>
      <c r="U4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2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2" s="12">
        <f>IFERROR(VLOOKUP(H42,#REF!,2,FALSE),0)</f>
        <v>0</v>
      </c>
      <c r="X42" s="13">
        <f>IFERROR(VLOOKUP(H42,#REF!,2,FALSE),0)</f>
        <v>0</v>
      </c>
      <c r="Y42" s="13">
        <f>IFERROR(VLOOKUP(H42,#REF!,3,FALSE),0)</f>
        <v>0</v>
      </c>
      <c r="Z4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133.5</v>
      </c>
      <c r="AA42" s="13">
        <f>IFERROR(VLOOKUP(H42,#REF!,18,FALSE),0)</f>
        <v>0</v>
      </c>
      <c r="AB42" s="13">
        <f>SUM(X42:Y42)-IFERROR(VLOOKUP(H42,#REF!,16,FALSE),0)-IFERROR(VLOOKUP(H42,#REF!,17,FALSE),0)</f>
        <v>0</v>
      </c>
      <c r="AC42" s="15" t="e">
        <f>VLOOKUP(Tableau5617192223242425262827293031333432353620383961719241822254140424344104746[[#This Row],[Num Projets]],#REF!,2,FALSE)</f>
        <v>#REF!</v>
      </c>
      <c r="AD42" s="10">
        <f>IFERROR(VLOOKUP(Tableau5617192223242425262827293031333432353620383961719241822254140424344104746[[#This Row],[Num Projets]],#REF!,2,FALSE),0)</f>
        <v>0</v>
      </c>
      <c r="AE42" s="8">
        <f t="shared" si="3"/>
        <v>6381.2999999999993</v>
      </c>
      <c r="AF42" s="47" t="e">
        <f t="shared" si="4"/>
        <v>#REF!</v>
      </c>
      <c r="AG42" s="8">
        <f>IFERROR(VLOOKUP(H42,#REF!,3,FALSE),0)+IFERROR(VLOOKUP(H42,#REF!,3,FALSE),0)</f>
        <v>0</v>
      </c>
      <c r="AH42" s="8">
        <f>IFERROR(VLOOKUP(Tableau5617192223242425262827293031333432353620383961719241822254140424344104746[[#This Row],[Num Projets]],#REF!,2,FALSE),0)</f>
        <v>0</v>
      </c>
      <c r="AI42" s="17">
        <f>+IFERROR(VLOOKUP(H42,#REF!,2,FALSE),0)-Tableau5617192223242425262827293031333432353620383961719241822254140424344104746[[#This Row],[Int Commandé OT
€]]</f>
        <v>0</v>
      </c>
      <c r="AJ42" s="8">
        <f>IFERROR(VLOOKUP(H42,#REF!,11,FALSE),0)-IFERROR(VLOOKUP(H42,#REF!,10,FALSE),0)+Tableau5617192223242425262827293031333432353620383961719241822254140424344104746[[#This Row],[dont FNP à date (€ HT)]]</f>
        <v>67.2</v>
      </c>
      <c r="AK42" s="23">
        <f t="shared" si="14"/>
        <v>-67.2</v>
      </c>
      <c r="AL4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67.2</v>
      </c>
      <c r="AM42" s="19">
        <f>IF(Tableau5617192223242425262827293031333432353620383961719241822254140424344104746[[#This Row],[RAF Achats M-1
€]]=0,0,AN42-AO42)</f>
        <v>0</v>
      </c>
      <c r="AN42" s="8">
        <f>IFERROR(VLOOKUP(H42,#REF!,31,FALSE),0)</f>
        <v>0</v>
      </c>
      <c r="AO42" s="8">
        <f>AI42+-IFERROR(VLOOKUP(H42,#REF!,27,FALSE),0)</f>
        <v>0</v>
      </c>
      <c r="AP42" s="20">
        <f>IFERROR(VLOOKUP(Tableau5617192223242425262827293031333432353620383961719241822254140424344104746[[#This Row],[Num Projets]],#REF!,2,FALSE),0)</f>
        <v>0</v>
      </c>
      <c r="AQ42" s="20">
        <f>_xlfn.XLOOKUP(H42,[2]Synth!$N:$N,[2]Synth!$O:$O,0,FALSE)+_xlfn.XLOOKUP(Tableau5617192223242425262827293031333432353620383961719241822254140424344104746[[#This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6583.28</v>
      </c>
      <c r="AR42" s="21">
        <v>0</v>
      </c>
      <c r="AS42" s="20">
        <f>+IFERROR(VLOOKUP(H42,#REF!,36,FALSE),0)</f>
        <v>0</v>
      </c>
      <c r="AT4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2" s="22">
        <f>IF(AG42=0,0,1-((AI42+AM42+Tableau5617192223242425262827293031333432353620383961719241822254140424344104746[[#This Row],[Int Commandé OT
€]]+Tableau5617192223242425262827293031333432353620383961719241822254140424344104746[[#This Row],[RAF Int OT
€]])/AG42))</f>
        <v>0</v>
      </c>
      <c r="AV42" s="8">
        <f>IFERROR(VLOOKUP(H42,#REF!,4,FALSE),0)+IFERROR(VLOOKUP(H42,#REF!,4,FALSE),0)</f>
        <v>0</v>
      </c>
      <c r="AW42" s="8">
        <f>IFERROR(VLOOKUP(Tableau5617192223242425262827293031333432353620383961719241822254140424344104746[[#This Row],[Num Projets]],#REF!,3,FALSE),0)</f>
        <v>0</v>
      </c>
      <c r="AX42" s="20">
        <f>IFERROR(VLOOKUP(Tableau5617192223242425262827293031333432353620383961719241822254140424344104746[[#This Row],[Num Projets]],#REF!,10,FALSE),0)</f>
        <v>0</v>
      </c>
      <c r="AY42" s="23">
        <f>Tableau5617192223242425262827293031333432353620383961719241822254140424344104746[[#This Row],[Budget Mission
 €]]/1.2-AX42</f>
        <v>0</v>
      </c>
      <c r="AZ42" s="8">
        <f>IFERROR(VLOOKUP(H42,#REF!,43,FALSE),0)</f>
        <v>0</v>
      </c>
      <c r="BA42" s="8">
        <f>AX42-IFERROR(VLOOKUP(H42,#REF!,42,FALSE),0)</f>
        <v>0</v>
      </c>
      <c r="BB42" s="47">
        <f t="shared" si="17"/>
        <v>0</v>
      </c>
      <c r="BC42" s="24">
        <f>IFERROR(VLOOKUP(H42,#REF!,47,FALSE),IFERROR(VLOOKUP(H42,#REF!,5,FALSE),0)+IFERROR(VLOOKUP(H42,#REF!,5,FALSE),0))</f>
        <v>0</v>
      </c>
      <c r="BD42" s="25">
        <f>IFERROR(VLOOKUP(H42,#REF!,2,FALSE),0)</f>
        <v>0</v>
      </c>
      <c r="BE42" s="25">
        <f>IFERROR(VLOOKUP(H42,#REF!,49,FALSE),0)</f>
        <v>0</v>
      </c>
      <c r="BF42" s="26" t="e">
        <f t="shared" si="5"/>
        <v>#REF!</v>
      </c>
      <c r="BG42" s="26">
        <f t="shared" si="6"/>
        <v>6650.48</v>
      </c>
      <c r="BH42" s="27">
        <f>AE42+ (AI42-AJ42+AM42+Tableau5617192223242425262827293031333432353620383961719241822254140424344104746[[#This Row],[Int Commandé OT
€]]-Tableau5617192223242425262827293031333432353620383961719241822254140424344104746[[#This Row],[Int Réalisé OT
€]]+AR42) +AY42+BC42</f>
        <v>-269.18000000000029</v>
      </c>
      <c r="BI42" s="16">
        <f t="shared" si="16"/>
        <v>1.0421826273643302</v>
      </c>
      <c r="BJ42" s="16" t="e">
        <f t="shared" si="8"/>
        <v>#REF!</v>
      </c>
      <c r="BK42" s="27" t="e">
        <f t="shared" si="9"/>
        <v>#REF!</v>
      </c>
      <c r="BL42" s="26" t="e">
        <f t="shared" si="10"/>
        <v>#REF!</v>
      </c>
      <c r="BM42" s="28">
        <f>IFERROR(VLOOKUP(H42,'[1]2023dec'!H:CA,54,FALSE),105)</f>
        <v>105</v>
      </c>
      <c r="BN42" s="29">
        <v>1</v>
      </c>
      <c r="BO42" s="30" t="e">
        <f>P42-AC42-AG42-AV42-Tableau5617192223242425262827293031333432353620383961719241822254140424344104746[[#This Row],[Provisions pour risques]]</f>
        <v>#REF!</v>
      </c>
      <c r="BP4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6381.2999999999993</v>
      </c>
      <c r="BQ4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1.0421826273643302</v>
      </c>
      <c r="BR42" s="33" t="e">
        <f t="shared" si="18"/>
        <v>#REF!</v>
      </c>
      <c r="BS42" s="34">
        <f>Tableau5617192223242425262827293031333432353620383961719241822254140424344104746[[#This Row],[Consommé global Enregistré à date (€ HT)]]-IFERROR(VLOOKUP(H42,#REF!,50,FALSE),0)</f>
        <v>6650.48</v>
      </c>
      <c r="BT42" s="35" t="e">
        <f t="shared" si="19"/>
        <v>#REF!</v>
      </c>
      <c r="BU42" s="36">
        <f>BD42-IFERROR(VLOOKUP(H42,#REF!,47,FALSE),0)</f>
        <v>0</v>
      </c>
      <c r="BV42" s="37" t="e">
        <f>+BF42+Tableau5617192223242425262827293031333432353620383961719241822254140424344104746[[#This Row],[CA fin N-1]]-IFERROR(VLOOKUP(H42,#REF!,49,FALSE),0)-IFERROR(VLOOKUP(H42,#REF!,50,FALSE),0)</f>
        <v>#REF!</v>
      </c>
      <c r="BW42" s="33">
        <f>BG42-IFERROR(VLOOKUP(H42,#REF!,51,FALSE),0)</f>
        <v>6650.48</v>
      </c>
      <c r="BX42" s="35" t="e">
        <f t="shared" si="20"/>
        <v>#REF!</v>
      </c>
      <c r="BY42" s="36">
        <f>BD42-IFERROR(VLOOKUP(H42,#REF!,48,FALSE),0)</f>
        <v>0</v>
      </c>
      <c r="BZ4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2" s="39" t="e">
        <f>VLOOKUP(Tableau5617192223242425262827293031333432353620383961719241822254140424344104746[[#This Row],[Num Projets]],#REF!,1,FALSE)</f>
        <v>#REF!</v>
      </c>
      <c r="CB42" s="40">
        <v>133.5</v>
      </c>
      <c r="CC42" s="40">
        <v>0</v>
      </c>
      <c r="CD4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-133.5</v>
      </c>
    </row>
    <row r="43" spans="1:82" s="258" customFormat="1" ht="13.5" customHeight="1" x14ac:dyDescent="0.25">
      <c r="A43" s="311"/>
      <c r="B43" s="1"/>
      <c r="C43" s="2" t="e">
        <f>_xlfn.XLOOKUP(Tableau5617192223242425262827293031333432353620383961719241822254140424344104746[[#This Row],[Num Projets]],#REF!,#REF!,FALSE)</f>
        <v>#REF!</v>
      </c>
      <c r="D43" s="3" t="s">
        <v>40</v>
      </c>
      <c r="E43" s="3" t="e">
        <f>_xlfn.XLOOKUP(Tableau5617192223242425262827293031333432353620383961719241822254140424344104746[[#This Row],[Num Projets]],#REF!,#REF!,FALSE)</f>
        <v>#REF!</v>
      </c>
      <c r="F43" s="3" t="e">
        <f>_xlfn.XLOOKUP(Tableau5617192223242425262827293031333432353620383961719241822254140424344104746[[#This Row],[Num Projets]],#REF!,#REF!,"newavr",0)</f>
        <v>#REF!</v>
      </c>
      <c r="G43" s="3" t="s">
        <v>85</v>
      </c>
      <c r="H43" s="3" t="s">
        <v>93</v>
      </c>
      <c r="I4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3" s="4" t="e">
        <f>VLOOKUP(Tableau5617192223242425262827293031333432353620383961719241822254140424344104746[[#This Row],[Num Projets]],#REF!,36,FALSE)</f>
        <v>#REF!</v>
      </c>
      <c r="K43" s="5" t="s">
        <v>64</v>
      </c>
      <c r="L4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3" s="3" t="e">
        <f>SUBSTITUTE(_xlfn.XLOOKUP(Tableau5617192223242425262827293031333432353620383961719241822254140424344104746[[#This Row],[Num Projets]],#REF!,#REF!,FALSE)," ","")</f>
        <v>#REF!</v>
      </c>
      <c r="N43" s="7" t="e">
        <f>VLOOKUP(H43,#REF!,7,FALSE)</f>
        <v>#REF!</v>
      </c>
      <c r="O43" s="7" t="e">
        <f>IF(VLOOKUP(H43,#REF!,27,FALSE)=0,"",VLOOKUP(H43,#REF!,27,FALSE))</f>
        <v>#REF!</v>
      </c>
      <c r="P43" s="8" t="e">
        <f>VLOOKUP(H43,#REF!,2,FALSE)</f>
        <v>#REF!</v>
      </c>
      <c r="Q43" s="9" t="e">
        <f>Tableau5617192223242425262827293031333432353620383961719241822254140424344104746[[#This Row],[Total Budget
€]]-IFERROR(VLOOKUP(H43,#REF!,8,FALSE),0)</f>
        <v>#REF!</v>
      </c>
      <c r="R43" s="15">
        <f>AD43+AI43+Tableau5617192223242425262827293031333432353620383961719241822254140424344104746[[#This Row],[Int Commandé OT
€]]+AX43</f>
        <v>0</v>
      </c>
      <c r="S43" s="15">
        <f>AD43+AJ43+Tableau5617192223242425262827293031333432353620383961719241822254140424344104746[[#This Row],[Int Réalisé OT
€]]+AX43</f>
        <v>0</v>
      </c>
      <c r="T43" s="94" t="e">
        <f t="shared" si="2"/>
        <v>#REF!</v>
      </c>
      <c r="U4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3" s="42">
        <v>261.3</v>
      </c>
      <c r="X43" s="13">
        <f>IFERROR(VLOOKUP(H43,#REF!,2,FALSE),0)</f>
        <v>0</v>
      </c>
      <c r="Y43" s="13">
        <f>IFERROR(VLOOKUP(H43,#REF!,3,FALSE),0)</f>
        <v>0</v>
      </c>
      <c r="Z4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261</v>
      </c>
      <c r="AA43" s="13">
        <f>IFERROR(VLOOKUP(H43,#REF!,18,FALSE),0)</f>
        <v>0</v>
      </c>
      <c r="AB43" s="13">
        <f>SUM(X43:Y43)-IFERROR(VLOOKUP(H43,#REF!,16,FALSE),0)-IFERROR(VLOOKUP(H43,#REF!,17,FALSE),0)</f>
        <v>0</v>
      </c>
      <c r="AC43" s="15" t="e">
        <f>VLOOKUP(Tableau5617192223242425262827293031333432353620383961719241822254140424344104746[[#This Row],[Num Projets]],#REF!,2,FALSE)</f>
        <v>#REF!</v>
      </c>
      <c r="AD43" s="15">
        <f>IFERROR(VLOOKUP(Tableau5617192223242425262827293031333432353620383961719241822254140424344104746[[#This Row],[Num Projets]],#REF!,2,FALSE),0)</f>
        <v>0</v>
      </c>
      <c r="AE43" s="8">
        <f t="shared" si="3"/>
        <v>12475.8</v>
      </c>
      <c r="AF43" s="22" t="e">
        <f t="shared" si="4"/>
        <v>#REF!</v>
      </c>
      <c r="AG43" s="8">
        <f>IFERROR(VLOOKUP(H43,#REF!,3,FALSE),0)+IFERROR(VLOOKUP(H43,#REF!,3,FALSE),0)</f>
        <v>0</v>
      </c>
      <c r="AH43" s="8">
        <f>IFERROR(VLOOKUP(Tableau5617192223242425262827293031333432353620383961719241822254140424344104746[[#This Row],[Num Projets]],#REF!,2,FALSE),0)</f>
        <v>0</v>
      </c>
      <c r="AI43" s="17">
        <f>+IFERROR(VLOOKUP(H43,#REF!,2,FALSE),0)-Tableau5617192223242425262827293031333432353620383961719241822254140424344104746[[#This Row],[Int Commandé OT
€]]</f>
        <v>0</v>
      </c>
      <c r="AJ43" s="8">
        <f>IFERROR(VLOOKUP(H43,#REF!,11,FALSE),0)-IFERROR(VLOOKUP(H43,#REF!,10,FALSE),0)+Tableau5617192223242425262827293031333432353620383961719241822254140424344104746[[#This Row],[dont FNP à date (€ HT)]]</f>
        <v>0</v>
      </c>
      <c r="AK43" s="15">
        <f t="shared" si="14"/>
        <v>0</v>
      </c>
      <c r="AL4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3" s="19">
        <f>IF(Tableau5617192223242425262827293031333432353620383961719241822254140424344104746[[#This Row],[RAF Achats M-1
€]]=0,0,AN43-AO43)</f>
        <v>0</v>
      </c>
      <c r="AN43" s="8">
        <f>IFERROR(VLOOKUP(H43,#REF!,31,FALSE),0)</f>
        <v>0</v>
      </c>
      <c r="AO43" s="8">
        <f>AI43+-IFERROR(VLOOKUP(H43,#REF!,27,FALSE),0)</f>
        <v>0</v>
      </c>
      <c r="AP43" s="20">
        <f>IFERROR(VLOOKUP(Tableau5617192223242425262827293031333432353620383961719241822254140424344104746[[#This Row],[Num Projets]],#REF!,2,FALSE),0)</f>
        <v>0</v>
      </c>
      <c r="AQ43" s="20">
        <f>_xlfn.XLOOKUP(H43,[2]Synth!$N:$N,[2]Synth!$O:$O,0,FALSE)+_xlfn.XLOOKUP(Tableau5617192223242425262827293031333432353620383961719241822254140424344104746[[#This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3" s="21">
        <v>0</v>
      </c>
      <c r="AS43" s="20">
        <f>+IFERROR(VLOOKUP(H43,#REF!,36,FALSE),0)</f>
        <v>0</v>
      </c>
      <c r="AT4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3" s="22">
        <f>IF(AG43=0,0,1-((AI43+AM43+Tableau5617192223242425262827293031333432353620383961719241822254140424344104746[[#This Row],[Int Commandé OT
€]]+Tableau5617192223242425262827293031333432353620383961719241822254140424344104746[[#This Row],[RAF Int OT
€]])/AG43))</f>
        <v>0</v>
      </c>
      <c r="AV43" s="8">
        <f>IFERROR(VLOOKUP(H43,#REF!,4,FALSE),0)+IFERROR(VLOOKUP(H43,#REF!,4,FALSE),0)</f>
        <v>0</v>
      </c>
      <c r="AW43" s="8">
        <f>IFERROR(VLOOKUP(Tableau5617192223242425262827293031333432353620383961719241822254140424344104746[[#This Row],[Num Projets]],#REF!,3,FALSE),0)</f>
        <v>0</v>
      </c>
      <c r="AX43" s="95">
        <f>IFERROR(VLOOKUP(Tableau5617192223242425262827293031333432353620383961719241822254140424344104746[[#This Row],[Num Projets]],#REF!,10,FALSE),0)</f>
        <v>0</v>
      </c>
      <c r="AY43" s="23">
        <f>Tableau5617192223242425262827293031333432353620383961719241822254140424344104746[[#This Row],[Budget Mission
 €]]/1.2-AX43</f>
        <v>0</v>
      </c>
      <c r="AZ43" s="8">
        <f>IFERROR(VLOOKUP(H43,#REF!,43,FALSE),0)</f>
        <v>0</v>
      </c>
      <c r="BA43" s="8">
        <f>AX43-IFERROR(VLOOKUP(H43,#REF!,42,FALSE),0)</f>
        <v>0</v>
      </c>
      <c r="BB43" s="47">
        <f t="shared" si="17"/>
        <v>0</v>
      </c>
      <c r="BC43" s="24">
        <f>IFERROR(VLOOKUP(H43,#REF!,47,FALSE),IFERROR(VLOOKUP(H43,#REF!,5,FALSE),0)+IFERROR(VLOOKUP(H43,#REF!,5,FALSE),0))</f>
        <v>0</v>
      </c>
      <c r="BD43" s="25">
        <f>IFERROR(VLOOKUP(H43,#REF!,2,FALSE),0)</f>
        <v>0</v>
      </c>
      <c r="BE43" s="25">
        <f>IFERROR(VLOOKUP(H43,#REF!,49,FALSE),0)</f>
        <v>0</v>
      </c>
      <c r="BF43" s="50" t="e">
        <f t="shared" si="5"/>
        <v>#REF!</v>
      </c>
      <c r="BG43" s="50">
        <f t="shared" si="6"/>
        <v>0</v>
      </c>
      <c r="BH43" s="27">
        <f>AE43+ (AI43-AJ43+AM43+Tableau5617192223242425262827293031333432353620383961719241822254140424344104746[[#This Row],[Int Commandé OT
€]]-Tableau5617192223242425262827293031333432353620383961719241822254140424344104746[[#This Row],[Int Réalisé OT
€]]+AR43) +AY43+BC43</f>
        <v>12475.8</v>
      </c>
      <c r="BI43" s="47">
        <f t="shared" si="16"/>
        <v>0</v>
      </c>
      <c r="BJ43" s="47" t="e">
        <f t="shared" si="8"/>
        <v>#REF!</v>
      </c>
      <c r="BK43" s="27" t="e">
        <f t="shared" si="9"/>
        <v>#REF!</v>
      </c>
      <c r="BL43" s="26" t="e">
        <f t="shared" si="10"/>
        <v>#REF!</v>
      </c>
      <c r="BM43" s="96">
        <v>43</v>
      </c>
      <c r="BN43" s="29">
        <v>1</v>
      </c>
      <c r="BO43" s="30" t="e">
        <f>P43-AC43-AG43-AV43-Tableau5617192223242425262827293031333432353620383961719241822254140424344104746[[#This Row],[Provisions pour risques]]</f>
        <v>#REF!</v>
      </c>
      <c r="BP4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12475.8</v>
      </c>
      <c r="BQ4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3" s="97" t="e">
        <f t="shared" si="18"/>
        <v>#REF!</v>
      </c>
      <c r="BS43" s="34">
        <f>Tableau5617192223242425262827293031333432353620383961719241822254140424344104746[[#This Row],[Consommé global Enregistré à date (€ HT)]]-IFERROR(VLOOKUP(H43,#REF!,50,FALSE),0)</f>
        <v>0</v>
      </c>
      <c r="BT43" s="35" t="e">
        <f t="shared" si="19"/>
        <v>#REF!</v>
      </c>
      <c r="BU43" s="36">
        <f>BD43-IFERROR(VLOOKUP(H43,#REF!,47,FALSE),0)</f>
        <v>0</v>
      </c>
      <c r="BV43" s="37" t="e">
        <f>+BF43+Tableau5617192223242425262827293031333432353620383961719241822254140424344104746[[#This Row],[CA fin N-1]]-IFERROR(VLOOKUP(H43,#REF!,49,FALSE),0)-IFERROR(VLOOKUP(H43,#REF!,50,FALSE),0)</f>
        <v>#REF!</v>
      </c>
      <c r="BW43" s="33">
        <f>BG43-IFERROR(VLOOKUP(H43,#REF!,51,FALSE),0)</f>
        <v>0</v>
      </c>
      <c r="BX43" s="35" t="e">
        <f t="shared" si="20"/>
        <v>#REF!</v>
      </c>
      <c r="BY43" s="36">
        <f>BD43-IFERROR(VLOOKUP(H43,#REF!,48,FALSE),0)</f>
        <v>0</v>
      </c>
      <c r="BZ4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3" s="39" t="e">
        <f>VLOOKUP(Tableau5617192223242425262827293031333432353620383961719241822254140424344104746[[#This Row],[Num Projets]],#REF!,1,FALSE)</f>
        <v>#REF!</v>
      </c>
      <c r="CB43" s="40">
        <v>261</v>
      </c>
      <c r="CC43" s="40">
        <v>0</v>
      </c>
      <c r="CD4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-261</v>
      </c>
    </row>
    <row r="44" spans="1:82" s="258" customFormat="1" ht="13.5" customHeight="1" x14ac:dyDescent="0.25">
      <c r="A44" s="313" t="s">
        <v>94</v>
      </c>
      <c r="B44" s="1"/>
      <c r="C44" s="2" t="e">
        <f>_xlfn.XLOOKUP(Tableau5617192223242425262827293031333432353620383961719241822254140424344104746[[#This Row],[Num Projets]],#REF!,#REF!,FALSE)</f>
        <v>#REF!</v>
      </c>
      <c r="D44" s="3" t="s">
        <v>6</v>
      </c>
      <c r="E44" s="3" t="e">
        <f>_xlfn.XLOOKUP(Tableau5617192223242425262827293031333432353620383961719241822254140424344104746[[#This Row],[Num Projets]],#REF!,#REF!,FALSE)</f>
        <v>#REF!</v>
      </c>
      <c r="F44" s="3" t="e">
        <f>_xlfn.XLOOKUP(Tableau5617192223242425262827293031333432353620383961719241822254140424344104746[[#This Row],[Num Projets]],#REF!,#REF!,"newavr",0)</f>
        <v>#REF!</v>
      </c>
      <c r="G44" s="3" t="s">
        <v>2</v>
      </c>
      <c r="H44" s="3" t="s">
        <v>95</v>
      </c>
      <c r="I4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4" s="4" t="e">
        <f>VLOOKUP(Tableau5617192223242425262827293031333432353620383961719241822254140424344104746[[#This Row],[Num Projets]],#REF!,36,FALSE)</f>
        <v>#REF!</v>
      </c>
      <c r="K44" s="5" t="s">
        <v>21</v>
      </c>
      <c r="L4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4" s="3" t="e">
        <f>SUBSTITUTE(_xlfn.XLOOKUP(Tableau5617192223242425262827293031333432353620383961719241822254140424344104746[[#This Row],[Num Projets]],#REF!,#REF!,FALSE)," ","")</f>
        <v>#REF!</v>
      </c>
      <c r="N44" s="7" t="e">
        <f>VLOOKUP(H44,#REF!,7,FALSE)</f>
        <v>#REF!</v>
      </c>
      <c r="O44" s="7" t="e">
        <f>IF(VLOOKUP(H44,#REF!,27,FALSE)=0,"",VLOOKUP(H44,#REF!,27,FALSE))</f>
        <v>#REF!</v>
      </c>
      <c r="P44" s="8" t="e">
        <f>VLOOKUP(H44,#REF!,2,FALSE)</f>
        <v>#REF!</v>
      </c>
      <c r="Q44" s="9" t="e">
        <f>Tableau5617192223242425262827293031333432353620383961719241822254140424344104746[[#This Row],[Total Budget
€]]-IFERROR(VLOOKUP(H44,#REF!,8,FALSE),0)</f>
        <v>#REF!</v>
      </c>
      <c r="R44" s="15">
        <f>AD44+AI44+Tableau5617192223242425262827293031333432353620383961719241822254140424344104746[[#This Row],[Int Commandé OT
€]]+AX44</f>
        <v>0</v>
      </c>
      <c r="S44" s="15">
        <f>AD44+AJ44+Tableau5617192223242425262827293031333432353620383961719241822254140424344104746[[#This Row],[Int Réalisé OT
€]]+AX44</f>
        <v>0</v>
      </c>
      <c r="T44" s="47" t="e">
        <f t="shared" si="2"/>
        <v>#REF!</v>
      </c>
      <c r="U4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4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4" s="12">
        <f>IFERROR(VLOOKUP(H44,#REF!,2,FALSE),0)</f>
        <v>0</v>
      </c>
      <c r="X44" s="13">
        <f>IFERROR(VLOOKUP(H44,#REF!,2,FALSE),0)</f>
        <v>0</v>
      </c>
      <c r="Y44" s="13">
        <f>IFERROR(VLOOKUP(H44,#REF!,3,FALSE),0)</f>
        <v>0</v>
      </c>
      <c r="Z4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</v>
      </c>
      <c r="AA44" s="13">
        <f>IFERROR(VLOOKUP(H44,#REF!,18,FALSE),0)</f>
        <v>0</v>
      </c>
      <c r="AB44" s="13">
        <f>SUM(X44:Y44)-IFERROR(VLOOKUP(H44,#REF!,16,FALSE),0)-IFERROR(VLOOKUP(H44,#REF!,17,FALSE),0)</f>
        <v>0</v>
      </c>
      <c r="AC44" s="15" t="e">
        <f>VLOOKUP(Tableau5617192223242425262827293031333432353620383961719241822254140424344104746[[#This Row],[Num Projets]],#REF!,2,FALSE)</f>
        <v>#REF!</v>
      </c>
      <c r="AD44" s="10">
        <f>IFERROR(VLOOKUP(Tableau5617192223242425262827293031333432353620383961719241822254140424344104746[[#This Row],[Num Projets]],#REF!,2,FALSE),0)</f>
        <v>0</v>
      </c>
      <c r="AE44" s="8">
        <f t="shared" si="3"/>
        <v>669.19999999999993</v>
      </c>
      <c r="AF44" s="47" t="e">
        <f t="shared" si="4"/>
        <v>#REF!</v>
      </c>
      <c r="AG44" s="8">
        <f>IFERROR(VLOOKUP(H44,#REF!,3,FALSE),0)+IFERROR(VLOOKUP(H44,#REF!,3,FALSE),0)</f>
        <v>0</v>
      </c>
      <c r="AH44" s="8">
        <f>IFERROR(VLOOKUP(Tableau5617192223242425262827293031333432353620383961719241822254140424344104746[[#This Row],[Num Projets]],#REF!,2,FALSE),0)</f>
        <v>0</v>
      </c>
      <c r="AI44" s="17">
        <f>+IFERROR(VLOOKUP(H44,#REF!,2,FALSE),0)-Tableau5617192223242425262827293031333432353620383961719241822254140424344104746[[#This Row],[Int Commandé OT
€]]</f>
        <v>0</v>
      </c>
      <c r="AJ44" s="8">
        <f>IFERROR(VLOOKUP(H44,#REF!,11,FALSE),0)-IFERROR(VLOOKUP(H44,#REF!,10,FALSE),0)+Tableau5617192223242425262827293031333432353620383961719241822254140424344104746[[#This Row],[dont FNP à date (€ HT)]]</f>
        <v>0</v>
      </c>
      <c r="AK44" s="15">
        <f t="shared" si="14"/>
        <v>0</v>
      </c>
      <c r="AL4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4" s="19">
        <f>IF(Tableau5617192223242425262827293031333432353620383961719241822254140424344104746[[#This Row],[RAF Achats M-1
€]]=0,0,AN44-AO44)</f>
        <v>0</v>
      </c>
      <c r="AN44" s="8">
        <f>IFERROR(VLOOKUP(H44,#REF!,31,FALSE),0)</f>
        <v>0</v>
      </c>
      <c r="AO44" s="8">
        <f>AI44+-IFERROR(VLOOKUP(H44,#REF!,27,FALSE),0)</f>
        <v>0</v>
      </c>
      <c r="AP44" s="20">
        <f>IFERROR(VLOOKUP(Tableau5617192223242425262827293031333432353620383961719241822254140424344104746[[#This Row],[Num Projets]],#REF!,2,FALSE),0)</f>
        <v>0</v>
      </c>
      <c r="AQ44" s="20">
        <f>_xlfn.XLOOKUP(H44,[2]Synth!$N:$N,[2]Synth!$O:$O,0,FALSE)+_xlfn.XLOOKUP(Tableau5617192223242425262827293031333432353620383961719241822254140424344104746[[#This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4" s="21">
        <v>0</v>
      </c>
      <c r="AS44" s="20">
        <f>+IFERROR(VLOOKUP(H44,#REF!,36,FALSE),0)</f>
        <v>0</v>
      </c>
      <c r="AT4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4" s="22">
        <f>IF(AG44=0,0,1-((AI44+AM44+Tableau5617192223242425262827293031333432353620383961719241822254140424344104746[[#This Row],[Int Commandé OT
€]]+Tableau5617192223242425262827293031333432353620383961719241822254140424344104746[[#This Row],[RAF Int OT
€]])/AG44))</f>
        <v>0</v>
      </c>
      <c r="AV44" s="8">
        <f>IFERROR(VLOOKUP(H44,#REF!,4,FALSE),0)+IFERROR(VLOOKUP(H44,#REF!,4,FALSE),0)</f>
        <v>0</v>
      </c>
      <c r="AW44" s="8">
        <f>IFERROR(VLOOKUP(Tableau5617192223242425262827293031333432353620383961719241822254140424344104746[[#This Row],[Num Projets]],#REF!,3,FALSE),0)</f>
        <v>0</v>
      </c>
      <c r="AX44" s="20">
        <f>IFERROR(VLOOKUP(Tableau5617192223242425262827293031333432353620383961719241822254140424344104746[[#This Row],[Num Projets]],#REF!,10,FALSE),0)</f>
        <v>0</v>
      </c>
      <c r="AY44" s="23">
        <v>0</v>
      </c>
      <c r="AZ44" s="8">
        <f>IFERROR(VLOOKUP(H44,#REF!,43,FALSE),0)</f>
        <v>0</v>
      </c>
      <c r="BA44" s="8">
        <f>AX44-IFERROR(VLOOKUP(H44,#REF!,42,FALSE),0)</f>
        <v>0</v>
      </c>
      <c r="BB44" s="47">
        <f t="shared" si="17"/>
        <v>0</v>
      </c>
      <c r="BC44" s="24">
        <f>IFERROR(VLOOKUP(H44,#REF!,47,FALSE),IFERROR(VLOOKUP(H44,#REF!,5,FALSE),0)+IFERROR(VLOOKUP(H44,#REF!,5,FALSE),0))</f>
        <v>0</v>
      </c>
      <c r="BD44" s="25">
        <f>IFERROR(VLOOKUP(H44,#REF!,2,FALSE),0)</f>
        <v>0</v>
      </c>
      <c r="BE44" s="25">
        <f>IFERROR(VLOOKUP(H44,#REF!,49,FALSE),0)</f>
        <v>0</v>
      </c>
      <c r="BF44" s="26" t="e">
        <f t="shared" si="5"/>
        <v>#REF!</v>
      </c>
      <c r="BG44" s="26">
        <f t="shared" si="6"/>
        <v>0</v>
      </c>
      <c r="BH44" s="27">
        <f>AE44+ (AI44-AJ44+AM44+Tableau5617192223242425262827293031333432353620383961719241822254140424344104746[[#This Row],[Int Commandé OT
€]]-Tableau5617192223242425262827293031333432353620383961719241822254140424344104746[[#This Row],[Int Réalisé OT
€]]+AR44) +AY44+BC44</f>
        <v>669.19999999999993</v>
      </c>
      <c r="BI44" s="16">
        <f t="shared" si="16"/>
        <v>0</v>
      </c>
      <c r="BJ44" s="16" t="e">
        <f t="shared" si="8"/>
        <v>#REF!</v>
      </c>
      <c r="BK44" s="27" t="e">
        <f t="shared" si="9"/>
        <v>#REF!</v>
      </c>
      <c r="BL44" s="26" t="e">
        <f t="shared" si="10"/>
        <v>#REF!</v>
      </c>
      <c r="BM44" s="28">
        <f>IFERROR(VLOOKUP(H44,'[1]2023dec'!H:CA,54,FALSE),105)</f>
        <v>105</v>
      </c>
      <c r="BN44" s="29">
        <v>1</v>
      </c>
      <c r="BO44" s="30" t="e">
        <f>P44-AC44-AG44-AV44-Tableau5617192223242425262827293031333432353620383961719241822254140424344104746[[#This Row],[Provisions pour risques]]</f>
        <v>#REF!</v>
      </c>
      <c r="BP4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669.19999999999993</v>
      </c>
      <c r="BQ4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4" s="33" t="e">
        <f t="shared" si="18"/>
        <v>#REF!</v>
      </c>
      <c r="BS44" s="34">
        <f>Tableau5617192223242425262827293031333432353620383961719241822254140424344104746[[#This Row],[Consommé global Enregistré à date (€ HT)]]-IFERROR(VLOOKUP(H44,#REF!,50,FALSE),0)</f>
        <v>0</v>
      </c>
      <c r="BT44" s="35" t="e">
        <f t="shared" si="19"/>
        <v>#REF!</v>
      </c>
      <c r="BU44" s="36">
        <f>BD44-IFERROR(VLOOKUP(H44,#REF!,47,FALSE),0)</f>
        <v>0</v>
      </c>
      <c r="BV44" s="37" t="e">
        <f>+BF44+Tableau5617192223242425262827293031333432353620383961719241822254140424344104746[[#This Row],[CA fin N-1]]-IFERROR(VLOOKUP(H44,#REF!,49,FALSE),0)-IFERROR(VLOOKUP(H44,#REF!,50,FALSE),0)</f>
        <v>#REF!</v>
      </c>
      <c r="BW44" s="33">
        <f>BG44-IFERROR(VLOOKUP(H44,#REF!,51,FALSE),0)</f>
        <v>0</v>
      </c>
      <c r="BX44" s="35" t="e">
        <f t="shared" si="20"/>
        <v>#REF!</v>
      </c>
      <c r="BY44" s="36">
        <f>BD44-IFERROR(VLOOKUP(H44,#REF!,48,FALSE),0)</f>
        <v>0</v>
      </c>
      <c r="BZ4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4" s="39" t="e">
        <f>VLOOKUP(Tableau5617192223242425262827293031333432353620383961719241822254140424344104746[[#This Row],[Num Projets]],#REF!,1,FALSE)</f>
        <v>#REF!</v>
      </c>
      <c r="CB44" s="40">
        <v>14</v>
      </c>
      <c r="CC44" s="40">
        <v>0</v>
      </c>
      <c r="CD4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</v>
      </c>
    </row>
    <row r="45" spans="1:82" s="258" customFormat="1" ht="13.5" customHeight="1" x14ac:dyDescent="0.25">
      <c r="A45" s="311" t="s">
        <v>96</v>
      </c>
      <c r="B45" s="1"/>
      <c r="C45" s="2" t="e">
        <f>_xlfn.XLOOKUP(Tableau5617192223242425262827293031333432353620383961719241822254140424344104746[[#This Row],[Num Projets]],#REF!,#REF!,FALSE)</f>
        <v>#REF!</v>
      </c>
      <c r="D45" s="3" t="s">
        <v>11</v>
      </c>
      <c r="E45" s="3" t="e">
        <f>_xlfn.XLOOKUP(Tableau5617192223242425262827293031333432353620383961719241822254140424344104746[[#This Row],[Num Projets]],#REF!,#REF!,FALSE)</f>
        <v>#REF!</v>
      </c>
      <c r="F45" s="3" t="s">
        <v>52</v>
      </c>
      <c r="G45" s="3" t="s">
        <v>2</v>
      </c>
      <c r="H45" s="22" t="s">
        <v>97</v>
      </c>
      <c r="I4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5" s="4" t="e">
        <f>VLOOKUP(Tableau5617192223242425262827293031333432353620383961719241822254140424344104746[[#This Row],[Num Projets]],#REF!,36,FALSE)</f>
        <v>#REF!</v>
      </c>
      <c r="K45" s="5" t="s">
        <v>4</v>
      </c>
      <c r="L4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5" s="3" t="e">
        <f>SUBSTITUTE(_xlfn.XLOOKUP(Tableau5617192223242425262827293031333432353620383961719241822254140424344104746[[#This Row],[Num Projets]],#REF!,#REF!,FALSE)," ","")</f>
        <v>#REF!</v>
      </c>
      <c r="N45" s="7" t="e">
        <f>VLOOKUP(H45,#REF!,7,FALSE)</f>
        <v>#REF!</v>
      </c>
      <c r="O45" s="7" t="e">
        <f>IF(VLOOKUP(H45,#REF!,27,FALSE)=0,"",VLOOKUP(H45,#REF!,27,FALSE))</f>
        <v>#REF!</v>
      </c>
      <c r="P45" s="8" t="e">
        <f>VLOOKUP(H45,#REF!,2,FALSE)</f>
        <v>#REF!</v>
      </c>
      <c r="Q45" s="9" t="e">
        <f>Tableau5617192223242425262827293031333432353620383961719241822254140424344104746[[#This Row],[Total Budget
€]]-IFERROR(VLOOKUP(H45,#REF!,8,FALSE),0)</f>
        <v>#REF!</v>
      </c>
      <c r="R45" s="15">
        <f>AD45+AI45+Tableau5617192223242425262827293031333432353620383961719241822254140424344104746[[#This Row],[Int Commandé OT
€]]+AX45</f>
        <v>0</v>
      </c>
      <c r="S45" s="15">
        <f>AD45+AJ45+Tableau5617192223242425262827293031333432353620383961719241822254140424344104746[[#This Row],[Int Réalisé OT
€]]+AX45</f>
        <v>0</v>
      </c>
      <c r="T45" s="94" t="e">
        <f t="shared" si="2"/>
        <v>#REF!</v>
      </c>
      <c r="U4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5" s="12">
        <f>IFERROR(VLOOKUP(H45,#REF!,2,FALSE),0)</f>
        <v>0</v>
      </c>
      <c r="X45" s="13">
        <f>IFERROR(VLOOKUP(H45,#REF!,2,FALSE),0)</f>
        <v>0</v>
      </c>
      <c r="Y45" s="13">
        <f>IFERROR(VLOOKUP(H45,#REF!,3,FALSE),0)</f>
        <v>0</v>
      </c>
      <c r="Z4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</v>
      </c>
      <c r="AA45" s="13">
        <f>IFERROR(VLOOKUP(H45,#REF!,18,FALSE),0)</f>
        <v>0</v>
      </c>
      <c r="AB45" s="13">
        <f>SUM(X45:Y45)-IFERROR(VLOOKUP(H45,#REF!,16,FALSE),0)-IFERROR(VLOOKUP(H45,#REF!,17,FALSE),0)</f>
        <v>0</v>
      </c>
      <c r="AC45" s="15" t="e">
        <f>VLOOKUP(Tableau5617192223242425262827293031333432353620383961719241822254140424344104746[[#This Row],[Num Projets]],#REF!,2,FALSE)</f>
        <v>#REF!</v>
      </c>
      <c r="AD45" s="10">
        <f>IFERROR(VLOOKUP(Tableau5617192223242425262827293031333432353620383961719241822254140424344104746[[#This Row],[Num Projets]],#REF!,2,FALSE),0)</f>
        <v>0</v>
      </c>
      <c r="AE45" s="8">
        <f t="shared" si="3"/>
        <v>430.2</v>
      </c>
      <c r="AF45" s="47" t="e">
        <f t="shared" si="4"/>
        <v>#REF!</v>
      </c>
      <c r="AG45" s="8">
        <f>IFERROR(VLOOKUP(H45,#REF!,3,FALSE),0)+IFERROR(VLOOKUP(H45,#REF!,3,FALSE),0)</f>
        <v>0</v>
      </c>
      <c r="AH45" s="8">
        <f>IFERROR(VLOOKUP(Tableau5617192223242425262827293031333432353620383961719241822254140424344104746[[#This Row],[Num Projets]],#REF!,2,FALSE),0)</f>
        <v>0</v>
      </c>
      <c r="AI45" s="17">
        <f>+IFERROR(VLOOKUP(H45,#REF!,2,FALSE),0)-Tableau5617192223242425262827293031333432353620383961719241822254140424344104746[[#This Row],[Int Commandé OT
€]]</f>
        <v>0</v>
      </c>
      <c r="AJ45" s="8">
        <f>IFERROR(VLOOKUP(H45,#REF!,11,FALSE),0)-IFERROR(VLOOKUP(H45,#REF!,10,FALSE),0)+Tableau5617192223242425262827293031333432353620383961719241822254140424344104746[[#This Row],[dont FNP à date (€ HT)]]</f>
        <v>0</v>
      </c>
      <c r="AK45" s="15">
        <f t="shared" si="14"/>
        <v>0</v>
      </c>
      <c r="AL4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5" s="19">
        <f>IF(Tableau5617192223242425262827293031333432353620383961719241822254140424344104746[[#This Row],[RAF Achats M-1
€]]=0,0,AN45-AO45)</f>
        <v>0</v>
      </c>
      <c r="AN45" s="8">
        <f>IFERROR(VLOOKUP(H45,#REF!,31,FALSE),0)</f>
        <v>0</v>
      </c>
      <c r="AO45" s="8">
        <f>AI45+-IFERROR(VLOOKUP(H45,#REF!,27,FALSE),0)</f>
        <v>0</v>
      </c>
      <c r="AP45" s="20">
        <f>IFERROR(VLOOKUP(Tableau5617192223242425262827293031333432353620383961719241822254140424344104746[[#This Row],[Num Projets]],#REF!,2,FALSE),0)</f>
        <v>0</v>
      </c>
      <c r="AQ45" s="20">
        <f>_xlfn.XLOOKUP(H45,[2]Synth!$N:$N,[2]Synth!$O:$O,0,FALSE)+_xlfn.XLOOKUP(Tableau5617192223242425262827293031333432353620383961719241822254140424344104746[[#This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5" s="21">
        <v>0</v>
      </c>
      <c r="AS45" s="20">
        <f>+IFERROR(VLOOKUP(H45,#REF!,36,FALSE),0)</f>
        <v>0</v>
      </c>
      <c r="AT4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5" s="22">
        <f>IF(AG45=0,0,1-((AI45+AM45+Tableau5617192223242425262827293031333432353620383961719241822254140424344104746[[#This Row],[Int Commandé OT
€]]+Tableau5617192223242425262827293031333432353620383961719241822254140424344104746[[#This Row],[RAF Int OT
€]])/AG45))</f>
        <v>0</v>
      </c>
      <c r="AV45" s="8">
        <f>IFERROR(VLOOKUP(H45,#REF!,4,FALSE),0)+IFERROR(VLOOKUP(H45,#REF!,4,FALSE),0)</f>
        <v>0</v>
      </c>
      <c r="AW45" s="8">
        <f>IFERROR(VLOOKUP(Tableau5617192223242425262827293031333432353620383961719241822254140424344104746[[#This Row],[Num Projets]],#REF!,3,FALSE),0)</f>
        <v>0</v>
      </c>
      <c r="AX45" s="95">
        <f>IFERROR(VLOOKUP(Tableau5617192223242425262827293031333432353620383961719241822254140424344104746[[#This Row],[Num Projets]],#REF!,10,FALSE),0)</f>
        <v>0</v>
      </c>
      <c r="AY45" s="23">
        <f>Tableau5617192223242425262827293031333432353620383961719241822254140424344104746[[#This Row],[Budget Mission
 €]]/1.2-AX45</f>
        <v>0</v>
      </c>
      <c r="AZ45" s="8">
        <f>IFERROR(VLOOKUP(H45,#REF!,43,FALSE),0)</f>
        <v>0</v>
      </c>
      <c r="BA45" s="8">
        <f>AX45-IFERROR(VLOOKUP(H45,#REF!,42,FALSE),0)</f>
        <v>0</v>
      </c>
      <c r="BB45" s="47">
        <f t="shared" si="17"/>
        <v>0</v>
      </c>
      <c r="BC45" s="24">
        <f>IFERROR(VLOOKUP(H45,#REF!,47,FALSE),IFERROR(VLOOKUP(H45,#REF!,5,FALSE),0)+IFERROR(VLOOKUP(H45,#REF!,5,FALSE),0))</f>
        <v>0</v>
      </c>
      <c r="BD45" s="25">
        <f>IFERROR(VLOOKUP(H45,#REF!,2,FALSE),0)</f>
        <v>0</v>
      </c>
      <c r="BE45" s="25">
        <f>IFERROR(VLOOKUP(H45,#REF!,49,FALSE),0)</f>
        <v>0</v>
      </c>
      <c r="BF45" s="26" t="e">
        <f t="shared" si="5"/>
        <v>#REF!</v>
      </c>
      <c r="BG45" s="26">
        <f t="shared" si="6"/>
        <v>0</v>
      </c>
      <c r="BH45" s="27">
        <f>AE45+ (AI45-AJ45+AM45+Tableau5617192223242425262827293031333432353620383961719241822254140424344104746[[#This Row],[Int Commandé OT
€]]-Tableau5617192223242425262827293031333432353620383961719241822254140424344104746[[#This Row],[Int Réalisé OT
€]]+AR45) +AY45+BC45</f>
        <v>430.2</v>
      </c>
      <c r="BI45" s="16">
        <f t="shared" si="16"/>
        <v>0</v>
      </c>
      <c r="BJ45" s="16" t="e">
        <f t="shared" si="8"/>
        <v>#REF!</v>
      </c>
      <c r="BK45" s="27" t="e">
        <f t="shared" si="9"/>
        <v>#REF!</v>
      </c>
      <c r="BL45" s="26" t="e">
        <f t="shared" si="10"/>
        <v>#REF!</v>
      </c>
      <c r="BM45" s="28">
        <f>IFERROR(VLOOKUP(H45,'[1]2023dec'!H:CA,54,FALSE),105)</f>
        <v>105</v>
      </c>
      <c r="BN45" s="29">
        <v>1</v>
      </c>
      <c r="BO45" s="30" t="e">
        <f>P45-AC45-AG45-AV45-Tableau5617192223242425262827293031333432353620383961719241822254140424344104746[[#This Row],[Provisions pour risques]]</f>
        <v>#REF!</v>
      </c>
      <c r="BP4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430.2</v>
      </c>
      <c r="BQ4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5" s="33" t="e">
        <f t="shared" si="18"/>
        <v>#REF!</v>
      </c>
      <c r="BS45" s="34">
        <f>Tableau5617192223242425262827293031333432353620383961719241822254140424344104746[[#This Row],[Consommé global Enregistré à date (€ HT)]]-IFERROR(VLOOKUP(H45,#REF!,50,FALSE),0)</f>
        <v>0</v>
      </c>
      <c r="BT45" s="35" t="e">
        <f t="shared" si="19"/>
        <v>#REF!</v>
      </c>
      <c r="BU45" s="36">
        <f>BD45-IFERROR(VLOOKUP(H45,#REF!,47,FALSE),0)</f>
        <v>0</v>
      </c>
      <c r="BV45" s="37" t="e">
        <f>+BF45+Tableau5617192223242425262827293031333432353620383961719241822254140424344104746[[#This Row],[CA fin N-1]]-IFERROR(VLOOKUP(H45,#REF!,49,FALSE),0)-IFERROR(VLOOKUP(H45,#REF!,50,FALSE),0)</f>
        <v>#REF!</v>
      </c>
      <c r="BW45" s="33">
        <f>BG45-IFERROR(VLOOKUP(H45,#REF!,51,FALSE),0)</f>
        <v>0</v>
      </c>
      <c r="BX45" s="35" t="e">
        <f t="shared" si="20"/>
        <v>#REF!</v>
      </c>
      <c r="BY45" s="36">
        <f>BD45-IFERROR(VLOOKUP(H45,#REF!,48,FALSE),0)</f>
        <v>0</v>
      </c>
      <c r="BZ4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5" s="39" t="e">
        <f>VLOOKUP(Tableau5617192223242425262827293031333432353620383961719241822254140424344104746[[#This Row],[Num Projets]],#REF!,1,FALSE)</f>
        <v>#REF!</v>
      </c>
      <c r="CB45" s="40">
        <v>9</v>
      </c>
      <c r="CC45" s="40">
        <v>0</v>
      </c>
      <c r="CD4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</v>
      </c>
    </row>
    <row r="46" spans="1:82" s="258" customFormat="1" ht="13.5" customHeight="1" x14ac:dyDescent="0.25">
      <c r="A46" s="311" t="s">
        <v>98</v>
      </c>
      <c r="B46" s="1"/>
      <c r="C46" s="2" t="e">
        <f>_xlfn.XLOOKUP(Tableau5617192223242425262827293031333432353620383961719241822254140424344104746[[#This Row],[Num Projets]],#REF!,#REF!,FALSE)</f>
        <v>#REF!</v>
      </c>
      <c r="D46" s="3" t="s">
        <v>40</v>
      </c>
      <c r="E46" s="3" t="e">
        <f>_xlfn.XLOOKUP(Tableau5617192223242425262827293031333432353620383961719241822254140424344104746[[#This Row],[Num Projets]],#REF!,#REF!,FALSE)</f>
        <v>#REF!</v>
      </c>
      <c r="F46" s="3" t="e">
        <f>_xlfn.XLOOKUP(Tableau5617192223242425262827293031333432353620383961719241822254140424344104746[[#This Row],[Num Projets]],#REF!,#REF!,"newavr",0)</f>
        <v>#REF!</v>
      </c>
      <c r="G46" s="3" t="s">
        <v>99</v>
      </c>
      <c r="H46" s="3" t="s">
        <v>100</v>
      </c>
      <c r="I4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6" s="4" t="e">
        <f>VLOOKUP(Tableau5617192223242425262827293031333432353620383961719241822254140424344104746[[#This Row],[Num Projets]],#REF!,36,FALSE)</f>
        <v>#REF!</v>
      </c>
      <c r="K46" s="5" t="s">
        <v>21</v>
      </c>
      <c r="L4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6" s="3" t="e">
        <f>SUBSTITUTE(_xlfn.XLOOKUP(Tableau5617192223242425262827293031333432353620383961719241822254140424344104746[[#This Row],[Num Projets]],#REF!,#REF!,FALSE)," ","")</f>
        <v>#REF!</v>
      </c>
      <c r="N46" s="7" t="e">
        <f>VLOOKUP(H46,#REF!,7,FALSE)</f>
        <v>#REF!</v>
      </c>
      <c r="O46" s="7" t="e">
        <f>IF(VLOOKUP(H46,#REF!,27,FALSE)=0,"",VLOOKUP(H46,#REF!,27,FALSE))</f>
        <v>#REF!</v>
      </c>
      <c r="P46" s="41" t="e">
        <f>VLOOKUP(H46,#REF!,2,FALSE)+22000*0.6</f>
        <v>#REF!</v>
      </c>
      <c r="Q46" s="9" t="e">
        <f>Tableau5617192223242425262827293031333432353620383961719241822254140424344104746[[#This Row],[Total Budget
€]]-IFERROR(VLOOKUP(H46,#REF!,8,FALSE),0)</f>
        <v>#REF!</v>
      </c>
      <c r="R46" s="15">
        <f>AD46+AI46+Tableau5617192223242425262827293031333432353620383961719241822254140424344104746[[#This Row],[Int Commandé OT
€]]+AX46</f>
        <v>466.53</v>
      </c>
      <c r="S46" s="15">
        <f>AD46+AJ46+Tableau5617192223242425262827293031333432353620383961719241822254140424344104746[[#This Row],[Int Réalisé OT
€]]+AX46</f>
        <v>188378.12647177375</v>
      </c>
      <c r="T46" s="94" t="e">
        <f t="shared" si="2"/>
        <v>#REF!</v>
      </c>
      <c r="U4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6" s="42" t="e">
        <f>Tableau5617192223242425262827293031333432353620383961719241822254140424344104746[[#This Row],[Budget Heures Valorisées
€]]/105</f>
        <v>#REF!</v>
      </c>
      <c r="X46" s="13">
        <f>IFERROR(VLOOKUP(H46,#REF!,2,FALSE),0)</f>
        <v>0</v>
      </c>
      <c r="Y46" s="13">
        <f>IFERROR(VLOOKUP(H46,#REF!,3,FALSE),0)</f>
        <v>0</v>
      </c>
      <c r="Z46" s="14">
        <v>0</v>
      </c>
      <c r="AA46" s="13">
        <f>IFERROR(VLOOKUP(H46,#REF!,18,FALSE),0)</f>
        <v>0</v>
      </c>
      <c r="AB46" s="13">
        <f>SUM(X46:Y46)-IFERROR(VLOOKUP(H46,#REF!,16,FALSE),0)-IFERROR(VLOOKUP(H46,#REF!,17,FALSE),0)</f>
        <v>0</v>
      </c>
      <c r="AC46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46" s="15">
        <f>IFERROR(VLOOKUP(Tableau5617192223242425262827293031333432353620383961719241822254140424344104746[[#This Row],[Num Projets]],#REF!,2,FALSE),0)</f>
        <v>0</v>
      </c>
      <c r="AE46" s="8">
        <f t="shared" si="3"/>
        <v>0</v>
      </c>
      <c r="AF46" s="22" t="e">
        <f t="shared" si="4"/>
        <v>#REF!</v>
      </c>
      <c r="AG46" s="41">
        <f>IFERROR(VLOOKUP(H46,#REF!,3,FALSE),0)+IFERROR(VLOOKUP(H46,#REF!,3,FALSE),0)-1280*105+30000</f>
        <v>-104400</v>
      </c>
      <c r="AH46" s="8">
        <f>IFERROR(VLOOKUP(Tableau5617192223242425262827293031333432353620383961719241822254140424344104746[[#This Row],[Num Projets]],#REF!,2,FALSE),0)</f>
        <v>0</v>
      </c>
      <c r="AI46" s="92">
        <f>+IFERROR(VLOOKUP(H46,#REF!,2,FALSE),0)-Tableau5617192223242425262827293031333432353620383961719241822254140424344104746[[#This Row],[Int Commandé OT
€]]+466.53</f>
        <v>466.53</v>
      </c>
      <c r="AJ46" s="8">
        <f>IFERROR(VLOOKUP(H46,#REF!,11,FALSE),0)-IFERROR(VLOOKUP(H46,#REF!,10,FALSE),0)+Tableau5617192223242425262827293031333432353620383961719241822254140424344104746[[#This Row],[dont FNP à date (€ HT)]]</f>
        <v>4719.8792000000003</v>
      </c>
      <c r="AK46" s="23">
        <f t="shared" si="14"/>
        <v>-4253.3492000000006</v>
      </c>
      <c r="AL4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4719.8792000000003</v>
      </c>
      <c r="AM46" s="19">
        <f>IF(Tableau5617192223242425262827293031333432353620383961719241822254140424344104746[[#This Row],[RAF Achats M-1
€]]=0,0,AN46-AO46)</f>
        <v>0</v>
      </c>
      <c r="AN46" s="8">
        <f>IFERROR(VLOOKUP(H46,#REF!,31,FALSE),0)</f>
        <v>0</v>
      </c>
      <c r="AO46" s="8">
        <f>AI46+-IFERROR(VLOOKUP(H46,#REF!,27,FALSE),0)</f>
        <v>466.53</v>
      </c>
      <c r="AP46" s="20">
        <f>IFERROR(VLOOKUP(Tableau5617192223242425262827293031333432353620383961719241822254140424344104746[[#This Row],[Num Projets]],#REF!,2,FALSE),0)</f>
        <v>0</v>
      </c>
      <c r="AQ46" s="20">
        <f>_xlfn.XLOOKUP(H46,[2]Synth!$N:$N,[2]Synth!$O:$O,0,FALSE)+_xlfn.XLOOKUP(Tableau5617192223242425262827293031333432353620383961719241822254140424344104746[[#This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183658.24727177375</v>
      </c>
      <c r="AR46" s="21">
        <v>0</v>
      </c>
      <c r="AS46" s="20">
        <f>+IFERROR(VLOOKUP(H46,#REF!,36,FALSE),0)</f>
        <v>0</v>
      </c>
      <c r="AT4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6" s="22">
        <f>IF(AG46=0,0,1-((AI46+AM46+Tableau5617192223242425262827293031333432353620383961719241822254140424344104746[[#This Row],[Int Commandé OT
€]]+Tableau5617192223242425262827293031333432353620383961719241822254140424344104746[[#This Row],[RAF Int OT
€]])/AG46))</f>
        <v>1.0044686781609196</v>
      </c>
      <c r="AV46" s="8">
        <f>IFERROR(VLOOKUP(H46,#REF!,4,FALSE),0)+IFERROR(VLOOKUP(H46,#REF!,4,FALSE),0)</f>
        <v>0</v>
      </c>
      <c r="AW46" s="8">
        <f>IFERROR(VLOOKUP(Tableau5617192223242425262827293031333432353620383961719241822254140424344104746[[#This Row],[Num Projets]],#REF!,3,FALSE),0)</f>
        <v>0</v>
      </c>
      <c r="AX46" s="95">
        <f>IFERROR(VLOOKUP(Tableau5617192223242425262827293031333432353620383961719241822254140424344104746[[#This Row],[Num Projets]],#REF!,10,FALSE),0)</f>
        <v>0</v>
      </c>
      <c r="AY46" s="23">
        <v>0</v>
      </c>
      <c r="AZ46" s="8">
        <f>IFERROR(VLOOKUP(H46,#REF!,43,FALSE),0)</f>
        <v>0</v>
      </c>
      <c r="BA46" s="8">
        <f>AX46-IFERROR(VLOOKUP(H46,#REF!,42,FALSE),0)</f>
        <v>0</v>
      </c>
      <c r="BB46" s="47">
        <f t="shared" si="17"/>
        <v>0</v>
      </c>
      <c r="BC46" s="24">
        <f>IFERROR(VLOOKUP(H46,#REF!,47,FALSE),IFERROR(VLOOKUP(H46,#REF!,5,FALSE),0)+IFERROR(VLOOKUP(H46,#REF!,5,FALSE),0))</f>
        <v>0</v>
      </c>
      <c r="BD46" s="25">
        <f>IFERROR(VLOOKUP(H46,#REF!,2,FALSE),0)</f>
        <v>0</v>
      </c>
      <c r="BE46" s="25">
        <f>IFERROR(VLOOKUP(H46,#REF!,49,FALSE),0)</f>
        <v>0</v>
      </c>
      <c r="BF46" s="50" t="e">
        <f t="shared" si="5"/>
        <v>#REF!</v>
      </c>
      <c r="BG46" s="50">
        <f t="shared" si="6"/>
        <v>188378.12647177375</v>
      </c>
      <c r="BH46" s="27">
        <f>AE46+ (AI46-AJ46+AM46+Tableau5617192223242425262827293031333432353620383961719241822254140424344104746[[#This Row],[Int Commandé OT
€]]-Tableau5617192223242425262827293031333432353620383961719241822254140424344104746[[#This Row],[Int Réalisé OT
€]]+AR46) +AY46+BC46</f>
        <v>-187911.59647177375</v>
      </c>
      <c r="BI46" s="89" t="e">
        <f>IF((BG46/(BG46+BH46))&lt;VLOOKUP(Tableau5617192223242425262827293031333432353620383961719241822254140424344104746[[#This Row],[Num Projets]],#REF!,53,FALSE),VLOOKUP(Tableau5617192223242425262827293031333432353620383961719241822254140424344104746[[#This Row],[Num Projets]],#REF!,53,FALSE),BG46/(BG46+BH46))</f>
        <v>#REF!</v>
      </c>
      <c r="BJ46" s="47" t="e">
        <f t="shared" si="8"/>
        <v>#REF!</v>
      </c>
      <c r="BK46" s="27" t="e">
        <f t="shared" si="9"/>
        <v>#REF!</v>
      </c>
      <c r="BL46" s="26" t="e">
        <f t="shared" si="10"/>
        <v>#REF!</v>
      </c>
      <c r="BM46" s="96">
        <f>IFERROR(VLOOKUP(H46,'[1]2023dec'!H:CA,54,FALSE),105)</f>
        <v>105</v>
      </c>
      <c r="BN46" s="29">
        <v>1</v>
      </c>
      <c r="BO46" s="30" t="e">
        <f>P46-AC46-AG46-AV46-Tableau5617192223242425262827293031333432353620383961719241822254140424344104746[[#This Row],[Provisions pour risques]]</f>
        <v>#REF!</v>
      </c>
      <c r="BP4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466.52999999999884</v>
      </c>
      <c r="BQ4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46" s="97" t="e">
        <f t="shared" si="18"/>
        <v>#REF!</v>
      </c>
      <c r="BS46" s="34">
        <f>Tableau5617192223242425262827293031333432353620383961719241822254140424344104746[[#This Row],[Consommé global Enregistré à date (€ HT)]]-IFERROR(VLOOKUP(H46,#REF!,50,FALSE),0)</f>
        <v>188378.12647177375</v>
      </c>
      <c r="BT46" s="35" t="e">
        <f t="shared" si="19"/>
        <v>#REF!</v>
      </c>
      <c r="BU46" s="36">
        <f>BD46-IFERROR(VLOOKUP(H46,#REF!,47,FALSE),0)</f>
        <v>0</v>
      </c>
      <c r="BV46" s="37" t="e">
        <f>+BF46+Tableau5617192223242425262827293031333432353620383961719241822254140424344104746[[#This Row],[CA fin N-1]]-IFERROR(VLOOKUP(H46,#REF!,49,FALSE),0)-IFERROR(VLOOKUP(H46,#REF!,50,FALSE),0)</f>
        <v>#REF!</v>
      </c>
      <c r="BW46" s="33">
        <f>BG46-IFERROR(VLOOKUP(H46,#REF!,51,FALSE),0)</f>
        <v>188378.12647177375</v>
      </c>
      <c r="BX46" s="35" t="e">
        <f t="shared" si="20"/>
        <v>#REF!</v>
      </c>
      <c r="BY46" s="36">
        <f>BD46-IFERROR(VLOOKUP(H46,#REF!,48,FALSE),0)</f>
        <v>0</v>
      </c>
      <c r="BZ4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6" s="39" t="e">
        <f>VLOOKUP(Tableau5617192223242425262827293031333432353620383961719241822254140424344104746[[#This Row],[Num Projets]],#REF!,1,FALSE)</f>
        <v>#REF!</v>
      </c>
      <c r="CB46" s="40">
        <v>6018.5000000000045</v>
      </c>
      <c r="CC46" s="40">
        <v>0</v>
      </c>
      <c r="CD4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-6018.5000000000045</v>
      </c>
    </row>
    <row r="47" spans="1:82" s="258" customFormat="1" ht="13.5" customHeight="1" x14ac:dyDescent="0.25">
      <c r="A47" s="311" t="s">
        <v>101</v>
      </c>
      <c r="B47" s="1"/>
      <c r="C47" s="2" t="e">
        <f>_xlfn.XLOOKUP(Tableau5617192223242425262827293031333432353620383961719241822254140424344104746[[#This Row],[Num Projets]],#REF!,#REF!,FALSE)</f>
        <v>#REF!</v>
      </c>
      <c r="D47" s="3" t="s">
        <v>1</v>
      </c>
      <c r="E47" s="3" t="e">
        <f>_xlfn.XLOOKUP(Tableau5617192223242425262827293031333432353620383961719241822254140424344104746[[#This Row],[Num Projets]],#REF!,#REF!,FALSE)</f>
        <v>#REF!</v>
      </c>
      <c r="F47" s="3" t="e">
        <f>_xlfn.XLOOKUP(Tableau5617192223242425262827293031333432353620383961719241822254140424344104746[[#This Row],[Num Projets]],#REF!,#REF!,"newavr",0)</f>
        <v>#REF!</v>
      </c>
      <c r="G47" s="3" t="s">
        <v>2</v>
      </c>
      <c r="H47" s="47" t="s">
        <v>102</v>
      </c>
      <c r="I4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7" s="4" t="e">
        <f>VLOOKUP(Tableau5617192223242425262827293031333432353620383961719241822254140424344104746[[#This Row],[Num Projets]],#REF!,36,FALSE)</f>
        <v>#REF!</v>
      </c>
      <c r="K47" s="5" t="s">
        <v>4</v>
      </c>
      <c r="L4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7" s="3" t="e">
        <f>SUBSTITUTE(_xlfn.XLOOKUP(Tableau5617192223242425262827293031333432353620383961719241822254140424344104746[[#This Row],[Num Projets]],#REF!,#REF!,FALSE)," ","")</f>
        <v>#REF!</v>
      </c>
      <c r="N47" s="7" t="e">
        <f>VLOOKUP(H47,#REF!,7,FALSE)</f>
        <v>#REF!</v>
      </c>
      <c r="O47" s="7" t="e">
        <f>IF(VLOOKUP(H47,#REF!,27,FALSE)=0,"",VLOOKUP(H47,#REF!,27,FALSE))</f>
        <v>#REF!</v>
      </c>
      <c r="P47" s="8" t="e">
        <f>VLOOKUP(H47,#REF!,2,FALSE)</f>
        <v>#REF!</v>
      </c>
      <c r="Q47" s="9" t="e">
        <f>Tableau5617192223242425262827293031333432353620383961719241822254140424344104746[[#This Row],[Total Budget
€]]-IFERROR(VLOOKUP(H47,#REF!,8,FALSE),0)</f>
        <v>#REF!</v>
      </c>
      <c r="R47" s="15">
        <f>AD47+AI47+Tableau5617192223242425262827293031333432353620383961719241822254140424344104746[[#This Row],[Int Commandé OT
€]]+AX47</f>
        <v>0</v>
      </c>
      <c r="S47" s="15">
        <f>AD47+AJ47+Tableau5617192223242425262827293031333432353620383961719241822254140424344104746[[#This Row],[Int Réalisé OT
€]]+AX47</f>
        <v>0</v>
      </c>
      <c r="T47" s="94" t="e">
        <f t="shared" si="2"/>
        <v>#REF!</v>
      </c>
      <c r="U4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7" s="12">
        <f>IFERROR(VLOOKUP(H47,#REF!,2,FALSE),0)</f>
        <v>0</v>
      </c>
      <c r="X47" s="13">
        <f>IFERROR(VLOOKUP(H47,#REF!,2,FALSE),0)</f>
        <v>0</v>
      </c>
      <c r="Y47" s="13">
        <f>IFERROR(VLOOKUP(H47,#REF!,3,FALSE),0)</f>
        <v>0</v>
      </c>
      <c r="Z4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</v>
      </c>
      <c r="AA47" s="13">
        <f>IFERROR(VLOOKUP(H47,#REF!,18,FALSE),0)</f>
        <v>0</v>
      </c>
      <c r="AB47" s="13">
        <f>SUM(X47:Y47)-IFERROR(VLOOKUP(H47,#REF!,16,FALSE),0)-IFERROR(VLOOKUP(H47,#REF!,17,FALSE),0)</f>
        <v>0</v>
      </c>
      <c r="AC47" s="15" t="e">
        <f>VLOOKUP(Tableau5617192223242425262827293031333432353620383961719241822254140424344104746[[#This Row],[Num Projets]],#REF!,2,FALSE)</f>
        <v>#REF!</v>
      </c>
      <c r="AD47" s="15">
        <f>IFERROR(VLOOKUP(Tableau5617192223242425262827293031333432353620383961719241822254140424344104746[[#This Row],[Num Projets]],#REF!,2,FALSE),0)</f>
        <v>0</v>
      </c>
      <c r="AE47" s="8">
        <f t="shared" si="3"/>
        <v>478</v>
      </c>
      <c r="AF47" s="22" t="e">
        <f t="shared" si="4"/>
        <v>#REF!</v>
      </c>
      <c r="AG47" s="8">
        <f>IFERROR(VLOOKUP(H47,#REF!,3,FALSE),0)+IFERROR(VLOOKUP(H47,#REF!,3,FALSE),0)</f>
        <v>0</v>
      </c>
      <c r="AH47" s="8">
        <f>IFERROR(VLOOKUP(Tableau5617192223242425262827293031333432353620383961719241822254140424344104746[[#This Row],[Num Projets]],#REF!,2,FALSE),0)</f>
        <v>0</v>
      </c>
      <c r="AI47" s="17">
        <f>+IFERROR(VLOOKUP(H47,#REF!,2,FALSE),0)-Tableau5617192223242425262827293031333432353620383961719241822254140424344104746[[#This Row],[Int Commandé OT
€]]</f>
        <v>0</v>
      </c>
      <c r="AJ47" s="8">
        <f>IFERROR(VLOOKUP(H47,#REF!,11,FALSE),0)-IFERROR(VLOOKUP(H47,#REF!,10,FALSE),0)+Tableau5617192223242425262827293031333432353620383961719241822254140424344104746[[#This Row],[dont FNP à date (€ HT)]]</f>
        <v>0</v>
      </c>
      <c r="AK47" s="15">
        <f t="shared" si="14"/>
        <v>0</v>
      </c>
      <c r="AL4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7" s="19">
        <f>IF(Tableau5617192223242425262827293031333432353620383961719241822254140424344104746[[#This Row],[RAF Achats M-1
€]]=0,0,AN47-AO47)</f>
        <v>0</v>
      </c>
      <c r="AN47" s="8">
        <f>IFERROR(VLOOKUP(H47,#REF!,31,FALSE),0)</f>
        <v>0</v>
      </c>
      <c r="AO47" s="8">
        <f>AI47+-IFERROR(VLOOKUP(H47,#REF!,27,FALSE),0)</f>
        <v>0</v>
      </c>
      <c r="AP47" s="20">
        <f>IFERROR(VLOOKUP(Tableau5617192223242425262827293031333432353620383961719241822254140424344104746[[#This Row],[Num Projets]],#REF!,2,FALSE),0)</f>
        <v>0</v>
      </c>
      <c r="AQ47" s="20">
        <f>_xlfn.XLOOKUP(H47,[2]Synth!$N:$N,[2]Synth!$O:$O,0,FALSE)+_xlfn.XLOOKUP(Tableau5617192223242425262827293031333432353620383961719241822254140424344104746[[#This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7" s="21">
        <v>0</v>
      </c>
      <c r="AS47" s="20">
        <f>+IFERROR(VLOOKUP(H47,#REF!,36,FALSE),0)</f>
        <v>0</v>
      </c>
      <c r="AT4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7" s="22">
        <f>IF(AG47=0,0,1-((AI47+AM47+Tableau5617192223242425262827293031333432353620383961719241822254140424344104746[[#This Row],[Int Commandé OT
€]]+Tableau5617192223242425262827293031333432353620383961719241822254140424344104746[[#This Row],[RAF Int OT
€]])/AG47))</f>
        <v>0</v>
      </c>
      <c r="AV47" s="8">
        <f>IFERROR(VLOOKUP(H47,#REF!,4,FALSE),0)+IFERROR(VLOOKUP(H47,#REF!,4,FALSE),0)</f>
        <v>0</v>
      </c>
      <c r="AW47" s="8">
        <f>IFERROR(VLOOKUP(Tableau5617192223242425262827293031333432353620383961719241822254140424344104746[[#This Row],[Num Projets]],#REF!,3,FALSE),0)</f>
        <v>0</v>
      </c>
      <c r="AX47" s="95">
        <f>IFERROR(VLOOKUP(Tableau5617192223242425262827293031333432353620383961719241822254140424344104746[[#This Row],[Num Projets]],#REF!,10,FALSE),0)</f>
        <v>0</v>
      </c>
      <c r="AY47" s="23">
        <f>Tableau5617192223242425262827293031333432353620383961719241822254140424344104746[[#This Row],[Budget Mission
 €]]/1.2-AX47</f>
        <v>0</v>
      </c>
      <c r="AZ47" s="8">
        <f>IFERROR(VLOOKUP(H47,#REF!,43,FALSE),0)</f>
        <v>0</v>
      </c>
      <c r="BA47" s="8">
        <f>AX47-IFERROR(VLOOKUP(H47,#REF!,42,FALSE),0)</f>
        <v>0</v>
      </c>
      <c r="BB47" s="47">
        <f t="shared" si="17"/>
        <v>0</v>
      </c>
      <c r="BC47" s="24">
        <f>IFERROR(VLOOKUP(H47,#REF!,47,FALSE),IFERROR(VLOOKUP(H47,#REF!,5,FALSE),0)+IFERROR(VLOOKUP(H47,#REF!,5,FALSE),0))</f>
        <v>0</v>
      </c>
      <c r="BD47" s="25">
        <f>IFERROR(VLOOKUP(H47,#REF!,2,FALSE),0)</f>
        <v>0</v>
      </c>
      <c r="BE47" s="25">
        <f>IFERROR(VLOOKUP(H47,#REF!,49,FALSE),0)</f>
        <v>0</v>
      </c>
      <c r="BF47" s="50" t="e">
        <f t="shared" si="5"/>
        <v>#REF!</v>
      </c>
      <c r="BG47" s="50">
        <f t="shared" si="6"/>
        <v>0</v>
      </c>
      <c r="BH47" s="27">
        <f>AE47+ (AI47-AJ47+AM47+Tableau5617192223242425262827293031333432353620383961719241822254140424344104746[[#This Row],[Int Commandé OT
€]]-Tableau5617192223242425262827293031333432353620383961719241822254140424344104746[[#This Row],[Int Réalisé OT
€]]+AR47) +AY47+BC47</f>
        <v>478</v>
      </c>
      <c r="BI47" s="16">
        <f t="shared" si="16"/>
        <v>0</v>
      </c>
      <c r="BJ47" s="47" t="e">
        <f t="shared" si="8"/>
        <v>#REF!</v>
      </c>
      <c r="BK47" s="27" t="e">
        <f t="shared" si="9"/>
        <v>#REF!</v>
      </c>
      <c r="BL47" s="26" t="e">
        <f t="shared" si="10"/>
        <v>#REF!</v>
      </c>
      <c r="BM47" s="96">
        <f>IFERROR(VLOOKUP(H47,'[1]2023dec'!H:CA,54,FALSE),105)</f>
        <v>105</v>
      </c>
      <c r="BN47" s="29">
        <v>1</v>
      </c>
      <c r="BO47" s="30" t="e">
        <f>P47-AC47-AG47-AV47-Tableau5617192223242425262827293031333432353620383961719241822254140424344104746[[#This Row],[Provisions pour risques]]</f>
        <v>#REF!</v>
      </c>
      <c r="BP4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478</v>
      </c>
      <c r="BQ4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7" s="97" t="e">
        <f t="shared" si="18"/>
        <v>#REF!</v>
      </c>
      <c r="BS47" s="34">
        <f>Tableau5617192223242425262827293031333432353620383961719241822254140424344104746[[#This Row],[Consommé global Enregistré à date (€ HT)]]-IFERROR(VLOOKUP(H47,#REF!,50,FALSE),0)</f>
        <v>0</v>
      </c>
      <c r="BT47" s="35" t="e">
        <f t="shared" si="19"/>
        <v>#REF!</v>
      </c>
      <c r="BU47" s="36">
        <f>BD47-IFERROR(VLOOKUP(H47,#REF!,47,FALSE),0)</f>
        <v>0</v>
      </c>
      <c r="BV47" s="37" t="e">
        <f>+BF47+Tableau5617192223242425262827293031333432353620383961719241822254140424344104746[[#This Row],[CA fin N-1]]-IFERROR(VLOOKUP(H47,#REF!,49,FALSE),0)-IFERROR(VLOOKUP(H47,#REF!,50,FALSE),0)</f>
        <v>#REF!</v>
      </c>
      <c r="BW47" s="33">
        <f>BG47-IFERROR(VLOOKUP(H47,#REF!,51,FALSE),0)</f>
        <v>0</v>
      </c>
      <c r="BX47" s="35" t="e">
        <f t="shared" si="20"/>
        <v>#REF!</v>
      </c>
      <c r="BY47" s="36">
        <f>BD47-IFERROR(VLOOKUP(H47,#REF!,48,FALSE),0)</f>
        <v>0</v>
      </c>
      <c r="BZ4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7" s="39" t="e">
        <f>VLOOKUP(Tableau5617192223242425262827293031333432353620383961719241822254140424344104746[[#This Row],[Num Projets]],#REF!,1,FALSE)</f>
        <v>#REF!</v>
      </c>
      <c r="CB47" s="40">
        <v>10</v>
      </c>
      <c r="CC47" s="40">
        <v>0</v>
      </c>
      <c r="CD4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</v>
      </c>
    </row>
    <row r="48" spans="1:82" s="258" customFormat="1" ht="13.5" customHeight="1" x14ac:dyDescent="0.25">
      <c r="A48" s="311" t="s">
        <v>103</v>
      </c>
      <c r="B48" s="1"/>
      <c r="C48" s="2" t="e">
        <f>_xlfn.XLOOKUP(Tableau5617192223242425262827293031333432353620383961719241822254140424344104746[[#This Row],[Num Projets]],#REF!,#REF!,FALSE)</f>
        <v>#REF!</v>
      </c>
      <c r="D48" s="3" t="s">
        <v>1</v>
      </c>
      <c r="E48" s="3" t="e">
        <f>_xlfn.XLOOKUP(Tableau5617192223242425262827293031333432353620383961719241822254140424344104746[[#This Row],[Num Projets]],#REF!,#REF!,FALSE)</f>
        <v>#REF!</v>
      </c>
      <c r="F48" s="3" t="e">
        <f>_xlfn.XLOOKUP(Tableau5617192223242425262827293031333432353620383961719241822254140424344104746[[#This Row],[Num Projets]],#REF!,#REF!,"newavr",0)</f>
        <v>#REF!</v>
      </c>
      <c r="G48" s="3" t="s">
        <v>2</v>
      </c>
      <c r="H48" s="22" t="s">
        <v>104</v>
      </c>
      <c r="I4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8" s="4" t="e">
        <f>VLOOKUP(Tableau5617192223242425262827293031333432353620383961719241822254140424344104746[[#This Row],[Num Projets]],#REF!,36,FALSE)</f>
        <v>#REF!</v>
      </c>
      <c r="K48" s="5" t="s">
        <v>21</v>
      </c>
      <c r="L4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8" s="3" t="e">
        <f>SUBSTITUTE(_xlfn.XLOOKUP(Tableau5617192223242425262827293031333432353620383961719241822254140424344104746[[#This Row],[Num Projets]],#REF!,#REF!,FALSE)," ","")</f>
        <v>#REF!</v>
      </c>
      <c r="N48" s="7" t="e">
        <f>VLOOKUP(H48,#REF!,7,FALSE)</f>
        <v>#REF!</v>
      </c>
      <c r="O48" s="7" t="e">
        <f>IF(VLOOKUP(H48,#REF!,27,FALSE)=0,"",VLOOKUP(H48,#REF!,27,FALSE))</f>
        <v>#REF!</v>
      </c>
      <c r="P48" s="8" t="e">
        <f>VLOOKUP(H48,#REF!,2,FALSE)</f>
        <v>#REF!</v>
      </c>
      <c r="Q48" s="9" t="e">
        <f>Tableau5617192223242425262827293031333432353620383961719241822254140424344104746[[#This Row],[Total Budget
€]]-IFERROR(VLOOKUP(H48,#REF!,8,FALSE),0)</f>
        <v>#REF!</v>
      </c>
      <c r="R48" s="15">
        <f>AD48+AI48+Tableau5617192223242425262827293031333432353620383961719241822254140424344104746[[#This Row],[Int Commandé OT
€]]+AX48</f>
        <v>0</v>
      </c>
      <c r="S48" s="15">
        <f>AD48+AJ48+Tableau5617192223242425262827293031333432353620383961719241822254140424344104746[[#This Row],[Int Réalisé OT
€]]+AX48</f>
        <v>132007.95000000001</v>
      </c>
      <c r="T48" s="94" t="e">
        <f t="shared" si="2"/>
        <v>#REF!</v>
      </c>
      <c r="U4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8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8" s="12">
        <f>IFERROR(VLOOKUP(H48,#REF!,2,FALSE),0)</f>
        <v>0</v>
      </c>
      <c r="X48" s="13">
        <f>IFERROR(VLOOKUP(H48,#REF!,2,FALSE),0)</f>
        <v>0</v>
      </c>
      <c r="Y48" s="13">
        <f>IFERROR(VLOOKUP(H48,#REF!,3,FALSE),0)</f>
        <v>0</v>
      </c>
      <c r="Z4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2968.81</v>
      </c>
      <c r="AA48" s="13">
        <f>IFERROR(VLOOKUP(H48,#REF!,18,FALSE),0)</f>
        <v>0</v>
      </c>
      <c r="AB48" s="13">
        <f>SUM(X48:Y48)-IFERROR(VLOOKUP(H48,#REF!,16,FALSE),0)-IFERROR(VLOOKUP(H48,#REF!,17,FALSE),0)</f>
        <v>0</v>
      </c>
      <c r="AC48" s="15" t="e">
        <f>VLOOKUP(Tableau5617192223242425262827293031333432353620383961719241822254140424344104746[[#This Row],[Num Projets]],#REF!,2,FALSE)</f>
        <v>#REF!</v>
      </c>
      <c r="AD48" s="15">
        <f>IFERROR(VLOOKUP(Tableau5617192223242425262827293031333432353620383961719241822254140424344104746[[#This Row],[Num Projets]],#REF!,2,FALSE),0)</f>
        <v>0</v>
      </c>
      <c r="AE48" s="8">
        <f t="shared" si="3"/>
        <v>141909.11799999999</v>
      </c>
      <c r="AF48" s="47" t="e">
        <f t="shared" si="4"/>
        <v>#REF!</v>
      </c>
      <c r="AG48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48" s="8">
        <f>IFERROR(VLOOKUP(Tableau5617192223242425262827293031333432353620383961719241822254140424344104746[[#This Row],[Num Projets]],#REF!,2,FALSE),0)</f>
        <v>0</v>
      </c>
      <c r="AI48" s="17">
        <f>+IFERROR(VLOOKUP(H48,#REF!,2,FALSE),0)-Tableau5617192223242425262827293031333432353620383961719241822254140424344104746[[#This Row],[Int Commandé OT
€]]</f>
        <v>0</v>
      </c>
      <c r="AJ48" s="8">
        <f>IFERROR(VLOOKUP(H48,#REF!,11,FALSE),0)-IFERROR(VLOOKUP(H48,#REF!,10,FALSE),0)+Tableau5617192223242425262827293031333432353620383961719241822254140424344104746[[#This Row],[dont FNP à date (€ HT)]]</f>
        <v>0</v>
      </c>
      <c r="AK48" s="15">
        <f t="shared" si="14"/>
        <v>0</v>
      </c>
      <c r="AL4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8" s="19">
        <f>IF(Tableau5617192223242425262827293031333432353620383961719241822254140424344104746[[#This Row],[RAF Achats M-1
€]]=0,0,AN48-AO48)</f>
        <v>0</v>
      </c>
      <c r="AN48" s="8">
        <f>IFERROR(VLOOKUP(H48,#REF!,31,FALSE),0)</f>
        <v>0</v>
      </c>
      <c r="AO48" s="8">
        <f>AI48+-IFERROR(VLOOKUP(H48,#REF!,27,FALSE),0)</f>
        <v>0</v>
      </c>
      <c r="AP48" s="20">
        <f>IFERROR(VLOOKUP(Tableau5617192223242425262827293031333432353620383961719241822254140424344104746[[#This Row],[Num Projets]],#REF!,2,FALSE),0)</f>
        <v>0</v>
      </c>
      <c r="AQ48" s="20">
        <f>_xlfn.XLOOKUP(H48,[2]Synth!$N:$N,[2]Synth!$O:$O,0,FALSE)+_xlfn.XLOOKUP(Tableau5617192223242425262827293031333432353620383961719241822254140424344104746[[#This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132007.95000000001</v>
      </c>
      <c r="AR48" s="21">
        <v>0</v>
      </c>
      <c r="AS48" s="20">
        <f>+IFERROR(VLOOKUP(H48,#REF!,36,FALSE),0)</f>
        <v>0</v>
      </c>
      <c r="AT4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8" s="22" t="e">
        <f>IF(AG48=0,0,1-((AI48+AM48+Tableau5617192223242425262827293031333432353620383961719241822254140424344104746[[#This Row],[Int Commandé OT
€]]+Tableau5617192223242425262827293031333432353620383961719241822254140424344104746[[#This Row],[RAF Int OT
€]])/AG48))</f>
        <v>#REF!</v>
      </c>
      <c r="AV48" s="8">
        <f>IFERROR(VLOOKUP(H48,#REF!,4,FALSE),0)+IFERROR(VLOOKUP(H48,#REF!,4,FALSE),0)</f>
        <v>0</v>
      </c>
      <c r="AW48" s="8">
        <f>IFERROR(VLOOKUP(Tableau5617192223242425262827293031333432353620383961719241822254140424344104746[[#This Row],[Num Projets]],#REF!,3,FALSE),0)</f>
        <v>0</v>
      </c>
      <c r="AX48" s="95">
        <f>IFERROR(VLOOKUP(Tableau5617192223242425262827293031333432353620383961719241822254140424344104746[[#This Row],[Num Projets]],#REF!,10,FALSE),0)</f>
        <v>0</v>
      </c>
      <c r="AY48" s="23">
        <v>0</v>
      </c>
      <c r="AZ48" s="8">
        <f>IFERROR(VLOOKUP(H48,#REF!,43,FALSE),0)</f>
        <v>0</v>
      </c>
      <c r="BA48" s="8">
        <f>AX48-IFERROR(VLOOKUP(H48,#REF!,42,FALSE),0)</f>
        <v>0</v>
      </c>
      <c r="BB48" s="47">
        <f t="shared" si="17"/>
        <v>0</v>
      </c>
      <c r="BC48" s="24">
        <f>IFERROR(VLOOKUP(H48,#REF!,47,FALSE),IFERROR(VLOOKUP(H48,#REF!,5,FALSE),0)+IFERROR(VLOOKUP(H48,#REF!,5,FALSE),0))</f>
        <v>0</v>
      </c>
      <c r="BD48" s="25">
        <f>IFERROR(VLOOKUP(H48,#REF!,2,FALSE),0)</f>
        <v>0</v>
      </c>
      <c r="BE48" s="25">
        <f>IFERROR(VLOOKUP(H48,#REF!,49,FALSE),0)</f>
        <v>0</v>
      </c>
      <c r="BF48" s="50" t="e">
        <f t="shared" si="5"/>
        <v>#REF!</v>
      </c>
      <c r="BG48" s="50">
        <f t="shared" si="6"/>
        <v>132007.95000000001</v>
      </c>
      <c r="BH48" s="27">
        <f>AE48+ (AI48-AJ48+AM48+Tableau5617192223242425262827293031333432353620383961719241822254140424344104746[[#This Row],[Int Commandé OT
€]]-Tableau5617192223242425262827293031333432353620383961719241822254140424344104746[[#This Row],[Int Réalisé OT
€]]+AR48) +AY48+BC48</f>
        <v>9901.167999999976</v>
      </c>
      <c r="BI48" s="47">
        <f t="shared" si="16"/>
        <v>0.93022881024459625</v>
      </c>
      <c r="BJ48" s="47" t="e">
        <f t="shared" si="8"/>
        <v>#REF!</v>
      </c>
      <c r="BK48" s="27" t="e">
        <f t="shared" si="9"/>
        <v>#REF!</v>
      </c>
      <c r="BL48" s="26" t="e">
        <f t="shared" si="10"/>
        <v>#REF!</v>
      </c>
      <c r="BM48" s="96">
        <f>IFERROR(VLOOKUP(H48,'[1]2023dec'!H:CA,54,FALSE),105)</f>
        <v>105</v>
      </c>
      <c r="BN48" s="29">
        <v>1</v>
      </c>
      <c r="BO48" s="30" t="e">
        <f>P48-AC48-AG48-AV48-Tableau5617192223242425262827293031333432353620383961719241822254140424344104746[[#This Row],[Provisions pour risques]]</f>
        <v>#REF!</v>
      </c>
      <c r="BP4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141909.11799999999</v>
      </c>
      <c r="BQ4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0.93022881024459625</v>
      </c>
      <c r="BR48" s="97" t="e">
        <f t="shared" si="18"/>
        <v>#REF!</v>
      </c>
      <c r="BS48" s="34">
        <f>Tableau5617192223242425262827293031333432353620383961719241822254140424344104746[[#This Row],[Consommé global Enregistré à date (€ HT)]]-IFERROR(VLOOKUP(H48,#REF!,50,FALSE),0)</f>
        <v>132007.95000000001</v>
      </c>
      <c r="BT48" s="35" t="e">
        <f t="shared" si="19"/>
        <v>#REF!</v>
      </c>
      <c r="BU48" s="36">
        <f>BD48-IFERROR(VLOOKUP(H48,#REF!,47,FALSE),0)</f>
        <v>0</v>
      </c>
      <c r="BV48" s="37" t="e">
        <f>+BF48+Tableau5617192223242425262827293031333432353620383961719241822254140424344104746[[#This Row],[CA fin N-1]]-IFERROR(VLOOKUP(H48,#REF!,49,FALSE),0)-IFERROR(VLOOKUP(H48,#REF!,50,FALSE),0)</f>
        <v>#REF!</v>
      </c>
      <c r="BW48" s="33">
        <f>BG48-IFERROR(VLOOKUP(H48,#REF!,51,FALSE),0)</f>
        <v>132007.95000000001</v>
      </c>
      <c r="BX48" s="35" t="e">
        <f t="shared" si="20"/>
        <v>#REF!</v>
      </c>
      <c r="BY48" s="36">
        <f>BD48-IFERROR(VLOOKUP(H48,#REF!,48,FALSE),0)</f>
        <v>0</v>
      </c>
      <c r="BZ4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8" s="39" t="e">
        <f>VLOOKUP(Tableau5617192223242425262827293031333432353620383961719241822254140424344104746[[#This Row],[Num Projets]],#REF!,1,FALSE)</f>
        <v>#REF!</v>
      </c>
      <c r="CB48" s="40">
        <v>2968.81</v>
      </c>
      <c r="CC48" s="40">
        <v>0</v>
      </c>
      <c r="CD4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-2968.81</v>
      </c>
    </row>
    <row r="49" spans="1:82" s="258" customFormat="1" ht="13.5" customHeight="1" x14ac:dyDescent="0.25">
      <c r="A49" s="311" t="s">
        <v>105</v>
      </c>
      <c r="B49" s="1"/>
      <c r="C49" s="2" t="e">
        <f>_xlfn.XLOOKUP(Tableau5617192223242425262827293031333432353620383961719241822254140424344104746[[#This Row],[Num Projets]],#REF!,#REF!,FALSE)</f>
        <v>#REF!</v>
      </c>
      <c r="D49" s="3" t="s">
        <v>6</v>
      </c>
      <c r="E49" s="3" t="e">
        <f>_xlfn.XLOOKUP(Tableau5617192223242425262827293031333432353620383961719241822254140424344104746[[#This Row],[Num Projets]],#REF!,#REF!,FALSE)</f>
        <v>#REF!</v>
      </c>
      <c r="F49" s="3" t="e">
        <f>_xlfn.XLOOKUP(Tableau5617192223242425262827293031333432353620383961719241822254140424344104746[[#This Row],[Num Projets]],#REF!,#REF!,"newavr",0)</f>
        <v>#REF!</v>
      </c>
      <c r="G49" s="3" t="s">
        <v>85</v>
      </c>
      <c r="H49" s="47" t="s">
        <v>106</v>
      </c>
      <c r="I4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49" s="4" t="e">
        <f>VLOOKUP(Tableau5617192223242425262827293031333432353620383961719241822254140424344104746[[#This Row],[Num Projets]],#REF!,36,FALSE)</f>
        <v>#REF!</v>
      </c>
      <c r="K49" s="5" t="s">
        <v>21</v>
      </c>
      <c r="L4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49" s="3" t="e">
        <f>SUBSTITUTE(_xlfn.XLOOKUP(Tableau5617192223242425262827293031333432353620383961719241822254140424344104746[[#This Row],[Num Projets]],#REF!,#REF!,FALSE)," ","")</f>
        <v>#REF!</v>
      </c>
      <c r="N49" s="7" t="e">
        <f>VLOOKUP(H49,#REF!,7,FALSE)</f>
        <v>#REF!</v>
      </c>
      <c r="O49" s="7" t="e">
        <f>IF(VLOOKUP(H49,#REF!,27,FALSE)=0,"",VLOOKUP(H49,#REF!,27,FALSE))</f>
        <v>#REF!</v>
      </c>
      <c r="P49" s="8" t="e">
        <f>VLOOKUP(H49,#REF!,2,FALSE)</f>
        <v>#REF!</v>
      </c>
      <c r="Q49" s="9" t="e">
        <f>Tableau5617192223242425262827293031333432353620383961719241822254140424344104746[[#This Row],[Total Budget
€]]-IFERROR(VLOOKUP(H49,#REF!,8,FALSE),0)</f>
        <v>#REF!</v>
      </c>
      <c r="R49" s="15">
        <f>AD49+AI49+Tableau5617192223242425262827293031333432353620383961719241822254140424344104746[[#This Row],[Int Commandé OT
€]]+AX49</f>
        <v>0</v>
      </c>
      <c r="S49" s="15">
        <f>AD49+AJ49+Tableau5617192223242425262827293031333432353620383961719241822254140424344104746[[#This Row],[Int Réalisé OT
€]]+AX49</f>
        <v>0</v>
      </c>
      <c r="T49" s="94" t="e">
        <f t="shared" si="2"/>
        <v>#REF!</v>
      </c>
      <c r="U4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4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49" s="12">
        <f>IFERROR(VLOOKUP(H49,#REF!,2,FALSE),0)</f>
        <v>0</v>
      </c>
      <c r="X49" s="13">
        <f>IFERROR(VLOOKUP(H49,#REF!,2,FALSE),0)</f>
        <v>0</v>
      </c>
      <c r="Y49" s="13">
        <f>IFERROR(VLOOKUP(H49,#REF!,3,FALSE),0)</f>
        <v>0</v>
      </c>
      <c r="Z4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20</v>
      </c>
      <c r="AA49" s="13">
        <f>IFERROR(VLOOKUP(H49,#REF!,18,FALSE),0)</f>
        <v>0</v>
      </c>
      <c r="AB49" s="13">
        <f>SUM(X49:Y49)-IFERROR(VLOOKUP(H49,#REF!,16,FALSE),0)-IFERROR(VLOOKUP(H49,#REF!,17,FALSE),0)</f>
        <v>0</v>
      </c>
      <c r="AC49" s="15" t="e">
        <f>VLOOKUP(Tableau5617192223242425262827293031333432353620383961719241822254140424344104746[[#This Row],[Num Projets]],#REF!,2,FALSE)</f>
        <v>#REF!</v>
      </c>
      <c r="AD49" s="15">
        <f>IFERROR(VLOOKUP(Tableau5617192223242425262827293031333432353620383961719241822254140424344104746[[#This Row],[Num Projets]],#REF!,2,FALSE),0)</f>
        <v>0</v>
      </c>
      <c r="AE49" s="8">
        <f t="shared" si="3"/>
        <v>956</v>
      </c>
      <c r="AF49" s="47" t="e">
        <f t="shared" si="4"/>
        <v>#REF!</v>
      </c>
      <c r="AG49" s="8">
        <f>IFERROR(VLOOKUP(H49,#REF!,3,FALSE),0)+IFERROR(VLOOKUP(H49,#REF!,3,FALSE),0)</f>
        <v>0</v>
      </c>
      <c r="AH49" s="8">
        <f>IFERROR(VLOOKUP(Tableau5617192223242425262827293031333432353620383961719241822254140424344104746[[#This Row],[Num Projets]],#REF!,2,FALSE),0)</f>
        <v>0</v>
      </c>
      <c r="AI49" s="17">
        <f>+IFERROR(VLOOKUP(H49,#REF!,2,FALSE),0)-Tableau5617192223242425262827293031333432353620383961719241822254140424344104746[[#This Row],[Int Commandé OT
€]]</f>
        <v>0</v>
      </c>
      <c r="AJ49" s="8">
        <f>IFERROR(VLOOKUP(H49,#REF!,11,FALSE),0)-IFERROR(VLOOKUP(H49,#REF!,10,FALSE),0)+Tableau5617192223242425262827293031333432353620383961719241822254140424344104746[[#This Row],[dont FNP à date (€ HT)]]</f>
        <v>0</v>
      </c>
      <c r="AK49" s="15">
        <f t="shared" si="14"/>
        <v>0</v>
      </c>
      <c r="AL4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49" s="19">
        <f>IF(Tableau5617192223242425262827293031333432353620383961719241822254140424344104746[[#This Row],[RAF Achats M-1
€]]=0,0,AN49-AO49)</f>
        <v>0</v>
      </c>
      <c r="AN49" s="8">
        <f>IFERROR(VLOOKUP(H49,#REF!,31,FALSE),0)</f>
        <v>0</v>
      </c>
      <c r="AO49" s="8">
        <f>AI49+-IFERROR(VLOOKUP(H49,#REF!,27,FALSE),0)</f>
        <v>0</v>
      </c>
      <c r="AP49" s="20">
        <f>IFERROR(VLOOKUP(Tableau5617192223242425262827293031333432353620383961719241822254140424344104746[[#This Row],[Num Projets]],#REF!,2,FALSE),0)</f>
        <v>0</v>
      </c>
      <c r="AQ49" s="20">
        <f>_xlfn.XLOOKUP(H49,[2]Synth!$N:$N,[2]Synth!$O:$O,0,FALSE)+_xlfn.XLOOKUP(Tableau5617192223242425262827293031333432353620383961719241822254140424344104746[[#This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49" s="21">
        <v>0</v>
      </c>
      <c r="AS49" s="20">
        <f>+IFERROR(VLOOKUP(H49,#REF!,36,FALSE),0)</f>
        <v>0</v>
      </c>
      <c r="AT4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49" s="22">
        <f>IF(AG49=0,0,1-((AI49+AM49+Tableau5617192223242425262827293031333432353620383961719241822254140424344104746[[#This Row],[Int Commandé OT
€]]+Tableau5617192223242425262827293031333432353620383961719241822254140424344104746[[#This Row],[RAF Int OT
€]])/AG49))</f>
        <v>0</v>
      </c>
      <c r="AV49" s="8">
        <f>IFERROR(VLOOKUP(H49,#REF!,4,FALSE),0)+IFERROR(VLOOKUP(H49,#REF!,4,FALSE),0)</f>
        <v>0</v>
      </c>
      <c r="AW49" s="8">
        <f>IFERROR(VLOOKUP(Tableau5617192223242425262827293031333432353620383961719241822254140424344104746[[#This Row],[Num Projets]],#REF!,3,FALSE),0)</f>
        <v>0</v>
      </c>
      <c r="AX49" s="95">
        <f>IFERROR(VLOOKUP(Tableau5617192223242425262827293031333432353620383961719241822254140424344104746[[#This Row],[Num Projets]],#REF!,10,FALSE),0)</f>
        <v>0</v>
      </c>
      <c r="AY49" s="23">
        <f>Tableau5617192223242425262827293031333432353620383961719241822254140424344104746[[#This Row],[Budget Mission
 €]]/1.2-AX49</f>
        <v>0</v>
      </c>
      <c r="AZ49" s="8">
        <f>IFERROR(VLOOKUP(H49,#REF!,43,FALSE),0)</f>
        <v>0</v>
      </c>
      <c r="BA49" s="8">
        <f>AX49-IFERROR(VLOOKUP(H49,#REF!,42,FALSE),0)</f>
        <v>0</v>
      </c>
      <c r="BB49" s="47">
        <f t="shared" si="17"/>
        <v>0</v>
      </c>
      <c r="BC49" s="24">
        <f>IFERROR(VLOOKUP(H49,#REF!,47,FALSE),IFERROR(VLOOKUP(H49,#REF!,5,FALSE),0)+IFERROR(VLOOKUP(H49,#REF!,5,FALSE),0))</f>
        <v>0</v>
      </c>
      <c r="BD49" s="25">
        <f>IFERROR(VLOOKUP(H49,#REF!,2,FALSE),0)</f>
        <v>0</v>
      </c>
      <c r="BE49" s="25">
        <f>IFERROR(VLOOKUP(H49,#REF!,49,FALSE),0)</f>
        <v>0</v>
      </c>
      <c r="BF49" s="50" t="e">
        <f t="shared" si="5"/>
        <v>#REF!</v>
      </c>
      <c r="BG49" s="50">
        <f t="shared" si="6"/>
        <v>0</v>
      </c>
      <c r="BH49" s="27">
        <f>AE49+ (AI49-AJ49+AM49+Tableau5617192223242425262827293031333432353620383961719241822254140424344104746[[#This Row],[Int Commandé OT
€]]-Tableau5617192223242425262827293031333432353620383961719241822254140424344104746[[#This Row],[Int Réalisé OT
€]]+AR49) +AY49+BC49</f>
        <v>956</v>
      </c>
      <c r="BI49" s="47">
        <f t="shared" si="16"/>
        <v>0</v>
      </c>
      <c r="BJ49" s="47" t="e">
        <f t="shared" si="8"/>
        <v>#REF!</v>
      </c>
      <c r="BK49" s="27" t="e">
        <f t="shared" si="9"/>
        <v>#REF!</v>
      </c>
      <c r="BL49" s="26" t="e">
        <f t="shared" si="10"/>
        <v>#REF!</v>
      </c>
      <c r="BM49" s="96">
        <v>43</v>
      </c>
      <c r="BN49" s="29">
        <v>1</v>
      </c>
      <c r="BO49" s="30" t="e">
        <f>P49-AC49-AG49-AV49-Tableau5617192223242425262827293031333432353620383961719241822254140424344104746[[#This Row],[Provisions pour risques]]</f>
        <v>#REF!</v>
      </c>
      <c r="BP4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956</v>
      </c>
      <c r="BQ4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49" s="97" t="e">
        <f t="shared" si="18"/>
        <v>#REF!</v>
      </c>
      <c r="BS49" s="34">
        <f>Tableau5617192223242425262827293031333432353620383961719241822254140424344104746[[#This Row],[Consommé global Enregistré à date (€ HT)]]-IFERROR(VLOOKUP(H49,#REF!,50,FALSE),0)</f>
        <v>0</v>
      </c>
      <c r="BT49" s="35" t="e">
        <f t="shared" si="19"/>
        <v>#REF!</v>
      </c>
      <c r="BU49" s="36">
        <f>BD49-IFERROR(VLOOKUP(H49,#REF!,47,FALSE),0)</f>
        <v>0</v>
      </c>
      <c r="BV49" s="37" t="e">
        <f>+BF49+Tableau5617192223242425262827293031333432353620383961719241822254140424344104746[[#This Row],[CA fin N-1]]-IFERROR(VLOOKUP(H49,#REF!,49,FALSE),0)-IFERROR(VLOOKUP(H49,#REF!,50,FALSE),0)</f>
        <v>#REF!</v>
      </c>
      <c r="BW49" s="33">
        <f>BG49-IFERROR(VLOOKUP(H49,#REF!,51,FALSE),0)</f>
        <v>0</v>
      </c>
      <c r="BX49" s="35" t="e">
        <f t="shared" si="20"/>
        <v>#REF!</v>
      </c>
      <c r="BY49" s="36">
        <f>BD49-IFERROR(VLOOKUP(H49,#REF!,48,FALSE),0)</f>
        <v>0</v>
      </c>
      <c r="BZ4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49" s="39" t="e">
        <f>VLOOKUP(Tableau5617192223242425262827293031333432353620383961719241822254140424344104746[[#This Row],[Num Projets]],#REF!,1,FALSE)</f>
        <v>#REF!</v>
      </c>
      <c r="CB49" s="40">
        <v>20</v>
      </c>
      <c r="CC49" s="40">
        <v>0</v>
      </c>
      <c r="CD4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</v>
      </c>
    </row>
    <row r="50" spans="1:82" s="258" customFormat="1" ht="13.5" customHeight="1" x14ac:dyDescent="0.25">
      <c r="A50" s="313" t="s">
        <v>107</v>
      </c>
      <c r="B50" s="1"/>
      <c r="C50" s="2" t="e">
        <f>_xlfn.XLOOKUP(Tableau5617192223242425262827293031333432353620383961719241822254140424344104746[[#This Row],[Num Projets]],#REF!,#REF!,FALSE)</f>
        <v>#REF!</v>
      </c>
      <c r="D50" s="3" t="s">
        <v>1</v>
      </c>
      <c r="E50" s="3" t="e">
        <f>_xlfn.XLOOKUP(Tableau5617192223242425262827293031333432353620383961719241822254140424344104746[[#This Row],[Num Projets]],#REF!,#REF!,FALSE)</f>
        <v>#REF!</v>
      </c>
      <c r="F50" s="3" t="e">
        <f>_xlfn.XLOOKUP(Tableau5617192223242425262827293031333432353620383961719241822254140424344104746[[#This Row],[Num Projets]],#REF!,#REF!,"newavr",0)</f>
        <v>#REF!</v>
      </c>
      <c r="G50" s="3" t="s">
        <v>2</v>
      </c>
      <c r="H50" s="3" t="s">
        <v>108</v>
      </c>
      <c r="I5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0" s="4" t="e">
        <f>VLOOKUP(Tableau5617192223242425262827293031333432353620383961719241822254140424344104746[[#This Row],[Num Projets]],#REF!,36,FALSE)</f>
        <v>#REF!</v>
      </c>
      <c r="K50" s="5" t="s">
        <v>4</v>
      </c>
      <c r="L5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0" s="3" t="e">
        <f>SUBSTITUTE(_xlfn.XLOOKUP(Tableau5617192223242425262827293031333432353620383961719241822254140424344104746[[#This Row],[Num Projets]],#REF!,#REF!,FALSE)," ","")</f>
        <v>#REF!</v>
      </c>
      <c r="N50" s="7" t="e">
        <f>VLOOKUP(H50,#REF!,7,FALSE)</f>
        <v>#REF!</v>
      </c>
      <c r="O50" s="7" t="e">
        <f>IF(VLOOKUP(H50,#REF!,27,FALSE)=0,"",VLOOKUP(H50,#REF!,27,FALSE))</f>
        <v>#REF!</v>
      </c>
      <c r="P50" s="8" t="e">
        <f>VLOOKUP(H50,#REF!,2,FALSE)</f>
        <v>#REF!</v>
      </c>
      <c r="Q50" s="9" t="e">
        <f>Tableau5617192223242425262827293031333432353620383961719241822254140424344104746[[#This Row],[Total Budget
€]]-IFERROR(VLOOKUP(H50,#REF!,8,FALSE),0)</f>
        <v>#REF!</v>
      </c>
      <c r="R50" s="15">
        <f>AD50+AI50+Tableau5617192223242425262827293031333432353620383961719241822254140424344104746[[#This Row],[Int Commandé OT
€]]+AX50</f>
        <v>0</v>
      </c>
      <c r="S50" s="15">
        <f>AD50+AJ50+Tableau5617192223242425262827293031333432353620383961719241822254140424344104746[[#This Row],[Int Réalisé OT
€]]+AX50</f>
        <v>84799.6</v>
      </c>
      <c r="T50" s="94" t="e">
        <f t="shared" si="2"/>
        <v>#REF!</v>
      </c>
      <c r="U5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0" s="42">
        <f>IFERROR(VLOOKUP(H50,#REF!,2,FALSE),0)+(2641-665)/105</f>
        <v>18.81904761904762</v>
      </c>
      <c r="X50" s="13">
        <f>IFERROR(VLOOKUP(H50,#REF!,2,FALSE),0)</f>
        <v>0</v>
      </c>
      <c r="Y50" s="13">
        <f>IFERROR(VLOOKUP(H50,#REF!,3,FALSE),0)</f>
        <v>0</v>
      </c>
      <c r="Z5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490.59999999999991</v>
      </c>
      <c r="AA50" s="13">
        <f>IFERROR(VLOOKUP(H50,#REF!,18,FALSE),0)</f>
        <v>0</v>
      </c>
      <c r="AB50" s="13">
        <f>SUM(X50:Y50)-IFERROR(VLOOKUP(H50,#REF!,16,FALSE),0)-IFERROR(VLOOKUP(H50,#REF!,17,FALSE),0)</f>
        <v>0</v>
      </c>
      <c r="AC50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50" s="15">
        <f>IFERROR(VLOOKUP(Tableau5617192223242425262827293031333432353620383961719241822254140424344104746[[#This Row],[Num Projets]],#REF!,2,FALSE),0)</f>
        <v>0</v>
      </c>
      <c r="AE50" s="8">
        <f t="shared" si="3"/>
        <v>23450.679999999993</v>
      </c>
      <c r="AF50" s="22" t="e">
        <f t="shared" si="4"/>
        <v>#REF!</v>
      </c>
      <c r="AG50" s="8">
        <f>IFERROR(VLOOKUP(H50,#REF!,3,FALSE),0)+IFERROR(VLOOKUP(H50,#REF!,3,FALSE),0)</f>
        <v>0</v>
      </c>
      <c r="AH50" s="8">
        <f>IFERROR(VLOOKUP(Tableau5617192223242425262827293031333432353620383961719241822254140424344104746[[#This Row],[Num Projets]],#REF!,2,FALSE),0)</f>
        <v>0</v>
      </c>
      <c r="AI50" s="17">
        <f>+IFERROR(VLOOKUP(H50,#REF!,2,FALSE),0)-Tableau5617192223242425262827293031333432353620383961719241822254140424344104746[[#This Row],[Int Commandé OT
€]]</f>
        <v>0</v>
      </c>
      <c r="AJ50" s="8">
        <f>IFERROR(VLOOKUP(H50,#REF!,11,FALSE),0)-IFERROR(VLOOKUP(H50,#REF!,10,FALSE),0)+Tableau5617192223242425262827293031333432353620383961719241822254140424344104746[[#This Row],[dont FNP à date (€ HT)]]</f>
        <v>0</v>
      </c>
      <c r="AK50" s="15">
        <f t="shared" si="14"/>
        <v>0</v>
      </c>
      <c r="AL5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0" s="19">
        <f>IF(Tableau5617192223242425262827293031333432353620383961719241822254140424344104746[[#This Row],[RAF Achats M-1
€]]=0,0,AN50-AO50)</f>
        <v>0</v>
      </c>
      <c r="AN50" s="8">
        <f>IFERROR(VLOOKUP(H50,#REF!,31,FALSE),0)</f>
        <v>0</v>
      </c>
      <c r="AO50" s="8">
        <f>AI50+-IFERROR(VLOOKUP(H50,#REF!,27,FALSE),0)</f>
        <v>0</v>
      </c>
      <c r="AP50" s="20">
        <f>IFERROR(VLOOKUP(Tableau5617192223242425262827293031333432353620383961719241822254140424344104746[[#This Row],[Num Projets]],#REF!,2,FALSE),0)</f>
        <v>0</v>
      </c>
      <c r="AQ50" s="20">
        <f>_xlfn.XLOOKUP(H50,[2]Synth!$N:$N,[2]Synth!$O:$O,0,FALSE)+_xlfn.XLOOKUP(Tableau5617192223242425262827293031333432353620383961719241822254140424344104746[[#This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84799.6</v>
      </c>
      <c r="AR50" s="21">
        <v>0</v>
      </c>
      <c r="AS50" s="20">
        <f>+IFERROR(VLOOKUP(H50,#REF!,36,FALSE),0)</f>
        <v>0</v>
      </c>
      <c r="AT5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0" s="22">
        <f>IF(AG50=0,0,1-((AI50+AM50+Tableau5617192223242425262827293031333432353620383961719241822254140424344104746[[#This Row],[Int Commandé OT
€]]+Tableau5617192223242425262827293031333432353620383961719241822254140424344104746[[#This Row],[RAF Int OT
€]])/AG50))</f>
        <v>0</v>
      </c>
      <c r="AV50" s="8">
        <f>IFERROR(VLOOKUP(H50,#REF!,4,FALSE),0)+IFERROR(VLOOKUP(H50,#REF!,4,FALSE),0)</f>
        <v>0</v>
      </c>
      <c r="AW50" s="8">
        <f>IFERROR(VLOOKUP(Tableau5617192223242425262827293031333432353620383961719241822254140424344104746[[#This Row],[Num Projets]],#REF!,3,FALSE),0)</f>
        <v>0</v>
      </c>
      <c r="AX50" s="95">
        <f>IFERROR(VLOOKUP(Tableau5617192223242425262827293031333432353620383961719241822254140424344104746[[#This Row],[Num Projets]],#REF!,10,FALSE),0)</f>
        <v>0</v>
      </c>
      <c r="AY50" s="23">
        <v>0</v>
      </c>
      <c r="AZ50" s="8">
        <f>IFERROR(VLOOKUP(H50,#REF!,43,FALSE),0)</f>
        <v>0</v>
      </c>
      <c r="BA50" s="8">
        <f>AX50-IFERROR(VLOOKUP(H50,#REF!,42,FALSE),0)</f>
        <v>0</v>
      </c>
      <c r="BB50" s="47">
        <f t="shared" si="17"/>
        <v>0</v>
      </c>
      <c r="BC50" s="24">
        <f>IFERROR(VLOOKUP(H50,#REF!,47,FALSE),IFERROR(VLOOKUP(H50,#REF!,5,FALSE),0)+IFERROR(VLOOKUP(H50,#REF!,5,FALSE),0))</f>
        <v>0</v>
      </c>
      <c r="BD50" s="25">
        <f>IFERROR(VLOOKUP(H50,#REF!,2,FALSE),0)</f>
        <v>0</v>
      </c>
      <c r="BE50" s="25">
        <f>IFERROR(VLOOKUP(H50,#REF!,49,FALSE),0)</f>
        <v>0</v>
      </c>
      <c r="BF50" s="50" t="e">
        <f t="shared" si="5"/>
        <v>#REF!</v>
      </c>
      <c r="BG50" s="50">
        <f t="shared" si="6"/>
        <v>84799.6</v>
      </c>
      <c r="BH50" s="27">
        <f>AE50+ (AI50-AJ50+AM50+Tableau5617192223242425262827293031333432353620383961719241822254140424344104746[[#This Row],[Int Commandé OT
€]]-Tableau5617192223242425262827293031333432353620383961719241822254140424344104746[[#This Row],[Int Réalisé OT
€]]+AR50) +AY50+BC50</f>
        <v>-61348.920000000013</v>
      </c>
      <c r="BI50" s="47">
        <f t="shared" si="16"/>
        <v>3.6160827745719968</v>
      </c>
      <c r="BJ50" s="47" t="e">
        <f t="shared" si="8"/>
        <v>#REF!</v>
      </c>
      <c r="BK50" s="27" t="e">
        <f t="shared" si="9"/>
        <v>#REF!</v>
      </c>
      <c r="BL50" s="26" t="e">
        <f t="shared" si="10"/>
        <v>#REF!</v>
      </c>
      <c r="BM50" s="96">
        <f>IFERROR(VLOOKUP(H50,'[1]2023dec'!H:CA,54,FALSE),105)</f>
        <v>105</v>
      </c>
      <c r="BN50" s="29">
        <v>1</v>
      </c>
      <c r="BO50" s="30" t="e">
        <f>P50-AC50-AG50-AV50-Tableau5617192223242425262827293031333432353620383961719241822254140424344104746[[#This Row],[Provisions pour risques]]</f>
        <v>#REF!</v>
      </c>
      <c r="BP5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23450.679999999993</v>
      </c>
      <c r="BQ5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3.6160827745719968</v>
      </c>
      <c r="BR50" s="97" t="e">
        <f t="shared" si="18"/>
        <v>#REF!</v>
      </c>
      <c r="BS50" s="34">
        <f>Tableau5617192223242425262827293031333432353620383961719241822254140424344104746[[#This Row],[Consommé global Enregistré à date (€ HT)]]-IFERROR(VLOOKUP(H50,#REF!,50,FALSE),0)</f>
        <v>84799.6</v>
      </c>
      <c r="BT50" s="35" t="e">
        <f t="shared" si="19"/>
        <v>#REF!</v>
      </c>
      <c r="BU50" s="36">
        <f>BD50-IFERROR(VLOOKUP(H50,#REF!,47,FALSE),0)</f>
        <v>0</v>
      </c>
      <c r="BV50" s="37" t="e">
        <f>+BF50+Tableau5617192223242425262827293031333432353620383961719241822254140424344104746[[#This Row],[CA fin N-1]]-IFERROR(VLOOKUP(H50,#REF!,49,FALSE),0)-IFERROR(VLOOKUP(H50,#REF!,50,FALSE),0)</f>
        <v>#REF!</v>
      </c>
      <c r="BW50" s="33">
        <f>BG50-IFERROR(VLOOKUP(H50,#REF!,51,FALSE),0)</f>
        <v>84799.6</v>
      </c>
      <c r="BX50" s="35" t="e">
        <f t="shared" si="20"/>
        <v>#REF!</v>
      </c>
      <c r="BY50" s="36">
        <f>BD50-IFERROR(VLOOKUP(H50,#REF!,48,FALSE),0)</f>
        <v>0</v>
      </c>
      <c r="BZ5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0" s="39" t="e">
        <f>VLOOKUP(Tableau5617192223242425262827293031333432353620383961719241822254140424344104746[[#This Row],[Num Projets]],#REF!,1,FALSE)</f>
        <v>#REF!</v>
      </c>
      <c r="CB50" s="40">
        <v>490.59999999999991</v>
      </c>
      <c r="CC50" s="40">
        <v>0</v>
      </c>
      <c r="CD5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-490.59999999999991</v>
      </c>
    </row>
    <row r="51" spans="1:82" s="258" customFormat="1" ht="13.5" customHeight="1" x14ac:dyDescent="0.25">
      <c r="A51" s="311" t="s">
        <v>109</v>
      </c>
      <c r="B51" s="1"/>
      <c r="C51" s="2" t="e">
        <f>_xlfn.XLOOKUP(Tableau5617192223242425262827293031333432353620383961719241822254140424344104746[[#This Row],[Num Projets]],#REF!,#REF!,FALSE)</f>
        <v>#REF!</v>
      </c>
      <c r="D51" s="3" t="s">
        <v>6</v>
      </c>
      <c r="E51" s="3" t="e">
        <f>_xlfn.XLOOKUP(Tableau5617192223242425262827293031333432353620383961719241822254140424344104746[[#This Row],[Num Projets]],#REF!,#REF!,FALSE)</f>
        <v>#REF!</v>
      </c>
      <c r="F51" s="3" t="e">
        <f>_xlfn.XLOOKUP(Tableau5617192223242425262827293031333432353620383961719241822254140424344104746[[#This Row],[Num Projets]],#REF!,#REF!,"newavr",0)</f>
        <v>#REF!</v>
      </c>
      <c r="G51" s="3" t="s">
        <v>2</v>
      </c>
      <c r="H51" s="3" t="s">
        <v>110</v>
      </c>
      <c r="I5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1" s="4" t="e">
        <f>VLOOKUP(Tableau5617192223242425262827293031333432353620383961719241822254140424344104746[[#This Row],[Num Projets]],#REF!,36,FALSE)</f>
        <v>#REF!</v>
      </c>
      <c r="K51" s="5" t="s">
        <v>21</v>
      </c>
      <c r="L5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1" s="3" t="e">
        <f>SUBSTITUTE(_xlfn.XLOOKUP(Tableau5617192223242425262827293031333432353620383961719241822254140424344104746[[#This Row],[Num Projets]],#REF!,#REF!,FALSE)," ","")</f>
        <v>#REF!</v>
      </c>
      <c r="N51" s="7" t="e">
        <f>VLOOKUP(H51,#REF!,7,FALSE)</f>
        <v>#REF!</v>
      </c>
      <c r="O51" s="7" t="e">
        <f>IF(VLOOKUP(H51,#REF!,27,FALSE)=0,"",VLOOKUP(H51,#REF!,27,FALSE))</f>
        <v>#REF!</v>
      </c>
      <c r="P51" s="8" t="e">
        <f>VLOOKUP(H51,#REF!,2,FALSE)</f>
        <v>#REF!</v>
      </c>
      <c r="Q51" s="9" t="e">
        <f>Tableau5617192223242425262827293031333432353620383961719241822254140424344104746[[#This Row],[Total Budget
€]]-IFERROR(VLOOKUP(H51,#REF!,8,FALSE),0)</f>
        <v>#REF!</v>
      </c>
      <c r="R51" s="15">
        <f>AD51+AI51+Tableau5617192223242425262827293031333432353620383961719241822254140424344104746[[#This Row],[Int Commandé OT
€]]+AX51</f>
        <v>0</v>
      </c>
      <c r="S51" s="15">
        <f>AD51+AJ51+Tableau5617192223242425262827293031333432353620383961719241822254140424344104746[[#This Row],[Int Réalisé OT
€]]+AX51</f>
        <v>1800.75</v>
      </c>
      <c r="T51" s="94" t="e">
        <f t="shared" si="2"/>
        <v>#REF!</v>
      </c>
      <c r="U5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1" s="12">
        <f>IFERROR(VLOOKUP(H51,#REF!,2,FALSE),0)</f>
        <v>0</v>
      </c>
      <c r="X51" s="13">
        <f>IFERROR(VLOOKUP(H51,#REF!,2,FALSE),0)</f>
        <v>0</v>
      </c>
      <c r="Y51" s="13">
        <f>IFERROR(VLOOKUP(H51,#REF!,3,FALSE),0)</f>
        <v>0</v>
      </c>
      <c r="Z5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993</v>
      </c>
      <c r="AA51" s="13">
        <f>IFERROR(VLOOKUP(H51,#REF!,18,FALSE),0)</f>
        <v>0</v>
      </c>
      <c r="AB51" s="13">
        <f>SUM(X51:Y51)-IFERROR(VLOOKUP(H51,#REF!,16,FALSE),0)-IFERROR(VLOOKUP(H51,#REF!,17,FALSE),0)</f>
        <v>0</v>
      </c>
      <c r="AC51" s="15" t="e">
        <f>VLOOKUP(Tableau5617192223242425262827293031333432353620383961719241822254140424344104746[[#This Row],[Num Projets]],#REF!,2,FALSE)</f>
        <v>#REF!</v>
      </c>
      <c r="AD51" s="15">
        <f>IFERROR(VLOOKUP(Tableau5617192223242425262827293031333432353620383961719241822254140424344104746[[#This Row],[Num Projets]],#REF!,2,FALSE),0)</f>
        <v>0</v>
      </c>
      <c r="AE51" s="8">
        <f t="shared" si="3"/>
        <v>47465.399999999994</v>
      </c>
      <c r="AF51" s="47" t="e">
        <f t="shared" si="4"/>
        <v>#REF!</v>
      </c>
      <c r="AG51" s="8">
        <f>IFERROR(VLOOKUP(H51,#REF!,3,FALSE),0)+IFERROR(VLOOKUP(H51,#REF!,3,FALSE),0)</f>
        <v>0</v>
      </c>
      <c r="AH51" s="8">
        <f>IFERROR(VLOOKUP(Tableau5617192223242425262827293031333432353620383961719241822254140424344104746[[#This Row],[Num Projets]],#REF!,2,FALSE),0)</f>
        <v>0</v>
      </c>
      <c r="AI51" s="17">
        <f>+IFERROR(VLOOKUP(H51,#REF!,2,FALSE),0)-Tableau5617192223242425262827293031333432353620383961719241822254140424344104746[[#This Row],[Int Commandé OT
€]]</f>
        <v>0</v>
      </c>
      <c r="AJ51" s="8">
        <f>IFERROR(VLOOKUP(H51,#REF!,11,FALSE),0)-IFERROR(VLOOKUP(H51,#REF!,10,FALSE),0)+Tableau5617192223242425262827293031333432353620383961719241822254140424344104746[[#This Row],[dont FNP à date (€ HT)]]</f>
        <v>0</v>
      </c>
      <c r="AK51" s="15">
        <f t="shared" si="14"/>
        <v>0</v>
      </c>
      <c r="AL5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1" s="19">
        <f>IF(Tableau5617192223242425262827293031333432353620383961719241822254140424344104746[[#This Row],[RAF Achats M-1
€]]=0,0,AN51-AO51)</f>
        <v>0</v>
      </c>
      <c r="AN51" s="8">
        <f>IFERROR(VLOOKUP(H51,#REF!,31,FALSE),0)</f>
        <v>0</v>
      </c>
      <c r="AO51" s="8">
        <f>AI51+-IFERROR(VLOOKUP(H51,#REF!,27,FALSE),0)</f>
        <v>0</v>
      </c>
      <c r="AP51" s="20">
        <f>IFERROR(VLOOKUP(Tableau5617192223242425262827293031333432353620383961719241822254140424344104746[[#This Row],[Num Projets]],#REF!,2,FALSE),0)</f>
        <v>0</v>
      </c>
      <c r="AQ51" s="20">
        <f>_xlfn.XLOOKUP(H51,[2]Synth!$N:$N,[2]Synth!$O:$O,0,FALSE)+_xlfn.XLOOKUP(Tableau5617192223242425262827293031333432353620383961719241822254140424344104746[[#This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1800.75</v>
      </c>
      <c r="AR51" s="21">
        <v>0</v>
      </c>
      <c r="AS51" s="20">
        <f>+IFERROR(VLOOKUP(H51,#REF!,36,FALSE),0)</f>
        <v>0</v>
      </c>
      <c r="AT5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1" s="22">
        <f>IF(AG51=0,0,1-((AI51+AM51+Tableau5617192223242425262827293031333432353620383961719241822254140424344104746[[#This Row],[Int Commandé OT
€]]+Tableau5617192223242425262827293031333432353620383961719241822254140424344104746[[#This Row],[RAF Int OT
€]])/AG51))</f>
        <v>0</v>
      </c>
      <c r="AV51" s="8">
        <f>IFERROR(VLOOKUP(H51,#REF!,4,FALSE),0)+IFERROR(VLOOKUP(H51,#REF!,4,FALSE),0)</f>
        <v>0</v>
      </c>
      <c r="AW51" s="8">
        <f>IFERROR(VLOOKUP(Tableau5617192223242425262827293031333432353620383961719241822254140424344104746[[#This Row],[Num Projets]],#REF!,3,FALSE),0)</f>
        <v>0</v>
      </c>
      <c r="AX51" s="95">
        <f>IFERROR(VLOOKUP(Tableau5617192223242425262827293031333432353620383961719241822254140424344104746[[#This Row],[Num Projets]],#REF!,10,FALSE),0)</f>
        <v>0</v>
      </c>
      <c r="AY51" s="23">
        <v>0</v>
      </c>
      <c r="AZ51" s="8">
        <f>IFERROR(VLOOKUP(H51,#REF!,43,FALSE),0)</f>
        <v>0</v>
      </c>
      <c r="BA51" s="8">
        <f>AX51-IFERROR(VLOOKUP(H51,#REF!,42,FALSE),0)</f>
        <v>0</v>
      </c>
      <c r="BB51" s="47">
        <f t="shared" si="17"/>
        <v>0</v>
      </c>
      <c r="BC51" s="24">
        <f>IFERROR(VLOOKUP(H51,#REF!,47,FALSE),IFERROR(VLOOKUP(H51,#REF!,5,FALSE),0)+IFERROR(VLOOKUP(H51,#REF!,5,FALSE),0))</f>
        <v>0</v>
      </c>
      <c r="BD51" s="25">
        <f>IFERROR(VLOOKUP(H51,#REF!,2,FALSE),0)</f>
        <v>0</v>
      </c>
      <c r="BE51" s="25">
        <f>IFERROR(VLOOKUP(H51,#REF!,49,FALSE),0)</f>
        <v>0</v>
      </c>
      <c r="BF51" s="50" t="e">
        <f t="shared" si="5"/>
        <v>#REF!</v>
      </c>
      <c r="BG51" s="50">
        <f t="shared" si="6"/>
        <v>1800.75</v>
      </c>
      <c r="BH51" s="27">
        <f>AE51+ (AI51-AJ51+AM51+Tableau5617192223242425262827293031333432353620383961719241822254140424344104746[[#This Row],[Int Commandé OT
€]]-Tableau5617192223242425262827293031333432353620383961719241822254140424344104746[[#This Row],[Int Réalisé OT
€]]+AR51) +AY51+BC51</f>
        <v>45664.649999999994</v>
      </c>
      <c r="BI51" s="47">
        <f t="shared" si="16"/>
        <v>3.7938161271157518E-2</v>
      </c>
      <c r="BJ51" s="47" t="e">
        <f t="shared" si="8"/>
        <v>#REF!</v>
      </c>
      <c r="BK51" s="27" t="e">
        <f t="shared" si="9"/>
        <v>#REF!</v>
      </c>
      <c r="BL51" s="26" t="e">
        <f t="shared" si="10"/>
        <v>#REF!</v>
      </c>
      <c r="BM51" s="96">
        <f>IFERROR(VLOOKUP(H51,'[1]2023dec'!H:CA,54,FALSE),105)</f>
        <v>105</v>
      </c>
      <c r="BN51" s="29">
        <v>1</v>
      </c>
      <c r="BO51" s="30" t="e">
        <f>P51-AC51-AG51-AV51-Tableau5617192223242425262827293031333432353620383961719241822254140424344104746[[#This Row],[Provisions pour risques]]</f>
        <v>#REF!</v>
      </c>
      <c r="BP5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47465.399999999994</v>
      </c>
      <c r="BQ5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3.7938161271157518E-2</v>
      </c>
      <c r="BR51" s="97" t="e">
        <f t="shared" si="18"/>
        <v>#REF!</v>
      </c>
      <c r="BS51" s="34">
        <f>Tableau5617192223242425262827293031333432353620383961719241822254140424344104746[[#This Row],[Consommé global Enregistré à date (€ HT)]]-IFERROR(VLOOKUP(H51,#REF!,50,FALSE),0)</f>
        <v>1800.75</v>
      </c>
      <c r="BT51" s="35" t="e">
        <f t="shared" si="19"/>
        <v>#REF!</v>
      </c>
      <c r="BU51" s="36">
        <f>BD51-IFERROR(VLOOKUP(H51,#REF!,47,FALSE),0)</f>
        <v>0</v>
      </c>
      <c r="BV51" s="37" t="e">
        <f>+BF51+Tableau5617192223242425262827293031333432353620383961719241822254140424344104746[[#This Row],[CA fin N-1]]-IFERROR(VLOOKUP(H51,#REF!,49,FALSE),0)-IFERROR(VLOOKUP(H51,#REF!,50,FALSE),0)</f>
        <v>#REF!</v>
      </c>
      <c r="BW51" s="33">
        <f>BG51-IFERROR(VLOOKUP(H51,#REF!,51,FALSE),0)</f>
        <v>1800.75</v>
      </c>
      <c r="BX51" s="35" t="e">
        <f t="shared" si="20"/>
        <v>#REF!</v>
      </c>
      <c r="BY51" s="36">
        <f>BD51-IFERROR(VLOOKUP(H51,#REF!,48,FALSE),0)</f>
        <v>0</v>
      </c>
      <c r="BZ5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1" s="39" t="e">
        <f>VLOOKUP(Tableau5617192223242425262827293031333432353620383961719241822254140424344104746[[#This Row],[Num Projets]],#REF!,1,FALSE)</f>
        <v>#REF!</v>
      </c>
      <c r="CB51" s="40">
        <v>993</v>
      </c>
      <c r="CC51" s="40">
        <v>0</v>
      </c>
      <c r="CD5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-993</v>
      </c>
    </row>
    <row r="52" spans="1:82" s="258" customFormat="1" ht="13.5" customHeight="1" x14ac:dyDescent="0.25">
      <c r="A52" s="313" t="s">
        <v>111</v>
      </c>
      <c r="B52" s="1"/>
      <c r="C52" s="2" t="e">
        <f>_xlfn.XLOOKUP(Tableau5617192223242425262827293031333432353620383961719241822254140424344104746[[#This Row],[Num Projets]],#REF!,#REF!,FALSE)</f>
        <v>#REF!</v>
      </c>
      <c r="D52" s="3" t="s">
        <v>6</v>
      </c>
      <c r="E52" s="3" t="e">
        <f>_xlfn.XLOOKUP(Tableau5617192223242425262827293031333432353620383961719241822254140424344104746[[#This Row],[Num Projets]],#REF!,#REF!,FALSE)</f>
        <v>#REF!</v>
      </c>
      <c r="F52" s="3" t="e">
        <f>_xlfn.XLOOKUP(Tableau5617192223242425262827293031333432353620383961719241822254140424344104746[[#This Row],[Num Projets]],#REF!,#REF!,"newavr",0)</f>
        <v>#REF!</v>
      </c>
      <c r="G52" s="3" t="s">
        <v>2</v>
      </c>
      <c r="H52" s="3" t="s">
        <v>112</v>
      </c>
      <c r="I5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2" s="4" t="e">
        <f>VLOOKUP(Tableau5617192223242425262827293031333432353620383961719241822254140424344104746[[#This Row],[Num Projets]],#REF!,36,FALSE)</f>
        <v>#REF!</v>
      </c>
      <c r="K52" s="5" t="s">
        <v>21</v>
      </c>
      <c r="L5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2" s="3" t="e">
        <f>SUBSTITUTE(_xlfn.XLOOKUP(Tableau5617192223242425262827293031333432353620383961719241822254140424344104746[[#This Row],[Num Projets]],#REF!,#REF!,FALSE)," ","")</f>
        <v>#REF!</v>
      </c>
      <c r="N52" s="7" t="e">
        <f>VLOOKUP(H52,#REF!,7,FALSE)</f>
        <v>#REF!</v>
      </c>
      <c r="O52" s="7">
        <v>45747</v>
      </c>
      <c r="P52" s="8" t="e">
        <f>VLOOKUP(H52,#REF!,2,FALSE)</f>
        <v>#REF!</v>
      </c>
      <c r="Q52" s="9" t="e">
        <f>Tableau5617192223242425262827293031333432353620383961719241822254140424344104746[[#This Row],[Total Budget
€]]-IFERROR(VLOOKUP(H52,#REF!,8,FALSE),0)</f>
        <v>#REF!</v>
      </c>
      <c r="R52" s="15">
        <f>AD52+AI52+Tableau5617192223242425262827293031333432353620383961719241822254140424344104746[[#This Row],[Int Commandé OT
€]]+AX52</f>
        <v>0</v>
      </c>
      <c r="S52" s="15">
        <f>AD52+AJ52+Tableau5617192223242425262827293031333432353620383961719241822254140424344104746[[#This Row],[Int Réalisé OT
€]]+AX52</f>
        <v>0</v>
      </c>
      <c r="T52" s="94" t="e">
        <f t="shared" si="2"/>
        <v>#REF!</v>
      </c>
      <c r="U5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2" s="42">
        <f>IFERROR(VLOOKUP(H52,#REF!,2,FALSE),0)+8*8</f>
        <v>64</v>
      </c>
      <c r="X52" s="13">
        <f>IFERROR(VLOOKUP(H52,#REF!,2,FALSE),0)</f>
        <v>0</v>
      </c>
      <c r="Y52" s="13">
        <f>IFERROR(VLOOKUP(H52,#REF!,3,FALSE),0)</f>
        <v>0</v>
      </c>
      <c r="Z5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128.5</v>
      </c>
      <c r="AA52" s="13">
        <f>IFERROR(VLOOKUP(H52,#REF!,18,FALSE),0)</f>
        <v>0</v>
      </c>
      <c r="AB52" s="13">
        <f>SUM(X52:Y52)-IFERROR(VLOOKUP(H52,#REF!,16,FALSE),0)-IFERROR(VLOOKUP(H52,#REF!,17,FALSE),0)</f>
        <v>0</v>
      </c>
      <c r="AC52" s="15" t="e">
        <f>VLOOKUP(Tableau5617192223242425262827293031333432353620383961719241822254140424344104746[[#This Row],[Num Projets]],#REF!,2,FALSE)</f>
        <v>#REF!</v>
      </c>
      <c r="AD52" s="15">
        <f>IFERROR(VLOOKUP(Tableau5617192223242425262827293031333432353620383961719241822254140424344104746[[#This Row],[Num Projets]],#REF!,2,FALSE),0)</f>
        <v>0</v>
      </c>
      <c r="AE52" s="8">
        <f t="shared" si="3"/>
        <v>6142.2999999999993</v>
      </c>
      <c r="AF52" s="22" t="e">
        <f t="shared" si="4"/>
        <v>#REF!</v>
      </c>
      <c r="AG52" s="8">
        <f>IFERROR(VLOOKUP(H52,#REF!,3,FALSE),0)+IFERROR(VLOOKUP(H52,#REF!,3,FALSE),0)</f>
        <v>0</v>
      </c>
      <c r="AH52" s="8">
        <f>IFERROR(VLOOKUP(Tableau5617192223242425262827293031333432353620383961719241822254140424344104746[[#This Row],[Num Projets]],#REF!,2,FALSE),0)</f>
        <v>0</v>
      </c>
      <c r="AI52" s="17">
        <f>+IFERROR(VLOOKUP(H52,#REF!,2,FALSE),0)-Tableau5617192223242425262827293031333432353620383961719241822254140424344104746[[#This Row],[Int Commandé OT
€]]</f>
        <v>0</v>
      </c>
      <c r="AJ52" s="8">
        <f>IFERROR(VLOOKUP(H52,#REF!,11,FALSE),0)-IFERROR(VLOOKUP(H52,#REF!,10,FALSE),0)+Tableau5617192223242425262827293031333432353620383961719241822254140424344104746[[#This Row],[dont FNP à date (€ HT)]]</f>
        <v>0</v>
      </c>
      <c r="AK52" s="15">
        <f t="shared" si="14"/>
        <v>0</v>
      </c>
      <c r="AL5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2" s="19">
        <f>IF(Tableau5617192223242425262827293031333432353620383961719241822254140424344104746[[#This Row],[RAF Achats M-1
€]]=0,0,AN52-AO52)</f>
        <v>0</v>
      </c>
      <c r="AN52" s="8">
        <f>IFERROR(VLOOKUP(H52,#REF!,31,FALSE),0)</f>
        <v>0</v>
      </c>
      <c r="AO52" s="8">
        <f>AI52+-IFERROR(VLOOKUP(H52,#REF!,27,FALSE),0)</f>
        <v>0</v>
      </c>
      <c r="AP52" s="20">
        <f>IFERROR(VLOOKUP(Tableau5617192223242425262827293031333432353620383961719241822254140424344104746[[#This Row],[Num Projets]],#REF!,2,FALSE),0)</f>
        <v>0</v>
      </c>
      <c r="AQ52" s="20">
        <f>_xlfn.XLOOKUP(H52,[2]Synth!$N:$N,[2]Synth!$O:$O,0,FALSE)+_xlfn.XLOOKUP(Tableau5617192223242425262827293031333432353620383961719241822254140424344104746[[#This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2" s="21">
        <v>0</v>
      </c>
      <c r="AS52" s="20">
        <f>+IFERROR(VLOOKUP(H52,#REF!,36,FALSE),0)</f>
        <v>0</v>
      </c>
      <c r="AT5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2" s="22">
        <f>IF(AG52=0,0,1-((AI52+AM52+Tableau5617192223242425262827293031333432353620383961719241822254140424344104746[[#This Row],[Int Commandé OT
€]]+Tableau5617192223242425262827293031333432353620383961719241822254140424344104746[[#This Row],[RAF Int OT
€]])/AG52))</f>
        <v>0</v>
      </c>
      <c r="AV52" s="8">
        <f>IFERROR(VLOOKUP(H52,#REF!,4,FALSE),0)+IFERROR(VLOOKUP(H52,#REF!,4,FALSE),0)</f>
        <v>0</v>
      </c>
      <c r="AW52" s="8">
        <f>IFERROR(VLOOKUP(Tableau5617192223242425262827293031333432353620383961719241822254140424344104746[[#This Row],[Num Projets]],#REF!,3,FALSE),0)</f>
        <v>0</v>
      </c>
      <c r="AX52" s="95">
        <f>IFERROR(VLOOKUP(Tableau5617192223242425262827293031333432353620383961719241822254140424344104746[[#This Row],[Num Projets]],#REF!,10,FALSE),0)</f>
        <v>0</v>
      </c>
      <c r="AY52" s="23">
        <v>0</v>
      </c>
      <c r="AZ52" s="8">
        <f>IFERROR(VLOOKUP(H52,#REF!,43,FALSE),0)</f>
        <v>0</v>
      </c>
      <c r="BA52" s="8">
        <f>AX52-IFERROR(VLOOKUP(H52,#REF!,42,FALSE),0)</f>
        <v>0</v>
      </c>
      <c r="BB52" s="47">
        <f t="shared" si="17"/>
        <v>0</v>
      </c>
      <c r="BC52" s="24">
        <f>IFERROR(VLOOKUP(H52,#REF!,47,FALSE),IFERROR(VLOOKUP(H52,#REF!,5,FALSE),0)+IFERROR(VLOOKUP(H52,#REF!,5,FALSE),0))</f>
        <v>0</v>
      </c>
      <c r="BD52" s="25">
        <f>IFERROR(VLOOKUP(H52,#REF!,2,FALSE),0)</f>
        <v>0</v>
      </c>
      <c r="BE52" s="25">
        <f>IFERROR(VLOOKUP(H52,#REF!,49,FALSE),0)</f>
        <v>0</v>
      </c>
      <c r="BF52" s="50" t="e">
        <f t="shared" si="5"/>
        <v>#REF!</v>
      </c>
      <c r="BG52" s="50">
        <f t="shared" si="6"/>
        <v>0</v>
      </c>
      <c r="BH52" s="27">
        <f>AE52+ (AI52-AJ52+AM52+Tableau5617192223242425262827293031333432353620383961719241822254140424344104746[[#This Row],[Int Commandé OT
€]]-Tableau5617192223242425262827293031333432353620383961719241822254140424344104746[[#This Row],[Int Réalisé OT
€]]+AR52) +AY52+BC52</f>
        <v>6142.2999999999993</v>
      </c>
      <c r="BI52" s="47">
        <f t="shared" si="16"/>
        <v>0</v>
      </c>
      <c r="BJ52" s="47" t="e">
        <f t="shared" si="8"/>
        <v>#REF!</v>
      </c>
      <c r="BK52" s="27" t="e">
        <f t="shared" si="9"/>
        <v>#REF!</v>
      </c>
      <c r="BL52" s="26" t="e">
        <f t="shared" si="10"/>
        <v>#REF!</v>
      </c>
      <c r="BM52" s="96">
        <f>IFERROR(VLOOKUP(H52,'[1]2023dec'!H:CA,54,FALSE),105)</f>
        <v>105</v>
      </c>
      <c r="BN52" s="29">
        <v>1</v>
      </c>
      <c r="BO52" s="30" t="e">
        <f>P52-AC52-AG52-AV52-Tableau5617192223242425262827293031333432353620383961719241822254140424344104746[[#This Row],[Provisions pour risques]]</f>
        <v>#REF!</v>
      </c>
      <c r="BP5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6142.2999999999993</v>
      </c>
      <c r="BQ5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52" s="97" t="e">
        <f t="shared" si="18"/>
        <v>#REF!</v>
      </c>
      <c r="BS52" s="34">
        <f>Tableau5617192223242425262827293031333432353620383961719241822254140424344104746[[#This Row],[Consommé global Enregistré à date (€ HT)]]-IFERROR(VLOOKUP(H52,#REF!,50,FALSE),0)</f>
        <v>0</v>
      </c>
      <c r="BT52" s="35" t="e">
        <f t="shared" si="19"/>
        <v>#REF!</v>
      </c>
      <c r="BU52" s="36">
        <f>BD52-IFERROR(VLOOKUP(H52,#REF!,47,FALSE),0)</f>
        <v>0</v>
      </c>
      <c r="BV52" s="37" t="e">
        <f>+BF52+Tableau5617192223242425262827293031333432353620383961719241822254140424344104746[[#This Row],[CA fin N-1]]-IFERROR(VLOOKUP(H52,#REF!,49,FALSE),0)-IFERROR(VLOOKUP(H52,#REF!,50,FALSE),0)</f>
        <v>#REF!</v>
      </c>
      <c r="BW52" s="33">
        <f>BG52-IFERROR(VLOOKUP(H52,#REF!,51,FALSE),0)</f>
        <v>0</v>
      </c>
      <c r="BX52" s="35" t="e">
        <f t="shared" si="20"/>
        <v>#REF!</v>
      </c>
      <c r="BY52" s="36">
        <f>BD52-IFERROR(VLOOKUP(H52,#REF!,48,FALSE),0)</f>
        <v>0</v>
      </c>
      <c r="BZ5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2" s="39" t="e">
        <f>VLOOKUP(Tableau5617192223242425262827293031333432353620383961719241822254140424344104746[[#This Row],[Num Projets]],#REF!,1,FALSE)</f>
        <v>#REF!</v>
      </c>
      <c r="CB52" s="40">
        <v>128.5</v>
      </c>
      <c r="CC52" s="40">
        <v>0</v>
      </c>
      <c r="CD5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-128.5</v>
      </c>
    </row>
    <row r="53" spans="1:82" s="258" customFormat="1" ht="13.5" customHeight="1" x14ac:dyDescent="0.25">
      <c r="A53" s="313" t="s">
        <v>113</v>
      </c>
      <c r="B53" s="1"/>
      <c r="C53" s="2" t="e">
        <f>_xlfn.XLOOKUP(Tableau5617192223242425262827293031333432353620383961719241822254140424344104746[[#This Row],[Num Projets]],#REF!,#REF!,FALSE)</f>
        <v>#REF!</v>
      </c>
      <c r="D53" s="3" t="s">
        <v>1</v>
      </c>
      <c r="E53" s="3" t="e">
        <f>_xlfn.XLOOKUP(Tableau5617192223242425262827293031333432353620383961719241822254140424344104746[[#This Row],[Num Projets]],#REF!,#REF!,FALSE)</f>
        <v>#REF!</v>
      </c>
      <c r="F53" s="3" t="e">
        <f>_xlfn.XLOOKUP(Tableau5617192223242425262827293031333432353620383961719241822254140424344104746[[#This Row],[Num Projets]],#REF!,#REF!,"newavr",0)</f>
        <v>#REF!</v>
      </c>
      <c r="G53" s="3" t="s">
        <v>2</v>
      </c>
      <c r="H53" s="3" t="s">
        <v>114</v>
      </c>
      <c r="I5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3" s="4" t="e">
        <f>VLOOKUP(Tableau5617192223242425262827293031333432353620383961719241822254140424344104746[[#This Row],[Num Projets]],#REF!,36,FALSE)</f>
        <v>#REF!</v>
      </c>
      <c r="K53" s="5" t="s">
        <v>4</v>
      </c>
      <c r="L5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3" s="3" t="e">
        <f>SUBSTITUTE(_xlfn.XLOOKUP(Tableau5617192223242425262827293031333432353620383961719241822254140424344104746[[#This Row],[Num Projets]],#REF!,#REF!,FALSE)," ","")</f>
        <v>#REF!</v>
      </c>
      <c r="N53" s="7" t="e">
        <f>VLOOKUP(H53,#REF!,7,FALSE)</f>
        <v>#REF!</v>
      </c>
      <c r="O53" s="7">
        <v>45747</v>
      </c>
      <c r="P53" s="8" t="e">
        <f>VLOOKUP(H53,#REF!,2,FALSE)</f>
        <v>#REF!</v>
      </c>
      <c r="Q53" s="9" t="e">
        <f>Tableau5617192223242425262827293031333432353620383961719241822254140424344104746[[#This Row],[Total Budget
€]]-IFERROR(VLOOKUP(H53,#REF!,8,FALSE),0)</f>
        <v>#REF!</v>
      </c>
      <c r="R53" s="15">
        <f>AD53+AI53+Tableau5617192223242425262827293031333432353620383961719241822254140424344104746[[#This Row],[Int Commandé OT
€]]+AX53</f>
        <v>0</v>
      </c>
      <c r="S53" s="15">
        <f>AD53+AJ53+Tableau5617192223242425262827293031333432353620383961719241822254140424344104746[[#This Row],[Int Réalisé OT
€]]+AX53</f>
        <v>15990.180000000002</v>
      </c>
      <c r="T53" s="94" t="e">
        <f t="shared" si="2"/>
        <v>#REF!</v>
      </c>
      <c r="U5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3" s="12">
        <f>IFERROR(VLOOKUP(H53,#REF!,2,FALSE),0)</f>
        <v>0</v>
      </c>
      <c r="X53" s="13">
        <f>IFERROR(VLOOKUP(H53,#REF!,2,FALSE),0)</f>
        <v>0</v>
      </c>
      <c r="Y53" s="13">
        <f>IFERROR(VLOOKUP(H53,#REF!,3,FALSE),0)</f>
        <v>0</v>
      </c>
      <c r="Z5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100</v>
      </c>
      <c r="AA53" s="13">
        <f>IFERROR(VLOOKUP(H53,#REF!,18,FALSE),0)</f>
        <v>0</v>
      </c>
      <c r="AB53" s="13">
        <f>SUM(X53:Y53)-IFERROR(VLOOKUP(H53,#REF!,16,FALSE),0)-IFERROR(VLOOKUP(H53,#REF!,17,FALSE),0)</f>
        <v>0</v>
      </c>
      <c r="AC53" s="15" t="e">
        <f>VLOOKUP(Tableau5617192223242425262827293031333432353620383961719241822254140424344104746[[#This Row],[Num Projets]],#REF!,2,FALSE)</f>
        <v>#REF!</v>
      </c>
      <c r="AD53" s="15">
        <f>IFERROR(VLOOKUP(Tableau5617192223242425262827293031333432353620383961719241822254140424344104746[[#This Row],[Num Projets]],#REF!,2,FALSE),0)</f>
        <v>0</v>
      </c>
      <c r="AE53" s="8">
        <f t="shared" si="3"/>
        <v>4780</v>
      </c>
      <c r="AF53" s="22" t="e">
        <f t="shared" si="4"/>
        <v>#REF!</v>
      </c>
      <c r="AG53" s="20">
        <f>IFERROR(VLOOKUP(H53,#REF!,3,FALSE),0)+IFERROR(VLOOKUP(H53,#REF!,3,FALSE),0)</f>
        <v>0</v>
      </c>
      <c r="AH53" s="8">
        <f>IFERROR(VLOOKUP(Tableau5617192223242425262827293031333432353620383961719241822254140424344104746[[#This Row],[Num Projets]],#REF!,2,FALSE),0)</f>
        <v>0</v>
      </c>
      <c r="AI53" s="17">
        <f>+IFERROR(VLOOKUP(H53,#REF!,2,FALSE),0)-Tableau5617192223242425262827293031333432353620383961719241822254140424344104746[[#This Row],[Int Commandé OT
€]]</f>
        <v>0</v>
      </c>
      <c r="AJ53" s="8">
        <f>IFERROR(VLOOKUP(H53,#REF!,11,FALSE),0)-IFERROR(VLOOKUP(H53,#REF!,10,FALSE),0)+Tableau5617192223242425262827293031333432353620383961719241822254140424344104746[[#This Row],[dont FNP à date (€ HT)]]</f>
        <v>0</v>
      </c>
      <c r="AK53" s="15">
        <f t="shared" si="14"/>
        <v>0</v>
      </c>
      <c r="AL5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3" s="19">
        <f>IF(Tableau5617192223242425262827293031333432353620383961719241822254140424344104746[[#This Row],[RAF Achats M-1
€]]=0,0,AN53-AO53)</f>
        <v>0</v>
      </c>
      <c r="AN53" s="8">
        <f>IFERROR(VLOOKUP(H53,#REF!,31,FALSE),0)</f>
        <v>0</v>
      </c>
      <c r="AO53" s="8">
        <f>AI53+-IFERROR(VLOOKUP(H53,#REF!,27,FALSE),0)</f>
        <v>0</v>
      </c>
      <c r="AP53" s="20">
        <f>IFERROR(VLOOKUP(Tableau5617192223242425262827293031333432353620383961719241822254140424344104746[[#This Row],[Num Projets]],#REF!,2,FALSE),0)</f>
        <v>0</v>
      </c>
      <c r="AQ53" s="20">
        <f>_xlfn.XLOOKUP(H53,[2]Synth!$N:$N,[2]Synth!$O:$O,0,FALSE)+_xlfn.XLOOKUP(Tableau5617192223242425262827293031333432353620383961719241822254140424344104746[[#This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15990.180000000002</v>
      </c>
      <c r="AR53" s="21">
        <v>0</v>
      </c>
      <c r="AS53" s="20">
        <f>+IFERROR(VLOOKUP(H53,#REF!,36,FALSE),0)</f>
        <v>0</v>
      </c>
      <c r="AT5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3" s="22">
        <f>IF(AG53=0,0,1-((AI53+AM53+Tableau5617192223242425262827293031333432353620383961719241822254140424344104746[[#This Row],[Int Commandé OT
€]]+Tableau5617192223242425262827293031333432353620383961719241822254140424344104746[[#This Row],[RAF Int OT
€]])/AG53))</f>
        <v>0</v>
      </c>
      <c r="AV53" s="8">
        <f>IFERROR(VLOOKUP(H53,#REF!,4,FALSE),0)+IFERROR(VLOOKUP(H53,#REF!,4,FALSE),0)</f>
        <v>0</v>
      </c>
      <c r="AW53" s="8">
        <f>IFERROR(VLOOKUP(Tableau5617192223242425262827293031333432353620383961719241822254140424344104746[[#This Row],[Num Projets]],#REF!,3,FALSE),0)</f>
        <v>0</v>
      </c>
      <c r="AX53" s="95">
        <f>IFERROR(VLOOKUP(Tableau5617192223242425262827293031333432353620383961719241822254140424344104746[[#This Row],[Num Projets]],#REF!,10,FALSE),0)</f>
        <v>0</v>
      </c>
      <c r="AY53" s="23">
        <f>Tableau5617192223242425262827293031333432353620383961719241822254140424344104746[[#This Row],[Budget Mission
 €]]/1.2-AX53</f>
        <v>0</v>
      </c>
      <c r="AZ53" s="8">
        <f>IFERROR(VLOOKUP(H53,#REF!,43,FALSE),0)</f>
        <v>0</v>
      </c>
      <c r="BA53" s="8">
        <f>AX53-IFERROR(VLOOKUP(H53,#REF!,42,FALSE),0)</f>
        <v>0</v>
      </c>
      <c r="BB53" s="47">
        <f t="shared" si="17"/>
        <v>0</v>
      </c>
      <c r="BC53" s="24">
        <f>IFERROR(VLOOKUP(H53,#REF!,47,FALSE),IFERROR(VLOOKUP(H53,#REF!,5,FALSE),0)+IFERROR(VLOOKUP(H53,#REF!,5,FALSE),0))</f>
        <v>0</v>
      </c>
      <c r="BD53" s="25">
        <f>IFERROR(VLOOKUP(H53,#REF!,2,FALSE),0)</f>
        <v>0</v>
      </c>
      <c r="BE53" s="25">
        <f>IFERROR(VLOOKUP(H53,#REF!,49,FALSE),0)</f>
        <v>0</v>
      </c>
      <c r="BF53" s="50" t="e">
        <f t="shared" si="5"/>
        <v>#REF!</v>
      </c>
      <c r="BG53" s="50">
        <f t="shared" si="6"/>
        <v>15990.180000000002</v>
      </c>
      <c r="BH53" s="27">
        <f>AE53+ (AI53-AJ53+AM53+Tableau5617192223242425262827293031333432353620383961719241822254140424344104746[[#This Row],[Int Commandé OT
€]]-Tableau5617192223242425262827293031333432353620383961719241822254140424344104746[[#This Row],[Int Réalisé OT
€]]+AR53) +AY53+BC53</f>
        <v>-11210.180000000002</v>
      </c>
      <c r="BI53" s="89" t="e">
        <f>IF((BG53/(BG53+BH53))&lt;VLOOKUP(Tableau5617192223242425262827293031333432353620383961719241822254140424344104746[[#This Row],[Num Projets]],#REF!,53,FALSE),VLOOKUP(Tableau5617192223242425262827293031333432353620383961719241822254140424344104746[[#This Row],[Num Projets]],#REF!,53,FALSE),BG53/(BG53+BH53))</f>
        <v>#REF!</v>
      </c>
      <c r="BJ53" s="47" t="e">
        <f t="shared" si="8"/>
        <v>#REF!</v>
      </c>
      <c r="BK53" s="27" t="e">
        <f t="shared" si="9"/>
        <v>#REF!</v>
      </c>
      <c r="BL53" s="26" t="e">
        <f t="shared" si="10"/>
        <v>#REF!</v>
      </c>
      <c r="BM53" s="96">
        <f>IFERROR(VLOOKUP(H53,'[1]2023dec'!H:CA,54,FALSE),105)</f>
        <v>105</v>
      </c>
      <c r="BN53" s="29">
        <v>1</v>
      </c>
      <c r="BO53" s="30" t="e">
        <f>P53-AC53-AG53-AV53-Tableau5617192223242425262827293031333432353620383961719241822254140424344104746[[#This Row],[Provisions pour risques]]</f>
        <v>#REF!</v>
      </c>
      <c r="BP5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4780</v>
      </c>
      <c r="BQ5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53" s="97" t="e">
        <f t="shared" si="18"/>
        <v>#REF!</v>
      </c>
      <c r="BS53" s="34">
        <f>Tableau5617192223242425262827293031333432353620383961719241822254140424344104746[[#This Row],[Consommé global Enregistré à date (€ HT)]]-IFERROR(VLOOKUP(H53,#REF!,50,FALSE),0)</f>
        <v>15990.180000000002</v>
      </c>
      <c r="BT53" s="35" t="e">
        <f t="shared" si="19"/>
        <v>#REF!</v>
      </c>
      <c r="BU53" s="36">
        <f>BD53-IFERROR(VLOOKUP(H53,#REF!,47,FALSE),0)</f>
        <v>0</v>
      </c>
      <c r="BV53" s="37" t="e">
        <f>+BF53+Tableau5617192223242425262827293031333432353620383961719241822254140424344104746[[#This Row],[CA fin N-1]]-IFERROR(VLOOKUP(H53,#REF!,49,FALSE),0)-IFERROR(VLOOKUP(H53,#REF!,50,FALSE),0)</f>
        <v>#REF!</v>
      </c>
      <c r="BW53" s="33">
        <f>BG53-IFERROR(VLOOKUP(H53,#REF!,51,FALSE),0)</f>
        <v>15990.180000000002</v>
      </c>
      <c r="BX53" s="35" t="e">
        <f t="shared" si="20"/>
        <v>#REF!</v>
      </c>
      <c r="BY53" s="36">
        <f>BD53-IFERROR(VLOOKUP(H53,#REF!,48,FALSE),0)</f>
        <v>0</v>
      </c>
      <c r="BZ5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3" s="39" t="e">
        <f>VLOOKUP(Tableau5617192223242425262827293031333432353620383961719241822254140424344104746[[#This Row],[Num Projets]],#REF!,1,FALSE)</f>
        <v>#REF!</v>
      </c>
      <c r="CB53" s="40">
        <v>100</v>
      </c>
      <c r="CC53" s="40">
        <v>0</v>
      </c>
      <c r="CD5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-100</v>
      </c>
    </row>
    <row r="54" spans="1:82" s="258" customFormat="1" ht="13.5" customHeight="1" x14ac:dyDescent="0.25">
      <c r="A54" s="311" t="s">
        <v>115</v>
      </c>
      <c r="B54" s="1"/>
      <c r="C54" s="2" t="e">
        <f>_xlfn.XLOOKUP(Tableau5617192223242425262827293031333432353620383961719241822254140424344104746[[#This Row],[Num Projets]],#REF!,#REF!,FALSE)</f>
        <v>#REF!</v>
      </c>
      <c r="D54" s="3" t="s">
        <v>1</v>
      </c>
      <c r="E54" s="3" t="e">
        <f>_xlfn.XLOOKUP(Tableau5617192223242425262827293031333432353620383961719241822254140424344104746[[#This Row],[Num Projets]],#REF!,#REF!,FALSE)</f>
        <v>#REF!</v>
      </c>
      <c r="F54" s="3" t="e">
        <f>_xlfn.XLOOKUP(Tableau5617192223242425262827293031333432353620383961719241822254140424344104746[[#This Row],[Num Projets]],#REF!,#REF!,"newavr",0)</f>
        <v>#REF!</v>
      </c>
      <c r="G54" s="3" t="s">
        <v>85</v>
      </c>
      <c r="H54" s="3" t="s">
        <v>116</v>
      </c>
      <c r="I5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4" s="4" t="e">
        <f>VLOOKUP(Tableau5617192223242425262827293031333432353620383961719241822254140424344104746[[#This Row],[Num Projets]],#REF!,36,FALSE)</f>
        <v>#REF!</v>
      </c>
      <c r="K54" s="5" t="s">
        <v>4</v>
      </c>
      <c r="L5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4" s="3" t="e">
        <f>SUBSTITUTE(_xlfn.XLOOKUP(Tableau5617192223242425262827293031333432353620383961719241822254140424344104746[[#This Row],[Num Projets]],#REF!,#REF!,FALSE)," ","")</f>
        <v>#REF!</v>
      </c>
      <c r="N54" s="7" t="e">
        <f>VLOOKUP(H54,#REF!,7,FALSE)</f>
        <v>#REF!</v>
      </c>
      <c r="O54" s="7" t="e">
        <f>IF(VLOOKUP(H54,#REF!,27,FALSE)=0,"",VLOOKUP(H54,#REF!,27,FALSE))</f>
        <v>#REF!</v>
      </c>
      <c r="P54" s="8" t="e">
        <f>VLOOKUP(H54,#REF!,2,FALSE)</f>
        <v>#REF!</v>
      </c>
      <c r="Q54" s="9" t="e">
        <f>Tableau5617192223242425262827293031333432353620383961719241822254140424344104746[[#This Row],[Total Budget
€]]-IFERROR(VLOOKUP(H54,#REF!,8,FALSE),0)</f>
        <v>#REF!</v>
      </c>
      <c r="R54" s="15">
        <f>AD54+AI54+Tableau5617192223242425262827293031333432353620383961719241822254140424344104746[[#This Row],[Int Commandé OT
€]]+AX54</f>
        <v>0</v>
      </c>
      <c r="S54" s="15">
        <f>AD54+AJ54+Tableau5617192223242425262827293031333432353620383961719241822254140424344104746[[#This Row],[Int Réalisé OT
€]]+AX54</f>
        <v>0</v>
      </c>
      <c r="T54" s="94" t="e">
        <f t="shared" si="2"/>
        <v>#REF!</v>
      </c>
      <c r="U5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4" s="12">
        <f>IFERROR(VLOOKUP(H54,#REF!,2,FALSE),0)</f>
        <v>0</v>
      </c>
      <c r="X54" s="13">
        <f>IFERROR(VLOOKUP(H54,#REF!,2,FALSE),0)</f>
        <v>0</v>
      </c>
      <c r="Y54" s="13">
        <f>IFERROR(VLOOKUP(H54,#REF!,3,FALSE),0)</f>
        <v>0</v>
      </c>
      <c r="Z5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11</v>
      </c>
      <c r="AA54" s="13">
        <f>IFERROR(VLOOKUP(H54,#REF!,18,FALSE),0)</f>
        <v>0</v>
      </c>
      <c r="AB54" s="13">
        <f>SUM(X54:Y54)-IFERROR(VLOOKUP(H54,#REF!,16,FALSE),0)-IFERROR(VLOOKUP(H54,#REF!,17,FALSE),0)</f>
        <v>0</v>
      </c>
      <c r="AC54" s="15" t="e">
        <f>VLOOKUP(Tableau5617192223242425262827293031333432353620383961719241822254140424344104746[[#This Row],[Num Projets]],#REF!,2,FALSE)</f>
        <v>#REF!</v>
      </c>
      <c r="AD54" s="15">
        <f>IFERROR(VLOOKUP(Tableau5617192223242425262827293031333432353620383961719241822254140424344104746[[#This Row],[Num Projets]],#REF!,2,FALSE),0)</f>
        <v>0</v>
      </c>
      <c r="AE54" s="8">
        <f t="shared" si="3"/>
        <v>525.79999999999995</v>
      </c>
      <c r="AF54" s="22" t="e">
        <f t="shared" si="4"/>
        <v>#REF!</v>
      </c>
      <c r="AG54" s="8">
        <f>IFERROR(VLOOKUP(H54,#REF!,3,FALSE),0)+IFERROR(VLOOKUP(H54,#REF!,3,FALSE),0)</f>
        <v>0</v>
      </c>
      <c r="AH54" s="8">
        <f>IFERROR(VLOOKUP(Tableau5617192223242425262827293031333432353620383961719241822254140424344104746[[#This Row],[Num Projets]],#REF!,2,FALSE),0)</f>
        <v>0</v>
      </c>
      <c r="AI54" s="17">
        <f>+IFERROR(VLOOKUP(H54,#REF!,2,FALSE),0)-Tableau5617192223242425262827293031333432353620383961719241822254140424344104746[[#This Row],[Int Commandé OT
€]]</f>
        <v>0</v>
      </c>
      <c r="AJ54" s="8">
        <f>IFERROR(VLOOKUP(H54,#REF!,11,FALSE),0)-IFERROR(VLOOKUP(H54,#REF!,10,FALSE),0)+Tableau5617192223242425262827293031333432353620383961719241822254140424344104746[[#This Row],[dont FNP à date (€ HT)]]</f>
        <v>0</v>
      </c>
      <c r="AK54" s="15">
        <f t="shared" si="14"/>
        <v>0</v>
      </c>
      <c r="AL5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4" s="19">
        <f>IF(Tableau5617192223242425262827293031333432353620383961719241822254140424344104746[[#This Row],[RAF Achats M-1
€]]=0,0,AN54-AO54)</f>
        <v>0</v>
      </c>
      <c r="AN54" s="8">
        <f>IFERROR(VLOOKUP(H54,#REF!,31,FALSE),0)</f>
        <v>0</v>
      </c>
      <c r="AO54" s="8">
        <f>AI54+-IFERROR(VLOOKUP(H54,#REF!,27,FALSE),0)</f>
        <v>0</v>
      </c>
      <c r="AP54" s="20">
        <f>IFERROR(VLOOKUP(Tableau5617192223242425262827293031333432353620383961719241822254140424344104746[[#This Row],[Num Projets]],#REF!,2,FALSE),0)</f>
        <v>0</v>
      </c>
      <c r="AQ54" s="20">
        <f>_xlfn.XLOOKUP(H54,[2]Synth!$N:$N,[2]Synth!$O:$O,0,FALSE)+_xlfn.XLOOKUP(Tableau5617192223242425262827293031333432353620383961719241822254140424344104746[[#This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4" s="21">
        <v>0</v>
      </c>
      <c r="AS54" s="20">
        <f>+IFERROR(VLOOKUP(H54,#REF!,36,FALSE),0)</f>
        <v>0</v>
      </c>
      <c r="AT5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4" s="22">
        <f>IF(AG54=0,0,1-((AI54+AM54+Tableau5617192223242425262827293031333432353620383961719241822254140424344104746[[#This Row],[Int Commandé OT
€]]+Tableau5617192223242425262827293031333432353620383961719241822254140424344104746[[#This Row],[RAF Int OT
€]])/AG54))</f>
        <v>0</v>
      </c>
      <c r="AV54" s="8">
        <f>IFERROR(VLOOKUP(H54,#REF!,4,FALSE),0)+IFERROR(VLOOKUP(H54,#REF!,4,FALSE),0)</f>
        <v>0</v>
      </c>
      <c r="AW54" s="8">
        <f>IFERROR(VLOOKUP(Tableau5617192223242425262827293031333432353620383961719241822254140424344104746[[#This Row],[Num Projets]],#REF!,3,FALSE),0)</f>
        <v>0</v>
      </c>
      <c r="AX54" s="95">
        <f>IFERROR(VLOOKUP(Tableau5617192223242425262827293031333432353620383961719241822254140424344104746[[#This Row],[Num Projets]],#REF!,10,FALSE),0)</f>
        <v>0</v>
      </c>
      <c r="AY54" s="23">
        <f>Tableau5617192223242425262827293031333432353620383961719241822254140424344104746[[#This Row],[Budget Mission
 €]]/1.2-AX54</f>
        <v>0</v>
      </c>
      <c r="AZ54" s="8">
        <f>IFERROR(VLOOKUP(H54,#REF!,43,FALSE),0)</f>
        <v>0</v>
      </c>
      <c r="BA54" s="8">
        <f>AX54-IFERROR(VLOOKUP(H54,#REF!,42,FALSE),0)</f>
        <v>0</v>
      </c>
      <c r="BB54" s="47">
        <f t="shared" si="17"/>
        <v>0</v>
      </c>
      <c r="BC54" s="24">
        <f>IFERROR(VLOOKUP(H54,#REF!,47,FALSE),IFERROR(VLOOKUP(H54,#REF!,5,FALSE),0)+IFERROR(VLOOKUP(H54,#REF!,5,FALSE),0))</f>
        <v>0</v>
      </c>
      <c r="BD54" s="25">
        <f>IFERROR(VLOOKUP(H54,#REF!,2,FALSE),0)</f>
        <v>0</v>
      </c>
      <c r="BE54" s="25">
        <f>IFERROR(VLOOKUP(H54,#REF!,49,FALSE),0)</f>
        <v>0</v>
      </c>
      <c r="BF54" s="50" t="e">
        <f t="shared" si="5"/>
        <v>#REF!</v>
      </c>
      <c r="BG54" s="50">
        <f t="shared" si="6"/>
        <v>0</v>
      </c>
      <c r="BH54" s="27">
        <f>AE54+ (AI54-AJ54+AM54+Tableau5617192223242425262827293031333432353620383961719241822254140424344104746[[#This Row],[Int Commandé OT
€]]-Tableau5617192223242425262827293031333432353620383961719241822254140424344104746[[#This Row],[Int Réalisé OT
€]]+AR54) +AY54+BC54</f>
        <v>525.79999999999995</v>
      </c>
      <c r="BI54" s="47">
        <f t="shared" si="16"/>
        <v>0</v>
      </c>
      <c r="BJ54" s="47" t="e">
        <f t="shared" si="8"/>
        <v>#REF!</v>
      </c>
      <c r="BK54" s="27" t="e">
        <f t="shared" si="9"/>
        <v>#REF!</v>
      </c>
      <c r="BL54" s="26" t="e">
        <f t="shared" si="10"/>
        <v>#REF!</v>
      </c>
      <c r="BM54" s="96">
        <v>43</v>
      </c>
      <c r="BN54" s="29">
        <v>1</v>
      </c>
      <c r="BO54" s="30" t="e">
        <f>P54-AC54-AG54-AV54-Tableau5617192223242425262827293031333432353620383961719241822254140424344104746[[#This Row],[Provisions pour risques]]</f>
        <v>#REF!</v>
      </c>
      <c r="BP5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525.79999999999995</v>
      </c>
      <c r="BQ5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54" s="97" t="e">
        <f t="shared" si="18"/>
        <v>#REF!</v>
      </c>
      <c r="BS54" s="34">
        <f>Tableau5617192223242425262827293031333432353620383961719241822254140424344104746[[#This Row],[Consommé global Enregistré à date (€ HT)]]-IFERROR(VLOOKUP(H54,#REF!,50,FALSE),0)</f>
        <v>0</v>
      </c>
      <c r="BT54" s="35" t="e">
        <f t="shared" si="19"/>
        <v>#REF!</v>
      </c>
      <c r="BU54" s="36">
        <f>BD54-IFERROR(VLOOKUP(H54,#REF!,47,FALSE),0)</f>
        <v>0</v>
      </c>
      <c r="BV54" s="37" t="e">
        <f>+BF54+Tableau5617192223242425262827293031333432353620383961719241822254140424344104746[[#This Row],[CA fin N-1]]-IFERROR(VLOOKUP(H54,#REF!,49,FALSE),0)-IFERROR(VLOOKUP(H54,#REF!,50,FALSE),0)</f>
        <v>#REF!</v>
      </c>
      <c r="BW54" s="33">
        <f>BG54-IFERROR(VLOOKUP(H54,#REF!,51,FALSE),0)</f>
        <v>0</v>
      </c>
      <c r="BX54" s="35" t="e">
        <f t="shared" si="20"/>
        <v>#REF!</v>
      </c>
      <c r="BY54" s="36">
        <f>BD54-IFERROR(VLOOKUP(H54,#REF!,48,FALSE),0)</f>
        <v>0</v>
      </c>
      <c r="BZ5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4" s="39" t="e">
        <f>VLOOKUP(Tableau5617192223242425262827293031333432353620383961719241822254140424344104746[[#This Row],[Num Projets]],#REF!,1,FALSE)</f>
        <v>#REF!</v>
      </c>
      <c r="CB54" s="40">
        <v>11</v>
      </c>
      <c r="CC54" s="40">
        <v>0</v>
      </c>
      <c r="CD5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-11</v>
      </c>
    </row>
    <row r="55" spans="1:82" s="258" customFormat="1" ht="13.5" customHeight="1" x14ac:dyDescent="0.25">
      <c r="A55" s="311" t="s">
        <v>117</v>
      </c>
      <c r="B55" s="1"/>
      <c r="C55" s="2" t="e">
        <f>_xlfn.XLOOKUP(Tableau5617192223242425262827293031333432353620383961719241822254140424344104746[[#This Row],[Num Projets]],#REF!,#REF!,FALSE)</f>
        <v>#REF!</v>
      </c>
      <c r="D55" s="3" t="s">
        <v>6</v>
      </c>
      <c r="E55" s="3" t="e">
        <f>_xlfn.XLOOKUP(Tableau5617192223242425262827293031333432353620383961719241822254140424344104746[[#This Row],[Num Projets]],#REF!,#REF!,FALSE)</f>
        <v>#REF!</v>
      </c>
      <c r="F55" s="3" t="e">
        <f>_xlfn.XLOOKUP(Tableau5617192223242425262827293031333432353620383961719241822254140424344104746[[#This Row],[Num Projets]],#REF!,#REF!,"newavr",0)</f>
        <v>#REF!</v>
      </c>
      <c r="G55" s="3" t="s">
        <v>2</v>
      </c>
      <c r="H55" s="3" t="s">
        <v>118</v>
      </c>
      <c r="I5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5" s="4" t="e">
        <f>VLOOKUP(Tableau5617192223242425262827293031333432353620383961719241822254140424344104746[[#This Row],[Num Projets]],#REF!,36,FALSE)</f>
        <v>#REF!</v>
      </c>
      <c r="K55" s="5" t="s">
        <v>21</v>
      </c>
      <c r="L5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5" s="3" t="e">
        <f>SUBSTITUTE(_xlfn.XLOOKUP(Tableau5617192223242425262827293031333432353620383961719241822254140424344104746[[#This Row],[Num Projets]],#REF!,#REF!,FALSE)," ","")</f>
        <v>#REF!</v>
      </c>
      <c r="N55" s="7" t="e">
        <f>VLOOKUP(H55,#REF!,7,FALSE)</f>
        <v>#REF!</v>
      </c>
      <c r="O55" s="7">
        <v>45747</v>
      </c>
      <c r="P55" s="15" t="e">
        <f>VLOOKUP(H55,#REF!,2,FALSE)</f>
        <v>#REF!</v>
      </c>
      <c r="Q55" s="9" t="e">
        <f>Tableau5617192223242425262827293031333432353620383961719241822254140424344104746[[#This Row],[Total Budget
€]]-IFERROR(VLOOKUP(H55,#REF!,8,FALSE),0)</f>
        <v>#REF!</v>
      </c>
      <c r="R55" s="15">
        <f>AD55+AI55+Tableau5617192223242425262827293031333432353620383961719241822254140424344104746[[#This Row],[Int Commandé OT
€]]+AX55</f>
        <v>0</v>
      </c>
      <c r="S55" s="15">
        <f>AD55+AJ55+Tableau5617192223242425262827293031333432353620383961719241822254140424344104746[[#This Row],[Int Réalisé OT
€]]+AX55</f>
        <v>0</v>
      </c>
      <c r="T55" s="94" t="e">
        <f t="shared" si="2"/>
        <v>#REF!</v>
      </c>
      <c r="U5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5" s="12">
        <f>IFERROR(VLOOKUP(H55,#REF!,2,FALSE),0)</f>
        <v>0</v>
      </c>
      <c r="X55" s="13">
        <f>IFERROR(VLOOKUP(H55,#REF!,2,FALSE),0)</f>
        <v>0</v>
      </c>
      <c r="Y55" s="13">
        <f>IFERROR(VLOOKUP(H55,#REF!,3,FALSE),0)</f>
        <v>0</v>
      </c>
      <c r="Z5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78.5</v>
      </c>
      <c r="AA55" s="13">
        <f>IFERROR(VLOOKUP(H55,#REF!,18,FALSE),0)</f>
        <v>0</v>
      </c>
      <c r="AB55" s="13">
        <f>SUM(X55:Y55)-IFERROR(VLOOKUP(H55,#REF!,16,FALSE),0)-IFERROR(VLOOKUP(H55,#REF!,17,FALSE),0)</f>
        <v>0</v>
      </c>
      <c r="AC55" s="15" t="e">
        <f>VLOOKUP(Tableau5617192223242425262827293031333432353620383961719241822254140424344104746[[#This Row],[Num Projets]],#REF!,2,FALSE)</f>
        <v>#REF!</v>
      </c>
      <c r="AD55" s="15">
        <f>IFERROR(VLOOKUP(Tableau5617192223242425262827293031333432353620383961719241822254140424344104746[[#This Row],[Num Projets]],#REF!,2,FALSE),0)</f>
        <v>0</v>
      </c>
      <c r="AE55" s="8">
        <f t="shared" si="3"/>
        <v>3752.2999999999997</v>
      </c>
      <c r="AF55" s="22" t="e">
        <f t="shared" si="4"/>
        <v>#REF!</v>
      </c>
      <c r="AG55" s="8">
        <f>IFERROR(VLOOKUP(H55,#REF!,3,FALSE),0)+IFERROR(VLOOKUP(H55,#REF!,3,FALSE),0)</f>
        <v>0</v>
      </c>
      <c r="AH55" s="8">
        <f>IFERROR(VLOOKUP(Tableau5617192223242425262827293031333432353620383961719241822254140424344104746[[#This Row],[Num Projets]],#REF!,2,FALSE),0)</f>
        <v>0</v>
      </c>
      <c r="AI55" s="17">
        <f>+IFERROR(VLOOKUP(H55,#REF!,2,FALSE),0)-Tableau5617192223242425262827293031333432353620383961719241822254140424344104746[[#This Row],[Int Commandé OT
€]]</f>
        <v>0</v>
      </c>
      <c r="AJ55" s="8">
        <f>IFERROR(VLOOKUP(H55,#REF!,11,FALSE),0)-IFERROR(VLOOKUP(H55,#REF!,10,FALSE),0)+Tableau5617192223242425262827293031333432353620383961719241822254140424344104746[[#This Row],[dont FNP à date (€ HT)]]</f>
        <v>0</v>
      </c>
      <c r="AK55" s="15">
        <f t="shared" si="14"/>
        <v>0</v>
      </c>
      <c r="AL5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5" s="19">
        <f>IF(Tableau5617192223242425262827293031333432353620383961719241822254140424344104746[[#This Row],[RAF Achats M-1
€]]=0,0,AN55-AO55)</f>
        <v>0</v>
      </c>
      <c r="AN55" s="8">
        <f>IFERROR(VLOOKUP(H55,#REF!,31,FALSE),0)</f>
        <v>0</v>
      </c>
      <c r="AO55" s="8">
        <f>AI55+-IFERROR(VLOOKUP(H55,#REF!,27,FALSE),0)</f>
        <v>0</v>
      </c>
      <c r="AP55" s="20">
        <f>IFERROR(VLOOKUP(Tableau5617192223242425262827293031333432353620383961719241822254140424344104746[[#This Row],[Num Projets]],#REF!,2,FALSE),0)</f>
        <v>0</v>
      </c>
      <c r="AQ55" s="20">
        <f>_xlfn.XLOOKUP(H55,[2]Synth!$N:$N,[2]Synth!$O:$O,0,FALSE)+_xlfn.XLOOKUP(Tableau5617192223242425262827293031333432353620383961719241822254140424344104746[[#This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5" s="21">
        <v>0</v>
      </c>
      <c r="AS55" s="20">
        <f>+IFERROR(VLOOKUP(H55,#REF!,36,FALSE),0)</f>
        <v>0</v>
      </c>
      <c r="AT5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5" s="22">
        <f>IF(AG55=0,0,1-((AI55+AM55+Tableau5617192223242425262827293031333432353620383961719241822254140424344104746[[#This Row],[Int Commandé OT
€]]+Tableau5617192223242425262827293031333432353620383961719241822254140424344104746[[#This Row],[RAF Int OT
€]])/AG55))</f>
        <v>0</v>
      </c>
      <c r="AV55" s="8">
        <f>IFERROR(VLOOKUP(H55,#REF!,4,FALSE),0)+IFERROR(VLOOKUP(H55,#REF!,4,FALSE),0)</f>
        <v>0</v>
      </c>
      <c r="AW55" s="8">
        <f>IFERROR(VLOOKUP(Tableau5617192223242425262827293031333432353620383961719241822254140424344104746[[#This Row],[Num Projets]],#REF!,3,FALSE),0)</f>
        <v>0</v>
      </c>
      <c r="AX55" s="95">
        <f>IFERROR(VLOOKUP(Tableau5617192223242425262827293031333432353620383961719241822254140424344104746[[#This Row],[Num Projets]],#REF!,10,FALSE),0)</f>
        <v>0</v>
      </c>
      <c r="AY55" s="23">
        <f>Tableau5617192223242425262827293031333432353620383961719241822254140424344104746[[#This Row],[Budget Mission
 €]]/1.2-AX55</f>
        <v>0</v>
      </c>
      <c r="AZ55" s="8">
        <f>IFERROR(VLOOKUP(H55,#REF!,43,FALSE),0)</f>
        <v>0</v>
      </c>
      <c r="BA55" s="8">
        <f>AX55-IFERROR(VLOOKUP(H55,#REF!,42,FALSE),0)</f>
        <v>0</v>
      </c>
      <c r="BB55" s="47">
        <f t="shared" si="17"/>
        <v>0</v>
      </c>
      <c r="BC55" s="24">
        <f>IFERROR(VLOOKUP(H55,#REF!,47,FALSE),IFERROR(VLOOKUP(H55,#REF!,5,FALSE),0)+IFERROR(VLOOKUP(H55,#REF!,5,FALSE),0))</f>
        <v>0</v>
      </c>
      <c r="BD55" s="25">
        <f>IFERROR(VLOOKUP(H55,#REF!,2,FALSE),0)</f>
        <v>0</v>
      </c>
      <c r="BE55" s="25">
        <f>IFERROR(VLOOKUP(H55,#REF!,49,FALSE),0)</f>
        <v>0</v>
      </c>
      <c r="BF55" s="50" t="e">
        <f t="shared" si="5"/>
        <v>#REF!</v>
      </c>
      <c r="BG55" s="50">
        <f t="shared" si="6"/>
        <v>0</v>
      </c>
      <c r="BH55" s="27">
        <f>AE55+ (AI55-AJ55+AM55+Tableau5617192223242425262827293031333432353620383961719241822254140424344104746[[#This Row],[Int Commandé OT
€]]-Tableau5617192223242425262827293031333432353620383961719241822254140424344104746[[#This Row],[Int Réalisé OT
€]]+AR55) +AY55+BC55</f>
        <v>3752.2999999999997</v>
      </c>
      <c r="BI55" s="47">
        <f t="shared" si="16"/>
        <v>0</v>
      </c>
      <c r="BJ55" s="47" t="e">
        <f t="shared" si="8"/>
        <v>#REF!</v>
      </c>
      <c r="BK55" s="27" t="e">
        <f t="shared" si="9"/>
        <v>#REF!</v>
      </c>
      <c r="BL55" s="26" t="e">
        <f t="shared" si="10"/>
        <v>#REF!</v>
      </c>
      <c r="BM55" s="96">
        <f>IFERROR(VLOOKUP(H55,'[1]2023dec'!H:CA,54,FALSE),105)</f>
        <v>105</v>
      </c>
      <c r="BN55" s="29">
        <v>1</v>
      </c>
      <c r="BO55" s="30" t="e">
        <f>P55-AC55-AG55-AV55-Tableau5617192223242425262827293031333432353620383961719241822254140424344104746[[#This Row],[Provisions pour risques]]</f>
        <v>#REF!</v>
      </c>
      <c r="BP5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3752.2999999999997</v>
      </c>
      <c r="BQ5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55" s="97" t="e">
        <f t="shared" si="18"/>
        <v>#REF!</v>
      </c>
      <c r="BS55" s="34">
        <f>Tableau5617192223242425262827293031333432353620383961719241822254140424344104746[[#This Row],[Consommé global Enregistré à date (€ HT)]]-IFERROR(VLOOKUP(H55,#REF!,50,FALSE),0)</f>
        <v>0</v>
      </c>
      <c r="BT55" s="35" t="e">
        <f t="shared" si="19"/>
        <v>#REF!</v>
      </c>
      <c r="BU55" s="36">
        <f>BD55-IFERROR(VLOOKUP(H55,#REF!,47,FALSE),0)</f>
        <v>0</v>
      </c>
      <c r="BV55" s="37" t="e">
        <f>+BF55+Tableau5617192223242425262827293031333432353620383961719241822254140424344104746[[#This Row],[CA fin N-1]]-IFERROR(VLOOKUP(H55,#REF!,49,FALSE),0)-IFERROR(VLOOKUP(H55,#REF!,50,FALSE),0)</f>
        <v>#REF!</v>
      </c>
      <c r="BW55" s="33">
        <f>BG55-IFERROR(VLOOKUP(H55,#REF!,51,FALSE),0)</f>
        <v>0</v>
      </c>
      <c r="BX55" s="35" t="e">
        <f t="shared" si="20"/>
        <v>#REF!</v>
      </c>
      <c r="BY55" s="36">
        <f>BD55-IFERROR(VLOOKUP(H55,#REF!,48,FALSE),0)</f>
        <v>0</v>
      </c>
      <c r="BZ5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5" s="39" t="e">
        <f>VLOOKUP(Tableau5617192223242425262827293031333432353620383961719241822254140424344104746[[#This Row],[Num Projets]],#REF!,1,FALSE)</f>
        <v>#REF!</v>
      </c>
      <c r="CB55" s="40">
        <v>78.5</v>
      </c>
      <c r="CC55" s="40">
        <v>0</v>
      </c>
      <c r="CD5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-78.5</v>
      </c>
    </row>
    <row r="56" spans="1:82" s="318" customFormat="1" ht="13.5" customHeight="1" x14ac:dyDescent="0.25">
      <c r="A56" s="317" t="s">
        <v>119</v>
      </c>
      <c r="B56" s="1"/>
      <c r="C56" s="98" t="e">
        <f>_xlfn.XLOOKUP(Tableau5617192223242425262827293031333432353620383961719241822254140424344104746[[#This Row],[Num Projets]],#REF!,#REF!,FALSE)</f>
        <v>#REF!</v>
      </c>
      <c r="D56" s="44" t="s">
        <v>6</v>
      </c>
      <c r="E56" s="65" t="e">
        <f>_xlfn.XLOOKUP(Tableau5617192223242425262827293031333432353620383961719241822254140424344104746[[#This Row],[Num Projets]],#REF!,#REF!,FALSE)</f>
        <v>#REF!</v>
      </c>
      <c r="F56" s="65" t="e">
        <f>_xlfn.XLOOKUP(Tableau5617192223242425262827293031333432353620383961719241822254140424344104746[[#This Row],[Num Projets]],#REF!,#REF!,"newavr",0)</f>
        <v>#REF!</v>
      </c>
      <c r="G56" s="65" t="s">
        <v>2</v>
      </c>
      <c r="H56" s="65" t="s">
        <v>120</v>
      </c>
      <c r="I56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6" s="4" t="e">
        <f>VLOOKUP(Tableau5617192223242425262827293031333432353620383961719241822254140424344104746[[#This Row],[Num Projets]],#REF!,36,FALSE)</f>
        <v>#REF!</v>
      </c>
      <c r="K56" s="99" t="s">
        <v>9</v>
      </c>
      <c r="L56" s="100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6" s="65" t="e">
        <f>SUBSTITUTE(_xlfn.XLOOKUP(Tableau5617192223242425262827293031333432353620383961719241822254140424344104746[[#This Row],[Num Projets]],#REF!,#REF!,FALSE)," ","")</f>
        <v>#REF!</v>
      </c>
      <c r="N56" s="67" t="e">
        <f>VLOOKUP(H56,#REF!,7,FALSE)</f>
        <v>#REF!</v>
      </c>
      <c r="O56" s="67" t="e">
        <f>IF(VLOOKUP(H56,#REF!,27,FALSE)=0,"",VLOOKUP(H56,#REF!,27,FALSE))</f>
        <v>#REF!</v>
      </c>
      <c r="P56" s="101" t="e">
        <f>VLOOKUP(H56,#REF!,2,FALSE)+8100</f>
        <v>#REF!</v>
      </c>
      <c r="Q56" s="102" t="e">
        <f>Tableau5617192223242425262827293031333432353620383961719241822254140424344104746[[#This Row],[Total Budget
€]]-IFERROR(VLOOKUP(H56,#REF!,8,FALSE),0)</f>
        <v>#REF!</v>
      </c>
      <c r="R56" s="68">
        <f>AD56+AI56+Tableau5617192223242425262827293031333432353620383961719241822254140424344104746[[#This Row],[Int Commandé OT
€]]+AX56</f>
        <v>0</v>
      </c>
      <c r="S56" s="103">
        <f>AD56+AJ56+Tableau5617192223242425262827293031333432353620383961719241822254140424344104746[[#This Row],[Int Réalisé OT
€]]+AX56</f>
        <v>0</v>
      </c>
      <c r="T56" s="104" t="e">
        <f t="shared" si="2"/>
        <v>#REF!</v>
      </c>
      <c r="U56" s="105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6" s="106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6" s="88">
        <f>IFERROR(VLOOKUP(H56,#REF!,2,FALSE),0)-300/105+8100/105</f>
        <v>74.285714285714278</v>
      </c>
      <c r="X56" s="68">
        <f>IFERROR(VLOOKUP(H56,#REF!,2,FALSE),0)</f>
        <v>0</v>
      </c>
      <c r="Y56" s="68">
        <f>IFERROR(VLOOKUP(H56,#REF!,3,FALSE),0)</f>
        <v>0</v>
      </c>
      <c r="Z5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429.39999999999992</v>
      </c>
      <c r="AA56" s="68">
        <f>IFERROR(VLOOKUP(H56,#REF!,18,FALSE),0)</f>
        <v>0</v>
      </c>
      <c r="AB56" s="68">
        <f>SUM(X56:Y56)-IFERROR(VLOOKUP(H56,#REF!,16,FALSE),0)-IFERROR(VLOOKUP(H56,#REF!,17,FALSE),0)</f>
        <v>0</v>
      </c>
      <c r="AC56" s="68" t="e">
        <f>VLOOKUP(Tableau5617192223242425262827293031333432353620383961719241822254140424344104746[[#This Row],[Num Projets]],#REF!,2,FALSE)-300+8100</f>
        <v>#REF!</v>
      </c>
      <c r="AD56" s="103">
        <f>IFERROR(VLOOKUP(Tableau5617192223242425262827293031333432353620383961719241822254140424344104746[[#This Row],[Num Projets]],#REF!,2,FALSE),0)</f>
        <v>0</v>
      </c>
      <c r="AE56" s="46">
        <f>Z56*47.8</f>
        <v>20525.319999999996</v>
      </c>
      <c r="AF56" s="69" t="e">
        <f>IF(AC56=0,0,1-((AD56+AE56)/AC56))</f>
        <v>#REF!</v>
      </c>
      <c r="AG56" s="88">
        <f>IFERROR(VLOOKUP(H56,#REF!,3,FALSE),0)+IFERROR(VLOOKUP(H56,#REF!,3,FALSE),0)+300</f>
        <v>300</v>
      </c>
      <c r="AH56" s="107">
        <f>IFERROR(VLOOKUP(Tableau5617192223242425262827293031333432353620383961719241822254140424344104746[[#This Row],[Num Projets]],#REF!,2,FALSE),0)</f>
        <v>0</v>
      </c>
      <c r="AI56" s="17">
        <f>+IFERROR(VLOOKUP(H56,#REF!,2,FALSE),0)-Tableau5617192223242425262827293031333432353620383961719241822254140424344104746[[#This Row],[Int Commandé OT
€]]</f>
        <v>0</v>
      </c>
      <c r="AJ56" s="107">
        <f>IFERROR(VLOOKUP(H56,#REF!,11,FALSE),0)-IFERROR(VLOOKUP(H56,#REF!,10,FALSE),0)+Tableau5617192223242425262827293031333432353620383961719241822254140424344104746[[#This Row],[dont FNP à date (€ HT)]]</f>
        <v>0</v>
      </c>
      <c r="AK56" s="103">
        <f t="shared" si="14"/>
        <v>0</v>
      </c>
      <c r="AL56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6" s="109">
        <f>IF(Tableau5617192223242425262827293031333432353620383961719241822254140424344104746[[#This Row],[RAF Achats M-1
€]]=0,0,AN56-AO56)</f>
        <v>0</v>
      </c>
      <c r="AN56" s="107">
        <f>IFERROR(VLOOKUP(H56,#REF!,31,FALSE),0)</f>
        <v>0</v>
      </c>
      <c r="AO56" s="107">
        <f>AI56+-IFERROR(VLOOKUP(H56,#REF!,27,FALSE),0)</f>
        <v>0</v>
      </c>
      <c r="AP56" s="17">
        <f>IFERROR(VLOOKUP(Tableau5617192223242425262827293031333432353620383961719241822254140424344104746[[#This Row],[Num Projets]],#REF!,2,FALSE),0)</f>
        <v>0</v>
      </c>
      <c r="AQ56" s="20">
        <f>_xlfn.XLOOKUP(H56,[2]Synth!$N:$N,[2]Synth!$O:$O,0,FALSE)+_xlfn.XLOOKUP(Tableau5617192223242425262827293031333432353620383961719241822254140424344104746[[#This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6" s="110">
        <v>0</v>
      </c>
      <c r="AS56" s="111">
        <f>+IFERROR(VLOOKUP(H56,#REF!,36,FALSE),0)</f>
        <v>0</v>
      </c>
      <c r="AT56" s="111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6" s="69">
        <f>IF(AG56=0,0,1-((AI56+AM56+Tableau5617192223242425262827293031333432353620383961719241822254140424344104746[[#This Row],[Int Commandé OT
€]]+Tableau5617192223242425262827293031333432353620383961719241822254140424344104746[[#This Row],[RAF Int OT
€]])/AG56))</f>
        <v>1</v>
      </c>
      <c r="AV56" s="107">
        <f>IFERROR(VLOOKUP(H56,#REF!,4,FALSE),0)+IFERROR(VLOOKUP(H56,#REF!,4,FALSE),0)</f>
        <v>0</v>
      </c>
      <c r="AW56" s="46">
        <f>IFERROR(VLOOKUP(Tableau5617192223242425262827293031333432353620383961719241822254140424344104746[[#This Row],[Num Projets]],#REF!,3,FALSE),0)</f>
        <v>0</v>
      </c>
      <c r="AX56" s="112">
        <f>IFERROR(VLOOKUP(Tableau5617192223242425262827293031333432353620383961719241822254140424344104746[[#This Row],[Num Projets]],#REF!,10,FALSE),0)</f>
        <v>0</v>
      </c>
      <c r="AY56" s="113">
        <f>Tableau5617192223242425262827293031333432353620383961719241822254140424344104746[[#This Row],[Budget Mission
 €]]/1.2-AX56</f>
        <v>0</v>
      </c>
      <c r="AZ56" s="107">
        <f>IFERROR(VLOOKUP(H56,#REF!,43,FALSE),0)</f>
        <v>0</v>
      </c>
      <c r="BA56" s="107">
        <f>AX56-IFERROR(VLOOKUP(H56,#REF!,42,FALSE),0)</f>
        <v>0</v>
      </c>
      <c r="BB56" s="87">
        <f t="shared" si="17"/>
        <v>0</v>
      </c>
      <c r="BC56" s="71">
        <f>IFERROR(VLOOKUP(H56,#REF!,47,FALSE),IFERROR(VLOOKUP(H56,#REF!,5,FALSE),0)+IFERROR(VLOOKUP(H56,#REF!,5,FALSE),0))</f>
        <v>0</v>
      </c>
      <c r="BD56" s="114">
        <f>IFERROR(VLOOKUP(H56,#REF!,2,FALSE),0)</f>
        <v>0</v>
      </c>
      <c r="BE56" s="114">
        <f>IFERROR(VLOOKUP(H56,#REF!,49,FALSE),0)</f>
        <v>0</v>
      </c>
      <c r="BF56" s="114" t="e">
        <f t="shared" si="5"/>
        <v>#REF!</v>
      </c>
      <c r="BG56" s="72">
        <f>S56</f>
        <v>0</v>
      </c>
      <c r="BH56" s="115">
        <f>AE56+ (AI56-AJ56+AM56+Tableau5617192223242425262827293031333432353620383961719241822254140424344104746[[#This Row],[Int Commandé OT
€]]-Tableau5617192223242425262827293031333432353620383961719241822254140424344104746[[#This Row],[Int Réalisé OT
€]]+AR56) +AY56+BC56</f>
        <v>20525.319999999996</v>
      </c>
      <c r="BI56" s="116" t="e">
        <f>IF((BG56/(BG56+BH56))&lt;VLOOKUP(Tableau5617192223242425262827293031333432353620383961719241822254140424344104746[[#This Row],[Num Projets]],#REF!,53,FALSE),VLOOKUP(Tableau5617192223242425262827293031333432353620383961719241822254140424344104746[[#This Row],[Num Projets]],#REF!,53,FALSE),BG56/(BG56+BH56))</f>
        <v>#REF!</v>
      </c>
      <c r="BJ56" s="87" t="e">
        <f t="shared" si="8"/>
        <v>#REF!</v>
      </c>
      <c r="BK56" s="115" t="e">
        <f t="shared" si="9"/>
        <v>#REF!</v>
      </c>
      <c r="BL56" s="72" t="e">
        <f t="shared" si="10"/>
        <v>#REF!</v>
      </c>
      <c r="BM56" s="117">
        <f>IFERROR(VLOOKUP(H56,'[1]2023dec'!H:CA,54,FALSE),105)</f>
        <v>105</v>
      </c>
      <c r="BN56" s="75">
        <v>1</v>
      </c>
      <c r="BO56" s="118" t="e">
        <f>P56-AC56-AG56-AV56-Tableau5617192223242425262827293031333432353620383961719241822254140424344104746[[#This Row],[Provisions pour risques]]</f>
        <v>#REF!</v>
      </c>
      <c r="BP56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20525.319999999996</v>
      </c>
      <c r="BQ56" s="56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56" s="120" t="e">
        <f t="shared" si="18"/>
        <v>#REF!</v>
      </c>
      <c r="BS56" s="79">
        <f>Tableau5617192223242425262827293031333432353620383961719241822254140424344104746[[#This Row],[Consommé global Enregistré à date (€ HT)]]-IFERROR(VLOOKUP(H56,#REF!,50,FALSE),0)</f>
        <v>0</v>
      </c>
      <c r="BT56" s="80" t="e">
        <f t="shared" si="19"/>
        <v>#REF!</v>
      </c>
      <c r="BU56" s="121">
        <f>BD56-IFERROR(VLOOKUP(H56,#REF!,47,FALSE),0)</f>
        <v>0</v>
      </c>
      <c r="BV56" s="122" t="e">
        <f>+BF56+Tableau5617192223242425262827293031333432353620383961719241822254140424344104746[[#This Row],[CA fin N-1]]-IFERROR(VLOOKUP(H56,#REF!,49,FALSE),0)-IFERROR(VLOOKUP(H56,#REF!,50,FALSE),0)</f>
        <v>#REF!</v>
      </c>
      <c r="BW56" s="123">
        <f>BG56-IFERROR(VLOOKUP(H56,#REF!,51,FALSE),0)</f>
        <v>0</v>
      </c>
      <c r="BX56" s="80" t="e">
        <f t="shared" si="20"/>
        <v>#REF!</v>
      </c>
      <c r="BY56" s="121">
        <f>BD56-IFERROR(VLOOKUP(H56,#REF!,48,FALSE),0)</f>
        <v>0</v>
      </c>
      <c r="BZ56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6" s="39" t="e">
        <f>VLOOKUP(Tableau5617192223242425262827293031333432353620383961719241822254140424344104746[[#This Row],[Num Projets]],#REF!,1,FALSE)</f>
        <v>#REF!</v>
      </c>
      <c r="CB56" s="40">
        <v>429.39999999999992</v>
      </c>
      <c r="CC56" s="40">
        <v>0</v>
      </c>
      <c r="CD5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-429.39999999999992</v>
      </c>
    </row>
    <row r="57" spans="1:82" s="258" customFormat="1" ht="13.5" customHeight="1" x14ac:dyDescent="0.25">
      <c r="A57" s="311"/>
      <c r="B57" s="1"/>
      <c r="C57" s="2" t="e">
        <f>_xlfn.XLOOKUP(Tableau5617192223242425262827293031333432353620383961719241822254140424344104746[[#This Row],[Num Projets]],#REF!,#REF!,FALSE)</f>
        <v>#REF!</v>
      </c>
      <c r="D57" s="3" t="s">
        <v>6</v>
      </c>
      <c r="E57" s="3" t="e">
        <f>_xlfn.XLOOKUP(Tableau5617192223242425262827293031333432353620383961719241822254140424344104746[[#This Row],[Num Projets]],#REF!,#REF!,FALSE)</f>
        <v>#REF!</v>
      </c>
      <c r="F57" s="3" t="e">
        <f>_xlfn.XLOOKUP(Tableau5617192223242425262827293031333432353620383961719241822254140424344104746[[#This Row],[Num Projets]],#REF!,#REF!,"newavr",0)</f>
        <v>#REF!</v>
      </c>
      <c r="G57" s="3" t="s">
        <v>85</v>
      </c>
      <c r="H57" s="3" t="s">
        <v>121</v>
      </c>
      <c r="I5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7" s="4" t="e">
        <f>VLOOKUP(Tableau5617192223242425262827293031333432353620383961719241822254140424344104746[[#This Row],[Num Projets]],#REF!,36,FALSE)</f>
        <v>#REF!</v>
      </c>
      <c r="K57" s="5" t="s">
        <v>9</v>
      </c>
      <c r="L5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7" s="3" t="e">
        <f>SUBSTITUTE(_xlfn.XLOOKUP(Tableau5617192223242425262827293031333432353620383961719241822254140424344104746[[#This Row],[Num Projets]],#REF!,#REF!,FALSE)," ","")</f>
        <v>#REF!</v>
      </c>
      <c r="N57" s="7" t="e">
        <f>VLOOKUP(H57,#REF!,7,FALSE)</f>
        <v>#REF!</v>
      </c>
      <c r="O57" s="7" t="e">
        <f>IF(VLOOKUP(H57,#REF!,27,FALSE)=0,"",VLOOKUP(H57,#REF!,27,FALSE))</f>
        <v>#REF!</v>
      </c>
      <c r="P57" s="8" t="e">
        <f>VLOOKUP(H57,#REF!,2,FALSE)</f>
        <v>#REF!</v>
      </c>
      <c r="Q57" s="9" t="e">
        <f>Tableau5617192223242425262827293031333432353620383961719241822254140424344104746[[#This Row],[Total Budget
€]]-IFERROR(VLOOKUP(H57,#REF!,8,FALSE),0)</f>
        <v>#REF!</v>
      </c>
      <c r="R57" s="15">
        <f>AD57+AI57+Tableau5617192223242425262827293031333432353620383961719241822254140424344104746[[#This Row],[Int Commandé OT
€]]+AX57</f>
        <v>0</v>
      </c>
      <c r="S57" s="15">
        <f>AD57+AJ57+Tableau5617192223242425262827293031333432353620383961719241822254140424344104746[[#This Row],[Int Réalisé OT
€]]+AX57</f>
        <v>0</v>
      </c>
      <c r="T57" s="94" t="e">
        <f t="shared" si="2"/>
        <v>#REF!</v>
      </c>
      <c r="U5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7" s="12">
        <f>IFERROR(VLOOKUP(H57,#REF!,2,FALSE),0)</f>
        <v>0</v>
      </c>
      <c r="X57" s="13">
        <f>IFERROR(VLOOKUP(H57,#REF!,2,FALSE),0)</f>
        <v>0</v>
      </c>
      <c r="Y57" s="13">
        <f>IFERROR(VLOOKUP(H57,#REF!,3,FALSE),0)</f>
        <v>0</v>
      </c>
      <c r="Z5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</v>
      </c>
      <c r="AA57" s="13">
        <f>IFERROR(VLOOKUP(H57,#REF!,18,FALSE),0)</f>
        <v>0</v>
      </c>
      <c r="AB57" s="13">
        <f>SUM(X57:Y57)-IFERROR(VLOOKUP(H57,#REF!,16,FALSE),0)-IFERROR(VLOOKUP(H57,#REF!,17,FALSE),0)</f>
        <v>0</v>
      </c>
      <c r="AC57" s="15" t="e">
        <f>VLOOKUP(Tableau5617192223242425262827293031333432353620383961719241822254140424344104746[[#This Row],[Num Projets]],#REF!,2,FALSE)</f>
        <v>#REF!</v>
      </c>
      <c r="AD57" s="15">
        <f>IFERROR(VLOOKUP(Tableau5617192223242425262827293031333432353620383961719241822254140424344104746[[#This Row],[Num Projets]],#REF!,2,FALSE),0)</f>
        <v>0</v>
      </c>
      <c r="AE57" s="8">
        <f t="shared" si="3"/>
        <v>1195</v>
      </c>
      <c r="AF57" s="22" t="e">
        <f t="shared" si="4"/>
        <v>#REF!</v>
      </c>
      <c r="AG57" s="8">
        <f>IFERROR(VLOOKUP(H57,#REF!,3,FALSE),0)+IFERROR(VLOOKUP(H57,#REF!,3,FALSE),0)</f>
        <v>0</v>
      </c>
      <c r="AH57" s="8">
        <f>IFERROR(VLOOKUP(Tableau5617192223242425262827293031333432353620383961719241822254140424344104746[[#This Row],[Num Projets]],#REF!,2,FALSE),0)</f>
        <v>0</v>
      </c>
      <c r="AI57" s="17">
        <f>+IFERROR(VLOOKUP(H57,#REF!,2,FALSE),0)-Tableau5617192223242425262827293031333432353620383961719241822254140424344104746[[#This Row],[Int Commandé OT
€]]</f>
        <v>0</v>
      </c>
      <c r="AJ57" s="8">
        <f>IFERROR(VLOOKUP(H57,#REF!,11,FALSE),0)-IFERROR(VLOOKUP(H57,#REF!,10,FALSE),0)+Tableau5617192223242425262827293031333432353620383961719241822254140424344104746[[#This Row],[dont FNP à date (€ HT)]]</f>
        <v>0</v>
      </c>
      <c r="AK57" s="15">
        <f t="shared" si="14"/>
        <v>0</v>
      </c>
      <c r="AL5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7" s="19">
        <f>IF(Tableau5617192223242425262827293031333432353620383961719241822254140424344104746[[#This Row],[RAF Achats M-1
€]]=0,0,AN57-AO57)</f>
        <v>0</v>
      </c>
      <c r="AN57" s="8">
        <f>IFERROR(VLOOKUP(H57,#REF!,31,FALSE),0)</f>
        <v>0</v>
      </c>
      <c r="AO57" s="8">
        <f>AI57+-IFERROR(VLOOKUP(H57,#REF!,27,FALSE),0)</f>
        <v>0</v>
      </c>
      <c r="AP57" s="20">
        <f>IFERROR(VLOOKUP(Tableau5617192223242425262827293031333432353620383961719241822254140424344104746[[#This Row],[Num Projets]],#REF!,2,FALSE),0)</f>
        <v>0</v>
      </c>
      <c r="AQ57" s="20">
        <f>_xlfn.XLOOKUP(H57,[2]Synth!$N:$N,[2]Synth!$O:$O,0,FALSE)+_xlfn.XLOOKUP(Tableau5617192223242425262827293031333432353620383961719241822254140424344104746[[#This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7" s="21">
        <v>0</v>
      </c>
      <c r="AS57" s="20">
        <f>+IFERROR(VLOOKUP(H57,#REF!,36,FALSE),0)</f>
        <v>0</v>
      </c>
      <c r="AT5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7" s="22">
        <f>IF(AG57=0,0,1-((AI57+AM57+Tableau5617192223242425262827293031333432353620383961719241822254140424344104746[[#This Row],[Int Commandé OT
€]]+Tableau5617192223242425262827293031333432353620383961719241822254140424344104746[[#This Row],[RAF Int OT
€]])/AG57))</f>
        <v>0</v>
      </c>
      <c r="AV57" s="8">
        <f>IFERROR(VLOOKUP(H57,#REF!,4,FALSE),0)+IFERROR(VLOOKUP(H57,#REF!,4,FALSE),0)</f>
        <v>0</v>
      </c>
      <c r="AW57" s="8">
        <f>IFERROR(VLOOKUP(Tableau5617192223242425262827293031333432353620383961719241822254140424344104746[[#This Row],[Num Projets]],#REF!,3,FALSE),0)</f>
        <v>0</v>
      </c>
      <c r="AX57" s="95">
        <f>IFERROR(VLOOKUP(Tableau5617192223242425262827293031333432353620383961719241822254140424344104746[[#This Row],[Num Projets]],#REF!,10,FALSE),0)</f>
        <v>0</v>
      </c>
      <c r="AY57" s="23">
        <f>Tableau5617192223242425262827293031333432353620383961719241822254140424344104746[[#This Row],[Budget Mission
 €]]/1.2-AX57</f>
        <v>0</v>
      </c>
      <c r="AZ57" s="8">
        <f>IFERROR(VLOOKUP(H57,#REF!,43,FALSE),0)</f>
        <v>0</v>
      </c>
      <c r="BA57" s="8">
        <f>AX57-IFERROR(VLOOKUP(H57,#REF!,42,FALSE),0)</f>
        <v>0</v>
      </c>
      <c r="BB57" s="47">
        <f t="shared" si="17"/>
        <v>0</v>
      </c>
      <c r="BC57" s="24">
        <f>IFERROR(VLOOKUP(H57,#REF!,47,FALSE),IFERROR(VLOOKUP(H57,#REF!,5,FALSE),0)+IFERROR(VLOOKUP(H57,#REF!,5,FALSE),0))</f>
        <v>0</v>
      </c>
      <c r="BD57" s="25">
        <f>IFERROR(VLOOKUP(H57,#REF!,2,FALSE),0)</f>
        <v>0</v>
      </c>
      <c r="BE57" s="25">
        <f>IFERROR(VLOOKUP(H57,#REF!,49,FALSE),0)</f>
        <v>0</v>
      </c>
      <c r="BF57" s="50" t="e">
        <f t="shared" si="5"/>
        <v>#REF!</v>
      </c>
      <c r="BG57" s="50">
        <f t="shared" si="6"/>
        <v>0</v>
      </c>
      <c r="BH57" s="27">
        <f>AE57+ (AI57-AJ57+AM57+Tableau5617192223242425262827293031333432353620383961719241822254140424344104746[[#This Row],[Int Commandé OT
€]]-Tableau5617192223242425262827293031333432353620383961719241822254140424344104746[[#This Row],[Int Réalisé OT
€]]+AR57) +AY57+BC57</f>
        <v>1195</v>
      </c>
      <c r="BI57" s="47">
        <f t="shared" ref="BI57:BI62" si="21">IF(BG57+BH57=0,100%,BG57/(BG57+BH57))</f>
        <v>0</v>
      </c>
      <c r="BJ57" s="47" t="e">
        <f t="shared" si="8"/>
        <v>#REF!</v>
      </c>
      <c r="BK57" s="27" t="e">
        <f t="shared" si="9"/>
        <v>#REF!</v>
      </c>
      <c r="BL57" s="26" t="e">
        <f t="shared" si="10"/>
        <v>#REF!</v>
      </c>
      <c r="BM57" s="96">
        <f>IFERROR(VLOOKUP(H57,'[1]2023dec'!H:CA,54,FALSE),105)</f>
        <v>105</v>
      </c>
      <c r="BN57" s="29">
        <v>1</v>
      </c>
      <c r="BO57" s="30" t="e">
        <f>P57-AC57-AG57-AV57-Tableau5617192223242425262827293031333432353620383961719241822254140424344104746[[#This Row],[Provisions pour risques]]</f>
        <v>#REF!</v>
      </c>
      <c r="BP5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1195</v>
      </c>
      <c r="BQ5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57" s="97" t="e">
        <f t="shared" si="18"/>
        <v>#REF!</v>
      </c>
      <c r="BS57" s="34">
        <f>Tableau5617192223242425262827293031333432353620383961719241822254140424344104746[[#This Row],[Consommé global Enregistré à date (€ HT)]]-IFERROR(VLOOKUP(H57,#REF!,50,FALSE),0)</f>
        <v>0</v>
      </c>
      <c r="BT57" s="35" t="e">
        <f t="shared" si="19"/>
        <v>#REF!</v>
      </c>
      <c r="BU57" s="36">
        <f>BD57-IFERROR(VLOOKUP(H57,#REF!,47,FALSE),0)</f>
        <v>0</v>
      </c>
      <c r="BV57" s="37" t="e">
        <f>+BF57+Tableau5617192223242425262827293031333432353620383961719241822254140424344104746[[#This Row],[CA fin N-1]]-IFERROR(VLOOKUP(H57,#REF!,49,FALSE),0)-IFERROR(VLOOKUP(H57,#REF!,50,FALSE),0)</f>
        <v>#REF!</v>
      </c>
      <c r="BW57" s="33">
        <f>BG57-IFERROR(VLOOKUP(H57,#REF!,51,FALSE),0)</f>
        <v>0</v>
      </c>
      <c r="BX57" s="35" t="e">
        <f t="shared" si="20"/>
        <v>#REF!</v>
      </c>
      <c r="BY57" s="36">
        <f>BD57-IFERROR(VLOOKUP(H57,#REF!,48,FALSE),0)</f>
        <v>0</v>
      </c>
      <c r="BZ5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7" s="39" t="e">
        <f>VLOOKUP(Tableau5617192223242425262827293031333432353620383961719241822254140424344104746[[#This Row],[Num Projets]],#REF!,1,FALSE)</f>
        <v>#REF!</v>
      </c>
      <c r="CB57" s="40">
        <v>25</v>
      </c>
      <c r="CC57" s="40">
        <v>0</v>
      </c>
      <c r="CD5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</v>
      </c>
    </row>
    <row r="58" spans="1:82" s="258" customFormat="1" ht="13.5" customHeight="1" x14ac:dyDescent="0.25">
      <c r="A58" s="311" t="s">
        <v>122</v>
      </c>
      <c r="B58" s="1"/>
      <c r="C58" s="2" t="e">
        <f>_xlfn.XLOOKUP(Tableau5617192223242425262827293031333432353620383961719241822254140424344104746[[#This Row],[Num Projets]],#REF!,#REF!,FALSE)</f>
        <v>#REF!</v>
      </c>
      <c r="D58" s="3" t="s">
        <v>40</v>
      </c>
      <c r="E58" s="3" t="e">
        <f>_xlfn.XLOOKUP(Tableau5617192223242425262827293031333432353620383961719241822254140424344104746[[#This Row],[Num Projets]],#REF!,#REF!,FALSE)</f>
        <v>#REF!</v>
      </c>
      <c r="F58" s="3" t="e">
        <f>_xlfn.XLOOKUP(Tableau5617192223242425262827293031333432353620383961719241822254140424344104746[[#This Row],[Num Projets]],#REF!,#REF!,"newavr",0)</f>
        <v>#REF!</v>
      </c>
      <c r="G58" s="3" t="s">
        <v>85</v>
      </c>
      <c r="H58" s="3" t="s">
        <v>123</v>
      </c>
      <c r="I5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8" s="4" t="e">
        <f>VLOOKUP(Tableau5617192223242425262827293031333432353620383961719241822254140424344104746[[#This Row],[Num Projets]],#REF!,36,FALSE)</f>
        <v>#REF!</v>
      </c>
      <c r="K58" s="5" t="s">
        <v>55</v>
      </c>
      <c r="L5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8" s="3" t="e">
        <f>SUBSTITUTE(_xlfn.XLOOKUP(Tableau5617192223242425262827293031333432353620383961719241822254140424344104746[[#This Row],[Num Projets]],#REF!,#REF!,FALSE)," ","")</f>
        <v>#REF!</v>
      </c>
      <c r="N58" s="7" t="e">
        <f>VLOOKUP(H58,#REF!,7,FALSE)</f>
        <v>#REF!</v>
      </c>
      <c r="O58" s="7" t="e">
        <f>IF(VLOOKUP(H58,#REF!,27,FALSE)=0,"",VLOOKUP(H58,#REF!,27,FALSE))</f>
        <v>#REF!</v>
      </c>
      <c r="P58" s="8" t="e">
        <f>VLOOKUP(H58,#REF!,2,FALSE)</f>
        <v>#REF!</v>
      </c>
      <c r="Q58" s="9" t="e">
        <f>Tableau5617192223242425262827293031333432353620383961719241822254140424344104746[[#This Row],[Total Budget
€]]-IFERROR(VLOOKUP(H58,#REF!,8,FALSE),0)</f>
        <v>#REF!</v>
      </c>
      <c r="R58" s="15">
        <f>AD58+AI58+Tableau5617192223242425262827293031333432353620383961719241822254140424344104746[[#This Row],[Int Commandé OT
€]]+AX58</f>
        <v>0</v>
      </c>
      <c r="S58" s="15">
        <f>AD58+AJ58+Tableau5617192223242425262827293031333432353620383961719241822254140424344104746[[#This Row],[Int Réalisé OT
€]]+AX58</f>
        <v>0</v>
      </c>
      <c r="T58" s="94" t="e">
        <f t="shared" si="2"/>
        <v>#REF!</v>
      </c>
      <c r="U5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8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8" s="12">
        <f>IFERROR(VLOOKUP(H58,#REF!,2,FALSE),0)</f>
        <v>0</v>
      </c>
      <c r="X58" s="13">
        <f>IFERROR(VLOOKUP(H58,#REF!,2,FALSE),0)</f>
        <v>0</v>
      </c>
      <c r="Y58" s="13">
        <f>IFERROR(VLOOKUP(H58,#REF!,3,FALSE),0)</f>
        <v>0</v>
      </c>
      <c r="Z5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901.5</v>
      </c>
      <c r="AA58" s="13">
        <f>IFERROR(VLOOKUP(H58,#REF!,18,FALSE),0)</f>
        <v>0</v>
      </c>
      <c r="AB58" s="13">
        <f>SUM(X58:Y58)-IFERROR(VLOOKUP(H58,#REF!,16,FALSE),0)-IFERROR(VLOOKUP(H58,#REF!,17,FALSE),0)</f>
        <v>0</v>
      </c>
      <c r="AC58" s="15" t="e">
        <f>VLOOKUP(Tableau5617192223242425262827293031333432353620383961719241822254140424344104746[[#This Row],[Num Projets]],#REF!,2,FALSE)</f>
        <v>#REF!</v>
      </c>
      <c r="AD58" s="15">
        <f>IFERROR(VLOOKUP(Tableau5617192223242425262827293031333432353620383961719241822254140424344104746[[#This Row],[Num Projets]],#REF!,2,FALSE),0)</f>
        <v>0</v>
      </c>
      <c r="AE58" s="8">
        <f t="shared" si="3"/>
        <v>43091.7</v>
      </c>
      <c r="AF58" s="22" t="e">
        <f t="shared" si="4"/>
        <v>#REF!</v>
      </c>
      <c r="AG58" s="8">
        <f>IFERROR(VLOOKUP(H58,#REF!,3,FALSE),0)+IFERROR(VLOOKUP(H58,#REF!,3,FALSE),0)</f>
        <v>0</v>
      </c>
      <c r="AH58" s="8">
        <f>IFERROR(VLOOKUP(Tableau5617192223242425262827293031333432353620383961719241822254140424344104746[[#This Row],[Num Projets]],#REF!,2,FALSE),0)</f>
        <v>0</v>
      </c>
      <c r="AI58" s="17">
        <f>+IFERROR(VLOOKUP(H58,#REF!,2,FALSE),0)-Tableau5617192223242425262827293031333432353620383961719241822254140424344104746[[#This Row],[Int Commandé OT
€]]</f>
        <v>0</v>
      </c>
      <c r="AJ58" s="8">
        <f>IFERROR(VLOOKUP(H58,#REF!,11,FALSE),0)-IFERROR(VLOOKUP(H58,#REF!,10,FALSE),0)+Tableau5617192223242425262827293031333432353620383961719241822254140424344104746[[#This Row],[dont FNP à date (€ HT)]]</f>
        <v>0</v>
      </c>
      <c r="AK58" s="15">
        <f t="shared" si="14"/>
        <v>0</v>
      </c>
      <c r="AL5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8" s="19">
        <f>IF(Tableau5617192223242425262827293031333432353620383961719241822254140424344104746[[#This Row],[RAF Achats M-1
€]]=0,0,AN58-AO58)</f>
        <v>0</v>
      </c>
      <c r="AN58" s="8">
        <f>IFERROR(VLOOKUP(H58,#REF!,31,FALSE),0)</f>
        <v>0</v>
      </c>
      <c r="AO58" s="8">
        <f>AI58+-IFERROR(VLOOKUP(H58,#REF!,27,FALSE),0)</f>
        <v>0</v>
      </c>
      <c r="AP58" s="20">
        <f>IFERROR(VLOOKUP(Tableau5617192223242425262827293031333432353620383961719241822254140424344104746[[#This Row],[Num Projets]],#REF!,2,FALSE),0)</f>
        <v>0</v>
      </c>
      <c r="AQ58" s="20">
        <f>_xlfn.XLOOKUP(H58,[2]Synth!$N:$N,[2]Synth!$O:$O,0,FALSE)+_xlfn.XLOOKUP(Tableau5617192223242425262827293031333432353620383961719241822254140424344104746[[#This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58" s="21">
        <v>0</v>
      </c>
      <c r="AS58" s="20">
        <f>+IFERROR(VLOOKUP(H58,#REF!,36,FALSE),0)</f>
        <v>0</v>
      </c>
      <c r="AT5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8" s="22">
        <f>IF(AG58=0,0,1-((AI58+AM58+Tableau5617192223242425262827293031333432353620383961719241822254140424344104746[[#This Row],[Int Commandé OT
€]]+Tableau5617192223242425262827293031333432353620383961719241822254140424344104746[[#This Row],[RAF Int OT
€]])/AG58))</f>
        <v>0</v>
      </c>
      <c r="AV58" s="8">
        <f>IFERROR(VLOOKUP(H58,#REF!,4,FALSE),0)+IFERROR(VLOOKUP(H58,#REF!,4,FALSE),0)</f>
        <v>0</v>
      </c>
      <c r="AW58" s="8">
        <f>IFERROR(VLOOKUP(Tableau5617192223242425262827293031333432353620383961719241822254140424344104746[[#This Row],[Num Projets]],#REF!,3,FALSE),0)</f>
        <v>0</v>
      </c>
      <c r="AX58" s="95">
        <f>IFERROR(VLOOKUP(Tableau5617192223242425262827293031333432353620383961719241822254140424344104746[[#This Row],[Num Projets]],#REF!,10,FALSE),0)</f>
        <v>0</v>
      </c>
      <c r="AY58" s="23">
        <f>Tableau5617192223242425262827293031333432353620383961719241822254140424344104746[[#This Row],[Budget Mission
 €]]/1.2-AX58</f>
        <v>0</v>
      </c>
      <c r="AZ58" s="8">
        <f>IFERROR(VLOOKUP(H58,#REF!,43,FALSE),0)</f>
        <v>0</v>
      </c>
      <c r="BA58" s="8">
        <f>AX58-IFERROR(VLOOKUP(H58,#REF!,42,FALSE),0)</f>
        <v>0</v>
      </c>
      <c r="BB58" s="47">
        <f t="shared" si="17"/>
        <v>0</v>
      </c>
      <c r="BC58" s="24">
        <f>IFERROR(VLOOKUP(H58,#REF!,47,FALSE),IFERROR(VLOOKUP(H58,#REF!,5,FALSE),0)+IFERROR(VLOOKUP(H58,#REF!,5,FALSE),0))</f>
        <v>0</v>
      </c>
      <c r="BD58" s="25">
        <f>IFERROR(VLOOKUP(H58,#REF!,2,FALSE),0)</f>
        <v>0</v>
      </c>
      <c r="BE58" s="25">
        <f>IFERROR(VLOOKUP(H58,#REF!,49,FALSE),0)</f>
        <v>0</v>
      </c>
      <c r="BF58" s="50" t="e">
        <f t="shared" si="5"/>
        <v>#REF!</v>
      </c>
      <c r="BG58" s="50">
        <f t="shared" si="6"/>
        <v>0</v>
      </c>
      <c r="BH58" s="27">
        <f>AE58+ (AI58-AJ58+AM58+Tableau5617192223242425262827293031333432353620383961719241822254140424344104746[[#This Row],[Int Commandé OT
€]]-Tableau5617192223242425262827293031333432353620383961719241822254140424344104746[[#This Row],[Int Réalisé OT
€]]+AR58) +AY58+BC58</f>
        <v>43091.7</v>
      </c>
      <c r="BI58" s="124">
        <f t="shared" si="21"/>
        <v>0</v>
      </c>
      <c r="BJ58" s="47" t="e">
        <f t="shared" si="8"/>
        <v>#REF!</v>
      </c>
      <c r="BK58" s="27" t="e">
        <f t="shared" si="9"/>
        <v>#REF!</v>
      </c>
      <c r="BL58" s="26" t="e">
        <f t="shared" si="10"/>
        <v>#REF!</v>
      </c>
      <c r="BM58" s="96">
        <f>IFERROR(VLOOKUP(H58,'[1]2023dec'!H:CA,54,FALSE),105)</f>
        <v>105</v>
      </c>
      <c r="BN58" s="29">
        <v>1</v>
      </c>
      <c r="BO58" s="30" t="e">
        <f>P58-AC58-AG58-AV58-Tableau5617192223242425262827293031333432353620383961719241822254140424344104746[[#This Row],[Provisions pour risques]]</f>
        <v>#REF!</v>
      </c>
      <c r="BP5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43091.7</v>
      </c>
      <c r="BQ5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58" s="97" t="e">
        <f t="shared" si="18"/>
        <v>#REF!</v>
      </c>
      <c r="BS58" s="34">
        <f>Tableau5617192223242425262827293031333432353620383961719241822254140424344104746[[#This Row],[Consommé global Enregistré à date (€ HT)]]-IFERROR(VLOOKUP(H58,#REF!,50,FALSE),0)</f>
        <v>0</v>
      </c>
      <c r="BT58" s="35" t="e">
        <f t="shared" si="19"/>
        <v>#REF!</v>
      </c>
      <c r="BU58" s="36">
        <f>BD58-IFERROR(VLOOKUP(H58,#REF!,47,FALSE),0)</f>
        <v>0</v>
      </c>
      <c r="BV58" s="37" t="e">
        <f>+BF58+Tableau5617192223242425262827293031333432353620383961719241822254140424344104746[[#This Row],[CA fin N-1]]-IFERROR(VLOOKUP(H58,#REF!,49,FALSE),0)-IFERROR(VLOOKUP(H58,#REF!,50,FALSE),0)</f>
        <v>#REF!</v>
      </c>
      <c r="BW58" s="33">
        <f>BG58-IFERROR(VLOOKUP(H58,#REF!,51,FALSE),0)</f>
        <v>0</v>
      </c>
      <c r="BX58" s="35" t="e">
        <f t="shared" si="20"/>
        <v>#REF!</v>
      </c>
      <c r="BY58" s="36">
        <f>BD58-IFERROR(VLOOKUP(H58,#REF!,48,FALSE),0)</f>
        <v>0</v>
      </c>
      <c r="BZ5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8" s="39" t="e">
        <f>VLOOKUP(Tableau5617192223242425262827293031333432353620383961719241822254140424344104746[[#This Row],[Num Projets]],#REF!,1,FALSE)</f>
        <v>#REF!</v>
      </c>
      <c r="CB58" s="40">
        <v>901.5</v>
      </c>
      <c r="CC58" s="40">
        <v>0</v>
      </c>
      <c r="CD5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-901.5</v>
      </c>
    </row>
    <row r="59" spans="1:82" s="258" customFormat="1" ht="13.5" customHeight="1" x14ac:dyDescent="0.25">
      <c r="A59" s="311" t="s">
        <v>124</v>
      </c>
      <c r="B59" s="1"/>
      <c r="C59" s="2" t="e">
        <f>_xlfn.XLOOKUP(Tableau5617192223242425262827293031333432353620383961719241822254140424344104746[[#This Row],[Num Projets]],#REF!,#REF!,FALSE)</f>
        <v>#REF!</v>
      </c>
      <c r="D59" s="3" t="s">
        <v>1</v>
      </c>
      <c r="E59" s="3" t="e">
        <f>_xlfn.XLOOKUP(Tableau5617192223242425262827293031333432353620383961719241822254140424344104746[[#This Row],[Num Projets]],#REF!,#REF!,FALSE)</f>
        <v>#REF!</v>
      </c>
      <c r="F59" s="3" t="e">
        <f>_xlfn.XLOOKUP(Tableau5617192223242425262827293031333432353620383961719241822254140424344104746[[#This Row],[Num Projets]],#REF!,#REF!,"newavr",0)</f>
        <v>#REF!</v>
      </c>
      <c r="G59" s="3" t="s">
        <v>31</v>
      </c>
      <c r="H59" s="3" t="s">
        <v>125</v>
      </c>
      <c r="I5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59" s="4" t="e">
        <f>VLOOKUP(Tableau5617192223242425262827293031333432353620383961719241822254140424344104746[[#This Row],[Num Projets]],#REF!,36,FALSE)</f>
        <v>#REF!</v>
      </c>
      <c r="K59" s="5" t="s">
        <v>21</v>
      </c>
      <c r="L5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59" s="3" t="e">
        <f>SUBSTITUTE(_xlfn.XLOOKUP(Tableau5617192223242425262827293031333432353620383961719241822254140424344104746[[#This Row],[Num Projets]],#REF!,#REF!,FALSE)," ","")</f>
        <v>#REF!</v>
      </c>
      <c r="N59" s="7" t="e">
        <f>VLOOKUP(H59,#REF!,7,FALSE)</f>
        <v>#REF!</v>
      </c>
      <c r="O59" s="7" t="e">
        <f>IF(VLOOKUP(H59,#REF!,27,FALSE)=0,"",VLOOKUP(H59,#REF!,27,FALSE))</f>
        <v>#REF!</v>
      </c>
      <c r="P59" s="8" t="e">
        <f>VLOOKUP(H59,#REF!,2,FALSE)</f>
        <v>#REF!</v>
      </c>
      <c r="Q59" s="9" t="e">
        <f>Tableau5617192223242425262827293031333432353620383961719241822254140424344104746[[#This Row],[Total Budget
€]]-IFERROR(VLOOKUP(H59,#REF!,8,FALSE),0)</f>
        <v>#REF!</v>
      </c>
      <c r="R59" s="15">
        <f>AD59+AI59+Tableau5617192223242425262827293031333432353620383961719241822254140424344104746[[#This Row],[Int Commandé OT
€]]+AX59</f>
        <v>0</v>
      </c>
      <c r="S59" s="15">
        <f>AD59+AJ59+Tableau5617192223242425262827293031333432353620383961719241822254140424344104746[[#This Row],[Int Réalisé OT
€]]+AX59</f>
        <v>14341.43</v>
      </c>
      <c r="T59" s="94" t="e">
        <f t="shared" si="2"/>
        <v>#REF!</v>
      </c>
      <c r="U5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5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59" s="12">
        <f>IFERROR(VLOOKUP(H59,#REF!,2,FALSE),0)</f>
        <v>0</v>
      </c>
      <c r="X59" s="13">
        <f>IFERROR(VLOOKUP(H59,#REF!,2,FALSE),0)</f>
        <v>0</v>
      </c>
      <c r="Y59" s="13">
        <f>IFERROR(VLOOKUP(H59,#REF!,3,FALSE),0)</f>
        <v>0</v>
      </c>
      <c r="Z5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16</v>
      </c>
      <c r="AA59" s="13">
        <f>IFERROR(VLOOKUP(H59,#REF!,18,FALSE),0)</f>
        <v>0</v>
      </c>
      <c r="AB59" s="13">
        <f>SUM(X59:Y59)-IFERROR(VLOOKUP(H59,#REF!,16,FALSE),0)-IFERROR(VLOOKUP(H59,#REF!,17,FALSE),0)</f>
        <v>0</v>
      </c>
      <c r="AC59" s="15" t="e">
        <f>VLOOKUP(Tableau5617192223242425262827293031333432353620383961719241822254140424344104746[[#This Row],[Num Projets]],#REF!,2,FALSE)</f>
        <v>#REF!</v>
      </c>
      <c r="AD59" s="15">
        <f>IFERROR(VLOOKUP(Tableau5617192223242425262827293031333432353620383961719241822254140424344104746[[#This Row],[Num Projets]],#REF!,2,FALSE),0)</f>
        <v>0</v>
      </c>
      <c r="AE59" s="8">
        <f t="shared" si="3"/>
        <v>764.8</v>
      </c>
      <c r="AF59" s="22" t="e">
        <f t="shared" si="4"/>
        <v>#REF!</v>
      </c>
      <c r="AG59" s="8">
        <f>IFERROR(VLOOKUP(H59,#REF!,3,FALSE),0)+IFERROR(VLOOKUP(H59,#REF!,3,FALSE),0)</f>
        <v>0</v>
      </c>
      <c r="AH59" s="8">
        <f>IFERROR(VLOOKUP(Tableau5617192223242425262827293031333432353620383961719241822254140424344104746[[#This Row],[Num Projets]],#REF!,2,FALSE),0)</f>
        <v>0</v>
      </c>
      <c r="AI59" s="17">
        <f>+IFERROR(VLOOKUP(H59,#REF!,2,FALSE),0)-Tableau5617192223242425262827293031333432353620383961719241822254140424344104746[[#This Row],[Int Commandé OT
€]]</f>
        <v>0</v>
      </c>
      <c r="AJ59" s="8">
        <f>IFERROR(VLOOKUP(H59,#REF!,11,FALSE),0)-IFERROR(VLOOKUP(H59,#REF!,10,FALSE),0)+Tableau5617192223242425262827293031333432353620383961719241822254140424344104746[[#This Row],[dont FNP à date (€ HT)]]</f>
        <v>0</v>
      </c>
      <c r="AK59" s="15">
        <f t="shared" si="14"/>
        <v>0</v>
      </c>
      <c r="AL5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59" s="19">
        <f>IF(Tableau5617192223242425262827293031333432353620383961719241822254140424344104746[[#This Row],[RAF Achats M-1
€]]=0,0,AN59-AO59)</f>
        <v>0</v>
      </c>
      <c r="AN59" s="8">
        <f>IFERROR(VLOOKUP(H59,#REF!,31,FALSE),0)</f>
        <v>0</v>
      </c>
      <c r="AO59" s="8">
        <f>AI59+-IFERROR(VLOOKUP(H59,#REF!,27,FALSE),0)</f>
        <v>0</v>
      </c>
      <c r="AP59" s="20">
        <f>IFERROR(VLOOKUP(Tableau5617192223242425262827293031333432353620383961719241822254140424344104746[[#This Row],[Num Projets]],#REF!,2,FALSE),0)</f>
        <v>0</v>
      </c>
      <c r="AQ59" s="20">
        <f>_xlfn.XLOOKUP(H59,[2]Synth!$N:$N,[2]Synth!$O:$O,0,FALSE)+_xlfn.XLOOKUP(Tableau5617192223242425262827293031333432353620383961719241822254140424344104746[[#This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14341.43</v>
      </c>
      <c r="AR59" s="21">
        <v>0</v>
      </c>
      <c r="AS59" s="20">
        <f>+IFERROR(VLOOKUP(H59,#REF!,36,FALSE),0)</f>
        <v>0</v>
      </c>
      <c r="AT5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59" s="22">
        <f>IF(AG59=0,0,1-((AI59+AM59+Tableau5617192223242425262827293031333432353620383961719241822254140424344104746[[#This Row],[Int Commandé OT
€]]+Tableau5617192223242425262827293031333432353620383961719241822254140424344104746[[#This Row],[RAF Int OT
€]])/AG59))</f>
        <v>0</v>
      </c>
      <c r="AV59" s="8">
        <f>IFERROR(VLOOKUP(H59,#REF!,4,FALSE),0)+IFERROR(VLOOKUP(H59,#REF!,4,FALSE),0)</f>
        <v>0</v>
      </c>
      <c r="AW59" s="8">
        <f>IFERROR(VLOOKUP(Tableau5617192223242425262827293031333432353620383961719241822254140424344104746[[#This Row],[Num Projets]],#REF!,3,FALSE),0)</f>
        <v>0</v>
      </c>
      <c r="AX59" s="95">
        <f>IFERROR(VLOOKUP(Tableau5617192223242425262827293031333432353620383961719241822254140424344104746[[#This Row],[Num Projets]],#REF!,10,FALSE),0)</f>
        <v>0</v>
      </c>
      <c r="AY59" s="23">
        <f>Tableau5617192223242425262827293031333432353620383961719241822254140424344104746[[#This Row],[Budget Mission
 €]]/1.2-AX59</f>
        <v>0</v>
      </c>
      <c r="AZ59" s="8">
        <f>IFERROR(VLOOKUP(H59,#REF!,43,FALSE),0)</f>
        <v>0</v>
      </c>
      <c r="BA59" s="8">
        <f>AX59-IFERROR(VLOOKUP(H59,#REF!,42,FALSE),0)</f>
        <v>0</v>
      </c>
      <c r="BB59" s="47">
        <f t="shared" si="17"/>
        <v>0</v>
      </c>
      <c r="BC59" s="24">
        <f>IFERROR(VLOOKUP(H59,#REF!,47,FALSE),IFERROR(VLOOKUP(H59,#REF!,5,FALSE),0)+IFERROR(VLOOKUP(H59,#REF!,5,FALSE),0))</f>
        <v>0</v>
      </c>
      <c r="BD59" s="25">
        <f>IFERROR(VLOOKUP(H59,#REF!,2,FALSE),0)</f>
        <v>0</v>
      </c>
      <c r="BE59" s="25">
        <f>IFERROR(VLOOKUP(H59,#REF!,49,FALSE),0)</f>
        <v>0</v>
      </c>
      <c r="BF59" s="50" t="e">
        <f t="shared" si="5"/>
        <v>#REF!</v>
      </c>
      <c r="BG59" s="50">
        <f t="shared" si="6"/>
        <v>14341.43</v>
      </c>
      <c r="BH59" s="27">
        <f>AE59+ (AI59-AJ59+AM59+Tableau5617192223242425262827293031333432353620383961719241822254140424344104746[[#This Row],[Int Commandé OT
€]]-Tableau5617192223242425262827293031333432353620383961719241822254140424344104746[[#This Row],[Int Réalisé OT
€]]+AR59) +AY59+BC59</f>
        <v>-13576.630000000001</v>
      </c>
      <c r="BI59" s="47">
        <f t="shared" si="21"/>
        <v>18.751869769874496</v>
      </c>
      <c r="BJ59" s="47" t="e">
        <f t="shared" si="8"/>
        <v>#REF!</v>
      </c>
      <c r="BK59" s="27" t="e">
        <f t="shared" si="9"/>
        <v>#REF!</v>
      </c>
      <c r="BL59" s="26" t="e">
        <f t="shared" si="10"/>
        <v>#REF!</v>
      </c>
      <c r="BM59" s="96">
        <f>IFERROR(VLOOKUP(H59,'[1]2023dec'!H:CA,54,FALSE),105)</f>
        <v>105</v>
      </c>
      <c r="BN59" s="29">
        <v>1</v>
      </c>
      <c r="BO59" s="30" t="e">
        <f>P59-AC59-AG59-AV59-Tableau5617192223242425262827293031333432353620383961719241822254140424344104746[[#This Row],[Provisions pour risques]]</f>
        <v>#REF!</v>
      </c>
      <c r="BP5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764.79999999999927</v>
      </c>
      <c r="BQ5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18.751869769874496</v>
      </c>
      <c r="BR59" s="97" t="e">
        <f t="shared" si="18"/>
        <v>#REF!</v>
      </c>
      <c r="BS59" s="34">
        <f>Tableau5617192223242425262827293031333432353620383961719241822254140424344104746[[#This Row],[Consommé global Enregistré à date (€ HT)]]-IFERROR(VLOOKUP(H59,#REF!,50,FALSE),0)</f>
        <v>14341.43</v>
      </c>
      <c r="BT59" s="35" t="e">
        <f t="shared" si="19"/>
        <v>#REF!</v>
      </c>
      <c r="BU59" s="36">
        <f>BD59-IFERROR(VLOOKUP(H59,#REF!,47,FALSE),0)</f>
        <v>0</v>
      </c>
      <c r="BV59" s="37" t="e">
        <f>+BF59+Tableau5617192223242425262827293031333432353620383961719241822254140424344104746[[#This Row],[CA fin N-1]]-IFERROR(VLOOKUP(H59,#REF!,49,FALSE),0)-IFERROR(VLOOKUP(H59,#REF!,50,FALSE),0)</f>
        <v>#REF!</v>
      </c>
      <c r="BW59" s="33">
        <f>BG59-IFERROR(VLOOKUP(H59,#REF!,51,FALSE),0)</f>
        <v>14341.43</v>
      </c>
      <c r="BX59" s="35" t="e">
        <f t="shared" si="20"/>
        <v>#REF!</v>
      </c>
      <c r="BY59" s="36">
        <f>BD59-IFERROR(VLOOKUP(H59,#REF!,48,FALSE),0)</f>
        <v>0</v>
      </c>
      <c r="BZ5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59" s="39" t="e">
        <f>VLOOKUP(Tableau5617192223242425262827293031333432353620383961719241822254140424344104746[[#This Row],[Num Projets]],#REF!,1,FALSE)</f>
        <v>#REF!</v>
      </c>
      <c r="CB59" s="40">
        <v>16</v>
      </c>
      <c r="CC59" s="40">
        <v>0</v>
      </c>
      <c r="CD5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</v>
      </c>
    </row>
    <row r="60" spans="1:82" s="258" customFormat="1" ht="13.5" customHeight="1" x14ac:dyDescent="0.25">
      <c r="A60" s="311" t="s">
        <v>126</v>
      </c>
      <c r="B60" s="1"/>
      <c r="C60" s="2" t="e">
        <f>_xlfn.XLOOKUP(Tableau5617192223242425262827293031333432353620383961719241822254140424344104746[[#This Row],[Num Projets]],#REF!,#REF!,FALSE)</f>
        <v>#REF!</v>
      </c>
      <c r="D60" s="3" t="s">
        <v>1</v>
      </c>
      <c r="E60" s="3" t="e">
        <f>_xlfn.XLOOKUP(Tableau5617192223242425262827293031333432353620383961719241822254140424344104746[[#This Row],[Num Projets]],#REF!,#REF!,FALSE)</f>
        <v>#REF!</v>
      </c>
      <c r="F60" s="3" t="e">
        <f>_xlfn.XLOOKUP(Tableau5617192223242425262827293031333432353620383961719241822254140424344104746[[#This Row],[Num Projets]],#REF!,#REF!,"newavr",0)</f>
        <v>#REF!</v>
      </c>
      <c r="G60" s="3" t="s">
        <v>2</v>
      </c>
      <c r="H60" s="3" t="s">
        <v>127</v>
      </c>
      <c r="I6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0" s="4" t="e">
        <f>VLOOKUP(Tableau5617192223242425262827293031333432353620383961719241822254140424344104746[[#This Row],[Num Projets]],#REF!,36,FALSE)</f>
        <v>#REF!</v>
      </c>
      <c r="K60" s="5" t="s">
        <v>21</v>
      </c>
      <c r="L6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0" s="3" t="e">
        <f>SUBSTITUTE(_xlfn.XLOOKUP(Tableau5617192223242425262827293031333432353620383961719241822254140424344104746[[#This Row],[Num Projets]],#REF!,#REF!,FALSE)," ","")</f>
        <v>#REF!</v>
      </c>
      <c r="N60" s="7" t="e">
        <f>VLOOKUP(H60,#REF!,7,FALSE)</f>
        <v>#REF!</v>
      </c>
      <c r="O60" s="7" t="e">
        <f>IF(VLOOKUP(H60,#REF!,27,FALSE)=0,"",VLOOKUP(H60,#REF!,27,FALSE))</f>
        <v>#REF!</v>
      </c>
      <c r="P60" s="8" t="e">
        <f>VLOOKUP(H60,#REF!,2,FALSE)</f>
        <v>#REF!</v>
      </c>
      <c r="Q60" s="9" t="e">
        <f>Tableau5617192223242425262827293031333432353620383961719241822254140424344104746[[#This Row],[Total Budget
€]]-IFERROR(VLOOKUP(H60,#REF!,8,FALSE),0)</f>
        <v>#REF!</v>
      </c>
      <c r="R60" s="15">
        <f>AD60+AI60+Tableau5617192223242425262827293031333432353620383961719241822254140424344104746[[#This Row],[Int Commandé OT
€]]+AX60</f>
        <v>0</v>
      </c>
      <c r="S60" s="15">
        <f>AD60+AJ60+Tableau5617192223242425262827293031333432353620383961719241822254140424344104746[[#This Row],[Int Réalisé OT
€]]+AX60</f>
        <v>0</v>
      </c>
      <c r="T60" s="94" t="e">
        <f t="shared" si="2"/>
        <v>#REF!</v>
      </c>
      <c r="U6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0" s="12">
        <f>IFERROR(VLOOKUP(H60,#REF!,2,FALSE),0)</f>
        <v>0</v>
      </c>
      <c r="X60" s="13">
        <f>IFERROR(VLOOKUP(H60,#REF!,2,FALSE),0)</f>
        <v>0</v>
      </c>
      <c r="Y60" s="13">
        <f>IFERROR(VLOOKUP(H60,#REF!,3,FALSE),0)</f>
        <v>0</v>
      </c>
      <c r="Z6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4346.0476190476193</v>
      </c>
      <c r="AA60" s="13">
        <f>IFERROR(VLOOKUP(H60,#REF!,18,FALSE),0)</f>
        <v>0</v>
      </c>
      <c r="AB60" s="13">
        <f>SUM(X60:Y60)-IFERROR(VLOOKUP(H60,#REF!,16,FALSE),0)-IFERROR(VLOOKUP(H60,#REF!,17,FALSE),0)</f>
        <v>0</v>
      </c>
      <c r="AC60" s="15" t="e">
        <f>VLOOKUP(Tableau5617192223242425262827293031333432353620383961719241822254140424344104746[[#This Row],[Num Projets]],#REF!,2,FALSE)</f>
        <v>#REF!</v>
      </c>
      <c r="AD60" s="15">
        <f>IFERROR(VLOOKUP(Tableau5617192223242425262827293031333432353620383961719241822254140424344104746[[#This Row],[Num Projets]],#REF!,2,FALSE),0)</f>
        <v>0</v>
      </c>
      <c r="AE60" s="8">
        <f t="shared" si="3"/>
        <v>207741.07619047619</v>
      </c>
      <c r="AF60" s="22" t="e">
        <f t="shared" si="4"/>
        <v>#REF!</v>
      </c>
      <c r="AG60" s="48">
        <f>IFERROR(VLOOKUP(H60,#REF!,3,FALSE),0)+IFERROR(VLOOKUP(H60,#REF!,3,FALSE),0)+6024</f>
        <v>6024</v>
      </c>
      <c r="AH60" s="8">
        <f>IFERROR(VLOOKUP(Tableau5617192223242425262827293031333432353620383961719241822254140424344104746[[#This Row],[Num Projets]],#REF!,2,FALSE),0)</f>
        <v>0</v>
      </c>
      <c r="AI60" s="17">
        <f>+IFERROR(VLOOKUP(H60,#REF!,2,FALSE),0)-Tableau5617192223242425262827293031333432353620383961719241822254140424344104746[[#This Row],[Int Commandé OT
€]]</f>
        <v>0</v>
      </c>
      <c r="AJ60" s="8">
        <f>IFERROR(VLOOKUP(H60,#REF!,11,FALSE),0)-IFERROR(VLOOKUP(H60,#REF!,10,FALSE),0)+Tableau5617192223242425262827293031333432353620383961719241822254140424344104746[[#This Row],[dont FNP à date (€ HT)]]</f>
        <v>0</v>
      </c>
      <c r="AK60" s="15">
        <f t="shared" si="14"/>
        <v>0</v>
      </c>
      <c r="AL6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0" s="19">
        <f>IF(Tableau5617192223242425262827293031333432353620383961719241822254140424344104746[[#This Row],[RAF Achats M-1
€]]=0,0,AN60-AO60)</f>
        <v>0</v>
      </c>
      <c r="AN60" s="8">
        <f>IFERROR(VLOOKUP(H60,#REF!,31,FALSE),0)</f>
        <v>0</v>
      </c>
      <c r="AO60" s="8">
        <f>AI60+-IFERROR(VLOOKUP(H60,#REF!,27,FALSE),0)</f>
        <v>0</v>
      </c>
      <c r="AP60" s="20">
        <f>IFERROR(VLOOKUP(Tableau5617192223242425262827293031333432353620383961719241822254140424344104746[[#This Row],[Num Projets]],#REF!,2,FALSE),0)</f>
        <v>0</v>
      </c>
      <c r="AQ60" s="20">
        <f>_xlfn.XLOOKUP(H60,[2]Synth!$N:$N,[2]Synth!$O:$O,0,FALSE)+_xlfn.XLOOKUP(Tableau5617192223242425262827293031333432353620383961719241822254140424344104746[[#This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0" s="21">
        <v>0</v>
      </c>
      <c r="AS60" s="20">
        <f>+IFERROR(VLOOKUP(H60,#REF!,36,FALSE),0)</f>
        <v>0</v>
      </c>
      <c r="AT6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0" s="22">
        <f>IF(AG60=0,0,1-((AI60+AM60+Tableau5617192223242425262827293031333432353620383961719241822254140424344104746[[#This Row],[Int Commandé OT
€]]+Tableau5617192223242425262827293031333432353620383961719241822254140424344104746[[#This Row],[RAF Int OT
€]])/AG60))</f>
        <v>1</v>
      </c>
      <c r="AV60" s="8">
        <f>IFERROR(VLOOKUP(H60,#REF!,4,FALSE),0)+IFERROR(VLOOKUP(H60,#REF!,4,FALSE),0)</f>
        <v>0</v>
      </c>
      <c r="AW60" s="8">
        <f>IFERROR(VLOOKUP(Tableau5617192223242425262827293031333432353620383961719241822254140424344104746[[#This Row],[Num Projets]],#REF!,3,FALSE),0)</f>
        <v>0</v>
      </c>
      <c r="AX60" s="20">
        <f>IFERROR(VLOOKUP(Tableau5617192223242425262827293031333432353620383961719241822254140424344104746[[#This Row],[Num Projets]],#REF!,10,FALSE),0)</f>
        <v>0</v>
      </c>
      <c r="AY60" s="23">
        <f>Tableau5617192223242425262827293031333432353620383961719241822254140424344104746[[#This Row],[RAF Mission M-1
€]]-Tableau5617192223242425262827293031333432353620383961719241822254140424344104746[[#This Row],[Ecart Mission vs M-1
€]]</f>
        <v>0</v>
      </c>
      <c r="AZ60" s="8">
        <f>IFERROR(VLOOKUP(H60,#REF!,43,FALSE),0)</f>
        <v>0</v>
      </c>
      <c r="BA60" s="8">
        <f>AX60-IFERROR(VLOOKUP(H60,#REF!,42,FALSE),0)</f>
        <v>0</v>
      </c>
      <c r="BB60" s="47">
        <f t="shared" si="17"/>
        <v>0</v>
      </c>
      <c r="BC60" s="125">
        <f>IFERROR(VLOOKUP(H60,#REF!,47,FALSE),IFERROR(VLOOKUP(H60,#REF!,5,FALSE),0)+IFERROR(VLOOKUP(H60,#REF!,5,FALSE),0))-6024</f>
        <v>-6024</v>
      </c>
      <c r="BD60" s="25">
        <f>IFERROR(VLOOKUP(H60,#REF!,2,FALSE),0)</f>
        <v>0</v>
      </c>
      <c r="BE60" s="25">
        <f>IFERROR(VLOOKUP(H60,#REF!,49,FALSE),0)</f>
        <v>0</v>
      </c>
      <c r="BF60" s="50" t="e">
        <f t="shared" si="5"/>
        <v>#REF!</v>
      </c>
      <c r="BG60" s="50">
        <f t="shared" si="6"/>
        <v>0</v>
      </c>
      <c r="BH60" s="27">
        <f>AE60+ (AI60-AJ60+AM60+Tableau5617192223242425262827293031333432353620383961719241822254140424344104746[[#This Row],[Int Commandé OT
€]]-Tableau5617192223242425262827293031333432353620383961719241822254140424344104746[[#This Row],[Int Réalisé OT
€]]+AR60) +AY60+BC60</f>
        <v>201717.07619047619</v>
      </c>
      <c r="BI60" s="47">
        <f t="shared" si="21"/>
        <v>0</v>
      </c>
      <c r="BJ60" s="47" t="e">
        <f t="shared" si="8"/>
        <v>#REF!</v>
      </c>
      <c r="BK60" s="27" t="e">
        <f t="shared" si="9"/>
        <v>#REF!</v>
      </c>
      <c r="BL60" s="26" t="e">
        <f t="shared" si="10"/>
        <v>#REF!</v>
      </c>
      <c r="BM60" s="96">
        <f>IFERROR(VLOOKUP(H60,'[1]2023dec'!H:CA,54,FALSE),105)</f>
        <v>105</v>
      </c>
      <c r="BN60" s="126">
        <v>0.5</v>
      </c>
      <c r="BO60" s="30" t="e">
        <f>P60-AC60-AG60-AV60-Tableau5617192223242425262827293031333432353620383961719241822254140424344104746[[#This Row],[Provisions pour risques]]</f>
        <v>#REF!</v>
      </c>
      <c r="BP6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201717.07619047619</v>
      </c>
      <c r="BQ6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60" s="97" t="e">
        <f t="shared" si="18"/>
        <v>#REF!</v>
      </c>
      <c r="BS60" s="34">
        <f>Tableau5617192223242425262827293031333432353620383961719241822254140424344104746[[#This Row],[Consommé global Enregistré à date (€ HT)]]-IFERROR(VLOOKUP(H60,#REF!,50,FALSE),0)</f>
        <v>0</v>
      </c>
      <c r="BT60" s="35" t="e">
        <f t="shared" si="19"/>
        <v>#REF!</v>
      </c>
      <c r="BU60" s="36">
        <f>BD60-IFERROR(VLOOKUP(H60,#REF!,47,FALSE),0)</f>
        <v>0</v>
      </c>
      <c r="BV60" s="37" t="e">
        <f>+BF60+Tableau5617192223242425262827293031333432353620383961719241822254140424344104746[[#This Row],[CA fin N-1]]-IFERROR(VLOOKUP(H60,#REF!,49,FALSE),0)-IFERROR(VLOOKUP(H60,#REF!,50,FALSE),0)</f>
        <v>#REF!</v>
      </c>
      <c r="BW60" s="33">
        <f>BG60-IFERROR(VLOOKUP(H60,#REF!,51,FALSE),0)</f>
        <v>0</v>
      </c>
      <c r="BX60" s="35" t="e">
        <f t="shared" si="20"/>
        <v>#REF!</v>
      </c>
      <c r="BY60" s="36">
        <f>BD60-IFERROR(VLOOKUP(H60,#REF!,48,FALSE),0)</f>
        <v>0</v>
      </c>
      <c r="BZ6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0" s="39" t="e">
        <f>VLOOKUP(Tableau5617192223242425262827293031333432353620383961719241822254140424344104746[[#This Row],[Num Projets]],#REF!,1,FALSE)</f>
        <v>#REF!</v>
      </c>
      <c r="CB60" s="40">
        <v>1589.5</v>
      </c>
      <c r="CC60" s="40">
        <v>2756.5476190476193</v>
      </c>
      <c r="CD6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-1589.5</v>
      </c>
    </row>
    <row r="61" spans="1:82" s="318" customFormat="1" ht="13.5" customHeight="1" x14ac:dyDescent="0.25">
      <c r="A61" s="317" t="s">
        <v>128</v>
      </c>
      <c r="B61" s="1"/>
      <c r="C61" s="2" t="e">
        <f>_xlfn.XLOOKUP(Tableau5617192223242425262827293031333432353620383961719241822254140424344104746[[#This Row],[Num Projets]],#REF!,#REF!,FALSE)</f>
        <v>#REF!</v>
      </c>
      <c r="D61" s="3" t="s">
        <v>6</v>
      </c>
      <c r="E61" s="65" t="e">
        <f>_xlfn.XLOOKUP(Tableau5617192223242425262827293031333432353620383961719241822254140424344104746[[#This Row],[Num Projets]],#REF!,#REF!,FALSE)</f>
        <v>#REF!</v>
      </c>
      <c r="F61" s="3" t="e">
        <f>_xlfn.XLOOKUP(Tableau5617192223242425262827293031333432353620383961719241822254140424344104746[[#This Row],[Num Projets]],#REF!,#REF!,"newavr",0)</f>
        <v>#REF!</v>
      </c>
      <c r="G61" s="3" t="s">
        <v>58</v>
      </c>
      <c r="H61" s="65" t="s">
        <v>129</v>
      </c>
      <c r="I61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1" s="4" t="e">
        <f>VLOOKUP(Tableau5617192223242425262827293031333432353620383961719241822254140424344104746[[#This Row],[Num Projets]],#REF!,36,FALSE)</f>
        <v>#REF!</v>
      </c>
      <c r="K61" s="5" t="s">
        <v>21</v>
      </c>
      <c r="L6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1" s="65" t="e">
        <f>SUBSTITUTE(_xlfn.XLOOKUP(Tableau5617192223242425262827293031333432353620383961719241822254140424344104746[[#This Row],[Num Projets]],#REF!,#REF!,FALSE)," ","")</f>
        <v>#REF!</v>
      </c>
      <c r="N61" s="67" t="e">
        <f>VLOOKUP(H61,#REF!,7,FALSE)</f>
        <v>#REF!</v>
      </c>
      <c r="O61" s="67" t="e">
        <f>IF(VLOOKUP(H61,#REF!,27,FALSE)=0,"",VLOOKUP(H61,#REF!,27,FALSE))</f>
        <v>#REF!</v>
      </c>
      <c r="P61" s="107" t="e">
        <f>VLOOKUP(H61,#REF!,2,FALSE)</f>
        <v>#REF!</v>
      </c>
      <c r="Q61" s="9" t="e">
        <f>Tableau5617192223242425262827293031333432353620383961719241822254140424344104746[[#This Row],[Total Budget
€]]-IFERROR(VLOOKUP(H61,#REF!,8,FALSE),0)</f>
        <v>#REF!</v>
      </c>
      <c r="R61" s="68">
        <f>AD61+AI61+Tableau5617192223242425262827293031333432353620383961719241822254140424344104746[[#This Row],[Int Commandé OT
€]]+AX61</f>
        <v>0</v>
      </c>
      <c r="S61" s="68">
        <f>AD61+AJ61+Tableau5617192223242425262827293031333432353620383961719241822254140424344104746[[#This Row],[Int Réalisé OT
€]]+AX61</f>
        <v>183107.44425727124</v>
      </c>
      <c r="T61" s="127" t="e">
        <f t="shared" si="2"/>
        <v>#REF!</v>
      </c>
      <c r="U6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1" s="12">
        <v>13951</v>
      </c>
      <c r="X61" s="13">
        <f>IFERROR(VLOOKUP(H61,#REF!,2,FALSE),0)</f>
        <v>0</v>
      </c>
      <c r="Y61" s="13">
        <f>IFERROR(VLOOKUP(H61,#REF!,3,FALSE),0)</f>
        <v>0</v>
      </c>
      <c r="Z6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13951</v>
      </c>
      <c r="AA61" s="13">
        <f>IFERROR(VLOOKUP(H61,#REF!,18,FALSE),0)</f>
        <v>0</v>
      </c>
      <c r="AB61" s="13">
        <f>SUM(X61:Y61)-IFERROR(VLOOKUP(H61,#REF!,16,FALSE),0)-IFERROR(VLOOKUP(H61,#REF!,17,FALSE),0)</f>
        <v>0</v>
      </c>
      <c r="AC61" s="68">
        <f>Tableau5617192223242425262827293031333432353620383961719241822254140424344104746[[#This Row],[Budget Heures
Hrs]]*105</f>
        <v>1464855</v>
      </c>
      <c r="AD61" s="68">
        <f>IFERROR(VLOOKUP(Tableau5617192223242425262827293031333432353620383961719241822254140424344104746[[#This Row],[Num Projets]],#REF!,2,FALSE),0)</f>
        <v>0</v>
      </c>
      <c r="AE61" s="107">
        <f t="shared" si="3"/>
        <v>666857.79999999993</v>
      </c>
      <c r="AF61" s="69">
        <f t="shared" si="4"/>
        <v>0.54476190476190478</v>
      </c>
      <c r="AG61" s="8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61" s="107">
        <f>IFERROR(VLOOKUP(Tableau5617192223242425262827293031333432353620383961719241822254140424344104746[[#This Row],[Num Projets]],#REF!,2,FALSE),0)</f>
        <v>0</v>
      </c>
      <c r="AI61" s="17">
        <f>+IFERROR(VLOOKUP(H61,#REF!,2,FALSE),0)-Tableau5617192223242425262827293031333432353620383961719241822254140424344104746[[#This Row],[Int Commandé OT
€]]</f>
        <v>0</v>
      </c>
      <c r="AJ61" s="107">
        <f>IFERROR(VLOOKUP(H61,#REF!,11,FALSE),0)-IFERROR(VLOOKUP(H61,#REF!,10,FALSE),0)+Tableau5617192223242425262827293031333432353620383961719241822254140424344104746[[#This Row],[dont FNP à date (€ HT)]]</f>
        <v>54929.411250500067</v>
      </c>
      <c r="AK61" s="113">
        <f t="shared" si="14"/>
        <v>-54929.411250500067</v>
      </c>
      <c r="AL6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54929.411250500067</v>
      </c>
      <c r="AM61" s="19">
        <f>IF(Tableau5617192223242425262827293031333432353620383961719241822254140424344104746[[#This Row],[RAF Achats M-1
€]]=0,0,AN61-AO61)-Tableau5617192223242425262827293031333432353620383961719241822254140424344104746[[#This Row],[Ecart Int OT vs M-1
€]]</f>
        <v>0</v>
      </c>
      <c r="AN61" s="8">
        <f>IFERROR(VLOOKUP(H61,#REF!,31,FALSE),0)</f>
        <v>0</v>
      </c>
      <c r="AO61" s="8">
        <f>AI61+-IFERROR(VLOOKUP(H61,#REF!,27,FALSE),0)</f>
        <v>0</v>
      </c>
      <c r="AP61" s="17">
        <f>IFERROR(VLOOKUP(Tableau5617192223242425262827293031333432353620383961719241822254140424344104746[[#This Row],[Num Projets]],#REF!,2,FALSE),0)</f>
        <v>0</v>
      </c>
      <c r="AQ61" s="20">
        <f>_xlfn.XLOOKUP(H61,[2]Synth!$N:$N,[2]Synth!$O:$O,0,FALSE)+_xlfn.XLOOKUP(Tableau5617192223242425262827293031333432353620383961719241822254140424344104746[[#This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128178.03300677116</v>
      </c>
      <c r="AR61" s="110">
        <v>0</v>
      </c>
      <c r="AS61" s="20">
        <f>+IFERROR(VLOOKUP(H61,#REF!,36,FALSE),0)</f>
        <v>0</v>
      </c>
      <c r="AT6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1" s="22" t="e">
        <f>IF(AG61=0,0,1-((AI61+AM61+Tableau5617192223242425262827293031333432353620383961719241822254140424344104746[[#This Row],[Int Commandé OT
€]]+Tableau5617192223242425262827293031333432353620383961719241822254140424344104746[[#This Row],[RAF Int OT
€]])/AG61))</f>
        <v>#REF!</v>
      </c>
      <c r="AV61" s="88">
        <f>AX61*1.15</f>
        <v>0</v>
      </c>
      <c r="AW61" s="8">
        <f>IFERROR(VLOOKUP(Tableau5617192223242425262827293031333432353620383961719241822254140424344104746[[#This Row],[Num Projets]],#REF!,3,FALSE),0)</f>
        <v>0</v>
      </c>
      <c r="AX61" s="17">
        <f>IFERROR(VLOOKUP(Tableau5617192223242425262827293031333432353620383961719241822254140424344104746[[#This Row],[Num Projets]],#REF!,10,FALSE),0)</f>
        <v>0</v>
      </c>
      <c r="AY61" s="23">
        <v>0</v>
      </c>
      <c r="AZ61" s="8">
        <f>IFERROR(VLOOKUP(H61,#REF!,43,FALSE),0)</f>
        <v>0</v>
      </c>
      <c r="BA61" s="8">
        <f>AX61-IFERROR(VLOOKUP(H61,#REF!,42,FALSE),0)</f>
        <v>0</v>
      </c>
      <c r="BB61" s="87">
        <f t="shared" si="17"/>
        <v>0</v>
      </c>
      <c r="BC61" s="125">
        <v>60000</v>
      </c>
      <c r="BD61" s="114">
        <f>IFERROR(VLOOKUP(H61,#REF!,2,FALSE),0)</f>
        <v>0</v>
      </c>
      <c r="BE61" s="25">
        <f>IFERROR(VLOOKUP(H61,#REF!,49,FALSE),0)</f>
        <v>0</v>
      </c>
      <c r="BF61" s="72" t="e">
        <f t="shared" si="5"/>
        <v>#REF!</v>
      </c>
      <c r="BG61" s="72">
        <f t="shared" si="6"/>
        <v>183107.44425727124</v>
      </c>
      <c r="BH61" s="115">
        <f>AE61+ (AI61-AJ61+AM61+Tableau5617192223242425262827293031333432353620383961719241822254140424344104746[[#This Row],[Int Commandé OT
€]]-Tableau5617192223242425262827293031333432353620383961719241822254140424344104746[[#This Row],[Int Réalisé OT
€]]+AR61) +AY61+BC61</f>
        <v>543750.35574272869</v>
      </c>
      <c r="BI61" s="69">
        <f>IF(BG61+BH61=0,100%,BG61/(BG61+BH61))</f>
        <v>0.25191646049237038</v>
      </c>
      <c r="BJ61" s="87" t="e">
        <f t="shared" si="8"/>
        <v>#REF!</v>
      </c>
      <c r="BK61" s="27" t="e">
        <f t="shared" si="9"/>
        <v>#REF!</v>
      </c>
      <c r="BL61" s="26" t="e">
        <f t="shared" si="10"/>
        <v>#REF!</v>
      </c>
      <c r="BM61" s="117">
        <f>IFERROR(VLOOKUP(H61,'[1]2023dec'!H:CA,54,FALSE),105)</f>
        <v>105</v>
      </c>
      <c r="BN61" s="75">
        <v>0.75</v>
      </c>
      <c r="BO61" s="30" t="e">
        <f>P61-AC61-AG61-AV61-Tableau5617192223242425262827293031333432353620383961719241822254140424344104746[[#This Row],[Provisions pour risques]]</f>
        <v>#REF!</v>
      </c>
      <c r="BP6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726857.79999999993</v>
      </c>
      <c r="BQ6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0.25191646049237038</v>
      </c>
      <c r="BR61" s="120" t="e">
        <f t="shared" si="18"/>
        <v>#REF!</v>
      </c>
      <c r="BS61" s="79">
        <f>Tableau5617192223242425262827293031333432353620383961719241822254140424344104746[[#This Row],[Consommé global Enregistré à date (€ HT)]]-IFERROR(VLOOKUP(H61,#REF!,50,FALSE),0)</f>
        <v>183107.44425727124</v>
      </c>
      <c r="BT61" s="80" t="e">
        <f t="shared" si="19"/>
        <v>#REF!</v>
      </c>
      <c r="BU61" s="121">
        <f>BD61-IFERROR(VLOOKUP(H61,#REF!,47,FALSE),0)</f>
        <v>0</v>
      </c>
      <c r="BV61" s="37" t="e">
        <f>+BF61+Tableau5617192223242425262827293031333432353620383961719241822254140424344104746[[#This Row],[CA fin N-1]]-IFERROR(VLOOKUP(H61,#REF!,49,FALSE),0)-IFERROR(VLOOKUP(H61,#REF!,50,FALSE),0)</f>
        <v>#REF!</v>
      </c>
      <c r="BW61" s="33">
        <f>BG61-IFERROR(VLOOKUP(H61,#REF!,51,FALSE),0)</f>
        <v>183107.44425727124</v>
      </c>
      <c r="BX61" s="80" t="e">
        <f t="shared" si="20"/>
        <v>#REF!</v>
      </c>
      <c r="BY61" s="36">
        <f>BD61-IFERROR(VLOOKUP(H61,#REF!,48,FALSE),0)</f>
        <v>0</v>
      </c>
      <c r="BZ61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1" s="39" t="e">
        <f>VLOOKUP(Tableau5617192223242425262827293031333432353620383961719241822254140424344104746[[#This Row],[Num Projets]],#REF!,1,FALSE)</f>
        <v>#REF!</v>
      </c>
      <c r="CB61" s="40">
        <v>8234.4699999999975</v>
      </c>
      <c r="CC61" s="40">
        <v>5716.5300000000025</v>
      </c>
      <c r="CD6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-8234.4699999999975</v>
      </c>
    </row>
    <row r="62" spans="1:82" s="258" customFormat="1" ht="13.5" customHeight="1" x14ac:dyDescent="0.25">
      <c r="A62" s="313" t="s">
        <v>130</v>
      </c>
      <c r="B62" s="1"/>
      <c r="C62" s="2" t="e">
        <f>_xlfn.XLOOKUP(Tableau5617192223242425262827293031333432353620383961719241822254140424344104746[[#This Row],[Num Projets]],#REF!,#REF!,FALSE)</f>
        <v>#REF!</v>
      </c>
      <c r="D62" s="3" t="s">
        <v>1</v>
      </c>
      <c r="E62" s="3" t="e">
        <f>_xlfn.XLOOKUP(Tableau5617192223242425262827293031333432353620383961719241822254140424344104746[[#This Row],[Num Projets]],#REF!,#REF!,FALSE)</f>
        <v>#REF!</v>
      </c>
      <c r="F62" s="3" t="e">
        <f>_xlfn.XLOOKUP(Tableau5617192223242425262827293031333432353620383961719241822254140424344104746[[#This Row],[Num Projets]],#REF!,#REF!,"newavr",0)</f>
        <v>#REF!</v>
      </c>
      <c r="G62" s="3" t="s">
        <v>58</v>
      </c>
      <c r="H62" s="22" t="s">
        <v>131</v>
      </c>
      <c r="I6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2" s="4" t="e">
        <f>VLOOKUP(Tableau5617192223242425262827293031333432353620383961719241822254140424344104746[[#This Row],[Num Projets]],#REF!,36,FALSE)</f>
        <v>#REF!</v>
      </c>
      <c r="K62" s="5" t="s">
        <v>21</v>
      </c>
      <c r="L6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2" s="3" t="e">
        <f>SUBSTITUTE(_xlfn.XLOOKUP(Tableau5617192223242425262827293031333432353620383961719241822254140424344104746[[#This Row],[Num Projets]],#REF!,#REF!,FALSE)," ","")</f>
        <v>#REF!</v>
      </c>
      <c r="N62" s="7" t="e">
        <f>VLOOKUP(H62,#REF!,7,FALSE)</f>
        <v>#REF!</v>
      </c>
      <c r="O62" s="7" t="e">
        <f>IF(VLOOKUP(H62,#REF!,27,FALSE)=0,"",VLOOKUP(H62,#REF!,27,FALSE))</f>
        <v>#REF!</v>
      </c>
      <c r="P62" s="8" t="e">
        <f>VLOOKUP(H62,#REF!,2,FALSE)</f>
        <v>#REF!</v>
      </c>
      <c r="Q62" s="9" t="e">
        <f>Tableau5617192223242425262827293031333432353620383961719241822254140424344104746[[#This Row],[Total Budget
€]]-IFERROR(VLOOKUP(H62,#REF!,8,FALSE),0)</f>
        <v>#REF!</v>
      </c>
      <c r="R62" s="15">
        <f>AD62+AI62+Tableau5617192223242425262827293031333432353620383961719241822254140424344104746[[#This Row],[Int Commandé OT
€]]+AX62</f>
        <v>0</v>
      </c>
      <c r="S62" s="15">
        <f>AD62+AJ62+Tableau5617192223242425262827293031333432353620383961719241822254140424344104746[[#This Row],[Int Réalisé OT
€]]+AX62</f>
        <v>43231.889338000001</v>
      </c>
      <c r="T62" s="94" t="e">
        <f t="shared" si="2"/>
        <v>#REF!</v>
      </c>
      <c r="U6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2" s="42">
        <v>1090</v>
      </c>
      <c r="X62" s="13">
        <f>IFERROR(VLOOKUP(H62,#REF!,2,FALSE),0)</f>
        <v>0</v>
      </c>
      <c r="Y62" s="13">
        <f>IFERROR(VLOOKUP(H62,#REF!,3,FALSE),0)</f>
        <v>0</v>
      </c>
      <c r="Z6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1090</v>
      </c>
      <c r="AA62" s="13">
        <f>IFERROR(VLOOKUP(H62,#REF!,18,FALSE),0)</f>
        <v>0</v>
      </c>
      <c r="AB62" s="13">
        <f>SUM(X62:Y62)-IFERROR(VLOOKUP(H62,#REF!,16,FALSE),0)-IFERROR(VLOOKUP(H62,#REF!,17,FALSE),0)</f>
        <v>0</v>
      </c>
      <c r="AC62" s="15">
        <f>Tableau5617192223242425262827293031333432353620383961719241822254140424344104746[[#This Row],[Budget Heures
Hrs]]*105</f>
        <v>114450</v>
      </c>
      <c r="AD62" s="15">
        <f>IFERROR(VLOOKUP(Tableau5617192223242425262827293031333432353620383961719241822254140424344104746[[#This Row],[Num Projets]],#REF!,2,FALSE),0)</f>
        <v>0</v>
      </c>
      <c r="AE62" s="8">
        <f t="shared" si="3"/>
        <v>52102</v>
      </c>
      <c r="AF62" s="22">
        <f t="shared" si="4"/>
        <v>0.54476190476190478</v>
      </c>
      <c r="AG62" s="41">
        <f>IFERROR(VLOOKUP(H62,#REF!,3,FALSE),0)+IFERROR(VLOOKUP(H62,#REF!,3,FALSE),0)-24075</f>
        <v>-24075</v>
      </c>
      <c r="AH62" s="8">
        <f>IFERROR(VLOOKUP(Tableau5617192223242425262827293031333432353620383961719241822254140424344104746[[#This Row],[Num Projets]],#REF!,2,FALSE),0)</f>
        <v>0</v>
      </c>
      <c r="AI62" s="17">
        <f>+IFERROR(VLOOKUP(H62,#REF!,2,FALSE),0)-Tableau5617192223242425262827293031333432353620383961719241822254140424344104746[[#This Row],[Int Commandé OT
€]]</f>
        <v>0</v>
      </c>
      <c r="AJ62" s="8">
        <f>IFERROR(VLOOKUP(H62,#REF!,11,FALSE),0)-IFERROR(VLOOKUP(H62,#REF!,10,FALSE),0)+Tableau5617192223242425262827293031333432353620383961719241822254140424344104746[[#This Row],[dont FNP à date (€ HT)]]</f>
        <v>34606.309337999999</v>
      </c>
      <c r="AK62" s="23">
        <f t="shared" si="14"/>
        <v>-34606.309337999999</v>
      </c>
      <c r="AL6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34606.309337999999</v>
      </c>
      <c r="AM62" s="19">
        <f>IF(Tableau5617192223242425262827293031333432353620383961719241822254140424344104746[[#This Row],[RAF Achats M-1
€]]=0,0,AN62-AO62)</f>
        <v>0</v>
      </c>
      <c r="AN62" s="8">
        <f>IFERROR(VLOOKUP(H62,#REF!,31,FALSE),0)</f>
        <v>0</v>
      </c>
      <c r="AO62" s="8">
        <f>AI62+-IFERROR(VLOOKUP(H62,#REF!,27,FALSE),0)</f>
        <v>0</v>
      </c>
      <c r="AP62" s="20">
        <f>IFERROR(VLOOKUP(Tableau5617192223242425262827293031333432353620383961719241822254140424344104746[[#This Row],[Num Projets]],#REF!,2,FALSE),0)</f>
        <v>0</v>
      </c>
      <c r="AQ62" s="20">
        <f>_xlfn.XLOOKUP(H62,[2]Synth!$N:$N,[2]Synth!$O:$O,0,FALSE)+_xlfn.XLOOKUP(Tableau5617192223242425262827293031333432353620383961719241822254140424344104746[[#This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8625.58</v>
      </c>
      <c r="AR62" s="21">
        <v>0</v>
      </c>
      <c r="AS62" s="20">
        <f>+IFERROR(VLOOKUP(H62,#REF!,36,FALSE),0)</f>
        <v>0</v>
      </c>
      <c r="AT6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2" s="22">
        <f>IF(AG62=0,0,1-((AI62+AM62+Tableau5617192223242425262827293031333432353620383961719241822254140424344104746[[#This Row],[Int Commandé OT
€]]+Tableau5617192223242425262827293031333432353620383961719241822254140424344104746[[#This Row],[RAF Int OT
€]])/AG62))</f>
        <v>1</v>
      </c>
      <c r="AV62" s="8">
        <f>IFERROR(VLOOKUP(H62,#REF!,4,FALSE),0)+IFERROR(VLOOKUP(H62,#REF!,4,FALSE),0)</f>
        <v>0</v>
      </c>
      <c r="AW62" s="8">
        <f>IFERROR(VLOOKUP(Tableau5617192223242425262827293031333432353620383961719241822254140424344104746[[#This Row],[Num Projets]],#REF!,3,FALSE),0)</f>
        <v>0</v>
      </c>
      <c r="AX62" s="95">
        <f>IFERROR(VLOOKUP(Tableau5617192223242425262827293031333432353620383961719241822254140424344104746[[#This Row],[Num Projets]],#REF!,10,FALSE),0)</f>
        <v>0</v>
      </c>
      <c r="AY62" s="23">
        <f>Tableau5617192223242425262827293031333432353620383961719241822254140424344104746[[#This Row],[RAF Mission M-1
€]]-Tableau5617192223242425262827293031333432353620383961719241822254140424344104746[[#This Row],[Ecart Mission vs M-1
€]]</f>
        <v>0</v>
      </c>
      <c r="AZ62" s="8">
        <f>IFERROR(VLOOKUP(H62,#REF!,43,FALSE),0)</f>
        <v>0</v>
      </c>
      <c r="BA62" s="8">
        <f>AX62-IFERROR(VLOOKUP(H62,#REF!,42,FALSE),0)</f>
        <v>0</v>
      </c>
      <c r="BB62" s="47">
        <f t="shared" si="17"/>
        <v>0</v>
      </c>
      <c r="BC62" s="24">
        <f>IFERROR(VLOOKUP(H62,#REF!,47,FALSE),IFERROR(VLOOKUP(H62,#REF!,5,FALSE),0)+IFERROR(VLOOKUP(H62,#REF!,5,FALSE),0))</f>
        <v>0</v>
      </c>
      <c r="BD62" s="25">
        <f>IFERROR(VLOOKUP(H62,#REF!,2,FALSE),0)</f>
        <v>0</v>
      </c>
      <c r="BE62" s="25">
        <f>IFERROR(VLOOKUP(H62,#REF!,49,FALSE),0)</f>
        <v>0</v>
      </c>
      <c r="BF62" s="50" t="e">
        <f t="shared" si="5"/>
        <v>#REF!</v>
      </c>
      <c r="BG62" s="50">
        <f t="shared" si="6"/>
        <v>43231.889338000001</v>
      </c>
      <c r="BH62" s="27">
        <f>AE62+ (AI62-AJ62+AM62+Tableau5617192223242425262827293031333432353620383961719241822254140424344104746[[#This Row],[Int Commandé OT
€]]-Tableau5617192223242425262827293031333432353620383961719241822254140424344104746[[#This Row],[Int Réalisé OT
€]]+AR62) +AY62+BC62</f>
        <v>8870.1106619999991</v>
      </c>
      <c r="BI62" s="47">
        <f t="shared" si="21"/>
        <v>0.8297548911366166</v>
      </c>
      <c r="BJ62" s="47" t="e">
        <f t="shared" si="8"/>
        <v>#REF!</v>
      </c>
      <c r="BK62" s="27" t="e">
        <f t="shared" si="9"/>
        <v>#REF!</v>
      </c>
      <c r="BL62" s="26" t="e">
        <f t="shared" si="10"/>
        <v>#REF!</v>
      </c>
      <c r="BM62" s="96">
        <f>IFERROR(VLOOKUP('[3]FNP achats'!D1049,'[1]2023dec'!H:CA,54,FALSE),105)</f>
        <v>105</v>
      </c>
      <c r="BN62" s="29">
        <v>1</v>
      </c>
      <c r="BO62" s="30" t="e">
        <f>P62-AC62-AG62-AV62-Tableau5617192223242425262827293031333432353620383961719241822254140424344104746[[#This Row],[Provisions pour risques]]</f>
        <v>#REF!</v>
      </c>
      <c r="BP6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52102</v>
      </c>
      <c r="BQ6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0.8297548911366166</v>
      </c>
      <c r="BR62" s="97" t="e">
        <f t="shared" si="18"/>
        <v>#REF!</v>
      </c>
      <c r="BS62" s="34">
        <f>Tableau5617192223242425262827293031333432353620383961719241822254140424344104746[[#This Row],[Consommé global Enregistré à date (€ HT)]]-IFERROR(VLOOKUP(H62,#REF!,50,FALSE),0)</f>
        <v>43231.889338000001</v>
      </c>
      <c r="BT62" s="35" t="e">
        <f t="shared" si="19"/>
        <v>#REF!</v>
      </c>
      <c r="BU62" s="36">
        <f>BD62-IFERROR(VLOOKUP(H62,#REF!,47,FALSE),0)</f>
        <v>0</v>
      </c>
      <c r="BV62" s="37" t="e">
        <f>+BF62+Tableau5617192223242425262827293031333432353620383961719241822254140424344104746[[#This Row],[CA fin N-1]]-IFERROR(VLOOKUP(H62,#REF!,49,FALSE),0)-IFERROR(VLOOKUP(H62,#REF!,50,FALSE),0)</f>
        <v>#REF!</v>
      </c>
      <c r="BW62" s="33">
        <f>BG62-IFERROR(VLOOKUP(H62,#REF!,51,FALSE),0)</f>
        <v>43231.889338000001</v>
      </c>
      <c r="BX62" s="35" t="e">
        <f t="shared" si="20"/>
        <v>#REF!</v>
      </c>
      <c r="BY62" s="36">
        <f>BD62-IFERROR(VLOOKUP(H62,#REF!,48,FALSE),0)</f>
        <v>0</v>
      </c>
      <c r="BZ6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2" s="39" t="e">
        <f>VLOOKUP(Tableau5617192223242425262827293031333432353620383961719241822254140424344104746[[#This Row],[Num Projets]],#REF!,1,FALSE)</f>
        <v>#REF!</v>
      </c>
      <c r="CB62" s="40">
        <v>1088</v>
      </c>
      <c r="CC62" s="40">
        <v>2</v>
      </c>
      <c r="CD6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-1088</v>
      </c>
    </row>
    <row r="63" spans="1:82" s="258" customFormat="1" ht="13.5" customHeight="1" x14ac:dyDescent="0.25">
      <c r="A63" s="313" t="s">
        <v>132</v>
      </c>
      <c r="B63" s="1" t="s">
        <v>30</v>
      </c>
      <c r="C63" s="2" t="e">
        <f>_xlfn.XLOOKUP(Tableau5617192223242425262827293031333432353620383961719241822254140424344104746[[#This Row],[Num Projets]],#REF!,#REF!,FALSE)</f>
        <v>#REF!</v>
      </c>
      <c r="D63" s="3" t="s">
        <v>1</v>
      </c>
      <c r="E63" s="3" t="e">
        <f>_xlfn.XLOOKUP(Tableau5617192223242425262827293031333432353620383961719241822254140424344104746[[#This Row],[Num Projets]],#REF!,#REF!,FALSE)</f>
        <v>#REF!</v>
      </c>
      <c r="F63" s="3" t="e">
        <f>_xlfn.XLOOKUP(Tableau5617192223242425262827293031333432353620383961719241822254140424344104746[[#This Row],[Num Projets]],#REF!,#REF!,"newavr",0)</f>
        <v>#REF!</v>
      </c>
      <c r="G63" s="3" t="s">
        <v>31</v>
      </c>
      <c r="H63" s="3" t="s">
        <v>133</v>
      </c>
      <c r="I6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3" s="4" t="e">
        <f>VLOOKUP(Tableau5617192223242425262827293031333432353620383961719241822254140424344104746[[#This Row],[Num Projets]],#REF!,36,FALSE)</f>
        <v>#REF!</v>
      </c>
      <c r="K63" s="5" t="s">
        <v>21</v>
      </c>
      <c r="L6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3" s="3" t="e">
        <f>SUBSTITUTE(_xlfn.XLOOKUP(Tableau5617192223242425262827293031333432353620383961719241822254140424344104746[[#This Row],[Num Projets]],#REF!,#REF!,FALSE)," ","")</f>
        <v>#REF!</v>
      </c>
      <c r="N63" s="7" t="e">
        <f>VLOOKUP(H63,#REF!,7,FALSE)</f>
        <v>#REF!</v>
      </c>
      <c r="O63" s="7" t="e">
        <f>IF(VLOOKUP(H63,#REF!,27,FALSE)=0,"",VLOOKUP(H63,#REF!,27,FALSE))</f>
        <v>#REF!</v>
      </c>
      <c r="P63" s="8" t="e">
        <f>VLOOKUP(H63,#REF!,2,FALSE)</f>
        <v>#REF!</v>
      </c>
      <c r="Q63" s="9" t="e">
        <f>Tableau5617192223242425262827293031333432353620383961719241822254140424344104746[[#This Row],[Total Budget
€]]-IFERROR(VLOOKUP(H63,#REF!,8,FALSE),0)</f>
        <v>#REF!</v>
      </c>
      <c r="R63" s="10">
        <f>AD63+AI63+Tableau5617192223242425262827293031333432353620383961719241822254140424344104746[[#This Row],[Int Commandé OT
€]]+AX63</f>
        <v>0</v>
      </c>
      <c r="S63" s="10">
        <f>AD63+AJ63+Tableau5617192223242425262827293031333432353620383961719241822254140424344104746[[#This Row],[Int Réalisé OT
€]]+AX63</f>
        <v>100387.11699999998</v>
      </c>
      <c r="T63" s="47" t="e">
        <f t="shared" si="2"/>
        <v>#REF!</v>
      </c>
      <c r="U6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3" s="47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3" s="128">
        <f>IFERROR(VLOOKUP(H63,#REF!,2,FALSE),0)</f>
        <v>0</v>
      </c>
      <c r="X63" s="13">
        <f>IFERROR(VLOOKUP(H63,#REF!,2,FALSE),0)</f>
        <v>0</v>
      </c>
      <c r="Y63" s="13">
        <f>IFERROR(VLOOKUP(H63,#REF!,3,FALSE),0)</f>
        <v>0</v>
      </c>
      <c r="Z6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1275</v>
      </c>
      <c r="AA63" s="13">
        <f>IFERROR(VLOOKUP(H63,#REF!,18,FALSE),0)</f>
        <v>0</v>
      </c>
      <c r="AB63" s="13">
        <f>SUM(X63:Y63)-IFERROR(VLOOKUP(H63,#REF!,16,FALSE),0)-IFERROR(VLOOKUP(H63,#REF!,17,FALSE),0)</f>
        <v>0</v>
      </c>
      <c r="AC63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63" s="15">
        <f>IFERROR(VLOOKUP(Tableau5617192223242425262827293031333432353620383961719241822254140424344104746[[#This Row],[Num Projets]],#REF!,2,FALSE),0)</f>
        <v>0</v>
      </c>
      <c r="AE63" s="8">
        <f t="shared" si="3"/>
        <v>60945</v>
      </c>
      <c r="AF63" s="47" t="e">
        <f t="shared" si="4"/>
        <v>#REF!</v>
      </c>
      <c r="AG63" s="8">
        <f>IFERROR(VLOOKUP(H63,#REF!,3,FALSE),0)+IFERROR(VLOOKUP(H63,#REF!,3,FALSE),0)</f>
        <v>0</v>
      </c>
      <c r="AH63" s="8">
        <f>IFERROR(VLOOKUP(Tableau5617192223242425262827293031333432353620383961719241822254140424344104746[[#This Row],[Num Projets]],#REF!,2,FALSE),0)</f>
        <v>0</v>
      </c>
      <c r="AI63" s="17">
        <f>+IFERROR(VLOOKUP(H63,#REF!,2,FALSE),0)-Tableau5617192223242425262827293031333432353620383961719241822254140424344104746[[#This Row],[Int Commandé OT
€]]</f>
        <v>0</v>
      </c>
      <c r="AJ63" s="8">
        <f>IFERROR(VLOOKUP(H63,#REF!,11,FALSE),0)-IFERROR(VLOOKUP(H63,#REF!,10,FALSE),0)+Tableau5617192223242425262827293031333432353620383961719241822254140424344104746[[#This Row],[dont FNP à date (€ HT)]]</f>
        <v>49423.5</v>
      </c>
      <c r="AK63" s="23">
        <f t="shared" si="14"/>
        <v>-49423.5</v>
      </c>
      <c r="AL6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49423.5</v>
      </c>
      <c r="AM63" s="19">
        <f>IF(Tableau5617192223242425262827293031333432353620383961719241822254140424344104746[[#This Row],[RAF Achats M-1
€]]=0,0,AN63-AO63)</f>
        <v>0</v>
      </c>
      <c r="AN63" s="8">
        <f>IFERROR(VLOOKUP(H63,#REF!,31,FALSE),0)</f>
        <v>0</v>
      </c>
      <c r="AO63" s="8">
        <f>AI63+-IFERROR(VLOOKUP(H63,#REF!,27,FALSE),0)</f>
        <v>0</v>
      </c>
      <c r="AP63" s="20">
        <f>IFERROR(VLOOKUP(Tableau5617192223242425262827293031333432353620383961719241822254140424344104746[[#This Row],[Num Projets]],#REF!,2,FALSE),0)</f>
        <v>0</v>
      </c>
      <c r="AQ63" s="20">
        <f>_xlfn.XLOOKUP(H63,[2]Synth!$N:$N,[2]Synth!$O:$O,0,FALSE)+_xlfn.XLOOKUP(Tableau5617192223242425262827293031333432353620383961719241822254140424344104746[[#This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50963.616999999984</v>
      </c>
      <c r="AR63" s="21">
        <v>0</v>
      </c>
      <c r="AS63" s="20">
        <f>+IFERROR(VLOOKUP(H63,#REF!,36,FALSE),0)</f>
        <v>0</v>
      </c>
      <c r="AT6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3" s="22">
        <f>IF(AG63=0,0,1-((AI63+AM63+Tableau5617192223242425262827293031333432353620383961719241822254140424344104746[[#This Row],[Int Commandé OT
€]]+Tableau5617192223242425262827293031333432353620383961719241822254140424344104746[[#This Row],[RAF Int OT
€]])/AG63))</f>
        <v>0</v>
      </c>
      <c r="AV63" s="8">
        <f>IFERROR(VLOOKUP(H63,#REF!,4,FALSE),0)+IFERROR(VLOOKUP(H63,#REF!,4,FALSE),0)</f>
        <v>0</v>
      </c>
      <c r="AW63" s="8">
        <f>IFERROR(VLOOKUP(Tableau5617192223242425262827293031333432353620383961719241822254140424344104746[[#This Row],[Num Projets]],#REF!,3,FALSE),0)</f>
        <v>0</v>
      </c>
      <c r="AX63" s="20">
        <f>IFERROR(VLOOKUP(Tableau5617192223242425262827293031333432353620383961719241822254140424344104746[[#This Row],[Num Projets]],#REF!,10,FALSE),0)</f>
        <v>0</v>
      </c>
      <c r="AY63" s="23">
        <f>Tableau5617192223242425262827293031333432353620383961719241822254140424344104746[[#This Row],[Budget Mission
 €]]/1.2-AX63</f>
        <v>0</v>
      </c>
      <c r="AZ63" s="8">
        <f>IFERROR(VLOOKUP(H63,#REF!,43,FALSE),0)</f>
        <v>0</v>
      </c>
      <c r="BA63" s="8">
        <f>AX63-IFERROR(VLOOKUP(H63,#REF!,42,FALSE),0)</f>
        <v>0</v>
      </c>
      <c r="BB63" s="16">
        <f t="shared" si="17"/>
        <v>0</v>
      </c>
      <c r="BC63" s="125">
        <f>IFERROR(VLOOKUP(H63,#REF!,47,FALSE),IFERROR(VLOOKUP(H63,#REF!,5,FALSE),0)+IFERROR(VLOOKUP(H63,#REF!,5,FALSE),0))-5000</f>
        <v>-5000</v>
      </c>
      <c r="BD63" s="25">
        <f>IFERROR(VLOOKUP(H63,#REF!,2,FALSE),0)</f>
        <v>0</v>
      </c>
      <c r="BE63" s="25">
        <f>IFERROR(VLOOKUP(H63,#REF!,49,FALSE),0)</f>
        <v>0</v>
      </c>
      <c r="BF63" s="26" t="e">
        <f t="shared" si="5"/>
        <v>#REF!</v>
      </c>
      <c r="BG63" s="26">
        <f t="shared" si="6"/>
        <v>100387.11699999998</v>
      </c>
      <c r="BH63" s="27">
        <f>AE63+ (AI63-AJ63+AM63+Tableau5617192223242425262827293031333432353620383961719241822254140424344104746[[#This Row],[Int Commandé OT
€]]-Tableau5617192223242425262827293031333432353620383961719241822254140424344104746[[#This Row],[Int Réalisé OT
€]]+AR63) +AY63+BC63</f>
        <v>-44442.116999999984</v>
      </c>
      <c r="BI63" s="129" t="e">
        <f>IF(BG63+BH63=0,100%,BG63/(BG63+BH63))+2500*11/Tableau5617192223242425262827293031333432353620383961719241822254140424344104746[[#This Row],[Total Budget
€]]</f>
        <v>#REF!</v>
      </c>
      <c r="BJ63" s="16" t="e">
        <f t="shared" si="8"/>
        <v>#REF!</v>
      </c>
      <c r="BK63" s="27" t="e">
        <f t="shared" si="9"/>
        <v>#REF!</v>
      </c>
      <c r="BL63" s="26" t="e">
        <f t="shared" si="10"/>
        <v>#REF!</v>
      </c>
      <c r="BM63" s="28">
        <f>IFERROR(VLOOKUP(H63,'[1]2023dec'!H:CA,54,FALSE),105)</f>
        <v>96</v>
      </c>
      <c r="BN63" s="29">
        <v>1</v>
      </c>
      <c r="BO63" s="30" t="e">
        <f>P63-AC63-AG63-AV63-Tableau5617192223242425262827293031333432353620383961719241822254140424344104746[[#This Row],[Provisions pour risques]]</f>
        <v>#REF!</v>
      </c>
      <c r="BP6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55945</v>
      </c>
      <c r="BQ6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63" s="33" t="e">
        <f t="shared" si="18"/>
        <v>#REF!</v>
      </c>
      <c r="BS63" s="34">
        <f>Tableau5617192223242425262827293031333432353620383961719241822254140424344104746[[#This Row],[Consommé global Enregistré à date (€ HT)]]-IFERROR(VLOOKUP(H63,#REF!,50,FALSE),0)</f>
        <v>100387.11699999998</v>
      </c>
      <c r="BT63" s="35" t="e">
        <f t="shared" si="19"/>
        <v>#REF!</v>
      </c>
      <c r="BU63" s="36">
        <f>BD63-IFERROR(VLOOKUP(H63,#REF!,47,FALSE),0)</f>
        <v>0</v>
      </c>
      <c r="BV63" s="37" t="e">
        <f>+BF63+Tableau5617192223242425262827293031333432353620383961719241822254140424344104746[[#This Row],[CA fin N-1]]-IFERROR(VLOOKUP(H63,#REF!,49,FALSE),0)-IFERROR(VLOOKUP(H63,#REF!,50,FALSE),0)</f>
        <v>#REF!</v>
      </c>
      <c r="BW63" s="33">
        <f>BG63-IFERROR(VLOOKUP(H63,#REF!,51,FALSE),0)</f>
        <v>100387.11699999998</v>
      </c>
      <c r="BX63" s="35" t="e">
        <f t="shared" si="20"/>
        <v>#REF!</v>
      </c>
      <c r="BY63" s="36">
        <f>BD63-IFERROR(VLOOKUP(H63,#REF!,48,FALSE),0)</f>
        <v>0</v>
      </c>
      <c r="BZ6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3" s="39" t="e">
        <f>VLOOKUP(Tableau5617192223242425262827293031333432353620383961719241822254140424344104746[[#This Row],[Num Projets]],#REF!,1,FALSE)</f>
        <v>#REF!</v>
      </c>
      <c r="CB63" s="40">
        <v>1221.75</v>
      </c>
      <c r="CC63" s="40">
        <v>53.25</v>
      </c>
      <c r="CD6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-1221.75</v>
      </c>
    </row>
    <row r="64" spans="1:82" s="258" customFormat="1" ht="13.5" customHeight="1" x14ac:dyDescent="0.25">
      <c r="A64" s="313" t="s">
        <v>134</v>
      </c>
      <c r="B64" s="1"/>
      <c r="C64" s="2" t="e">
        <f>_xlfn.XLOOKUP(Tableau5617192223242425262827293031333432353620383961719241822254140424344104746[[#This Row],[Num Projets]],#REF!,#REF!,FALSE)</f>
        <v>#REF!</v>
      </c>
      <c r="D64" s="3" t="s">
        <v>6</v>
      </c>
      <c r="E64" s="3" t="e">
        <f>_xlfn.XLOOKUP(Tableau5617192223242425262827293031333432353620383961719241822254140424344104746[[#This Row],[Num Projets]],#REF!,#REF!,FALSE)</f>
        <v>#REF!</v>
      </c>
      <c r="F64" s="3" t="e">
        <f>_xlfn.XLOOKUP(Tableau5617192223242425262827293031333432353620383961719241822254140424344104746[[#This Row],[Num Projets]],#REF!,#REF!,"newavr",0)</f>
        <v>#REF!</v>
      </c>
      <c r="G64" s="3" t="s">
        <v>58</v>
      </c>
      <c r="H64" s="3" t="s">
        <v>135</v>
      </c>
      <c r="I6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4" s="4" t="e">
        <f>VLOOKUP(Tableau5617192223242425262827293031333432353620383961719241822254140424344104746[[#This Row],[Num Projets]],#REF!,36,FALSE)</f>
        <v>#REF!</v>
      </c>
      <c r="K64" s="5" t="s">
        <v>9</v>
      </c>
      <c r="L6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4" s="3" t="e">
        <f>SUBSTITUTE(_xlfn.XLOOKUP(Tableau5617192223242425262827293031333432353620383961719241822254140424344104746[[#This Row],[Num Projets]],#REF!,#REF!,FALSE)," ","")</f>
        <v>#REF!</v>
      </c>
      <c r="N64" s="7" t="e">
        <f>VLOOKUP(H64,#REF!,7,FALSE)</f>
        <v>#REF!</v>
      </c>
      <c r="O64" s="7" t="e">
        <f>IF(VLOOKUP(H64,#REF!,27,FALSE)=0,"",VLOOKUP(H64,#REF!,27,FALSE))</f>
        <v>#REF!</v>
      </c>
      <c r="P64" s="8" t="e">
        <f>VLOOKUP(H64,#REF!,2,FALSE)</f>
        <v>#REF!</v>
      </c>
      <c r="Q64" s="9" t="e">
        <f>Tableau5617192223242425262827293031333432353620383961719241822254140424344104746[[#This Row],[Total Budget
€]]-IFERROR(VLOOKUP(H64,#REF!,8,FALSE),0)</f>
        <v>#REF!</v>
      </c>
      <c r="R64" s="15">
        <f>AD64+AI64+Tableau5617192223242425262827293031333432353620383961719241822254140424344104746[[#This Row],[Int Commandé OT
€]]+AX64</f>
        <v>0</v>
      </c>
      <c r="S64" s="15">
        <f>AD64+AJ64+Tableau5617192223242425262827293031333432353620383961719241822254140424344104746[[#This Row],[Int Réalisé OT
€]]+AX64</f>
        <v>0</v>
      </c>
      <c r="T64" s="94" t="e">
        <f t="shared" si="2"/>
        <v>#REF!</v>
      </c>
      <c r="U6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4" s="12">
        <f>IFERROR(VLOOKUP(H64,#REF!,2,FALSE),0)</f>
        <v>0</v>
      </c>
      <c r="X64" s="13">
        <f>IFERROR(VLOOKUP(H64,#REF!,2,FALSE),0)</f>
        <v>0</v>
      </c>
      <c r="Y64" s="13">
        <f>IFERROR(VLOOKUP(H64,#REF!,3,FALSE),0)</f>
        <v>0</v>
      </c>
      <c r="Z64" s="14">
        <v>0</v>
      </c>
      <c r="AA64" s="13">
        <f>IFERROR(VLOOKUP(H64,#REF!,18,FALSE),0)</f>
        <v>0</v>
      </c>
      <c r="AB64" s="13">
        <f>SUM(X64:Y64)-IFERROR(VLOOKUP(H64,#REF!,16,FALSE),0)-IFERROR(VLOOKUP(H64,#REF!,17,FALSE),0)</f>
        <v>0</v>
      </c>
      <c r="AC64" s="15" t="e">
        <f>VLOOKUP(Tableau5617192223242425262827293031333432353620383961719241822254140424344104746[[#This Row],[Num Projets]],#REF!,2,FALSE)</f>
        <v>#REF!</v>
      </c>
      <c r="AD64" s="15">
        <f>IFERROR(VLOOKUP(Tableau5617192223242425262827293031333432353620383961719241822254140424344104746[[#This Row],[Num Projets]],#REF!,2,FALSE),0)</f>
        <v>0</v>
      </c>
      <c r="AE64" s="8">
        <f t="shared" si="3"/>
        <v>0</v>
      </c>
      <c r="AF64" s="22" t="e">
        <f t="shared" si="4"/>
        <v>#REF!</v>
      </c>
      <c r="AG64" s="20">
        <f>IFERROR(VLOOKUP(H64,#REF!,3,FALSE),0)+IFERROR(VLOOKUP(H64,#REF!,3,FALSE),0)</f>
        <v>0</v>
      </c>
      <c r="AH64" s="8">
        <f>IFERROR(VLOOKUP(Tableau5617192223242425262827293031333432353620383961719241822254140424344104746[[#This Row],[Num Projets]],#REF!,2,FALSE),0)</f>
        <v>0</v>
      </c>
      <c r="AI64" s="17">
        <f>+IFERROR(VLOOKUP(H64,#REF!,2,FALSE),0)-Tableau5617192223242425262827293031333432353620383961719241822254140424344104746[[#This Row],[Int Commandé OT
€]]</f>
        <v>0</v>
      </c>
      <c r="AJ64" s="8">
        <f>IFERROR(VLOOKUP(H64,#REF!,11,FALSE),0)-IFERROR(VLOOKUP(H64,#REF!,10,FALSE),0)+Tableau5617192223242425262827293031333432353620383961719241822254140424344104746[[#This Row],[dont FNP à date (€ HT)]]</f>
        <v>0</v>
      </c>
      <c r="AK64" s="15">
        <f t="shared" si="14"/>
        <v>0</v>
      </c>
      <c r="AL6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4" s="19">
        <f>IF(Tableau5617192223242425262827293031333432353620383961719241822254140424344104746[[#This Row],[RAF Achats M-1
€]]=0,0,AN64-AO64)</f>
        <v>0</v>
      </c>
      <c r="AN64" s="8">
        <f>IFERROR(VLOOKUP(H64,#REF!,31,FALSE),0)</f>
        <v>0</v>
      </c>
      <c r="AO64" s="8">
        <f>AI64+-IFERROR(VLOOKUP(H64,#REF!,27,FALSE),0)</f>
        <v>0</v>
      </c>
      <c r="AP64" s="20">
        <f>IFERROR(VLOOKUP(Tableau5617192223242425262827293031333432353620383961719241822254140424344104746[[#This Row],[Num Projets]],#REF!,2,FALSE),0)</f>
        <v>0</v>
      </c>
      <c r="AQ64" s="20">
        <f>_xlfn.XLOOKUP(H64,[2]Synth!$N:$N,[2]Synth!$O:$O,0,FALSE)+_xlfn.XLOOKUP(Tableau5617192223242425262827293031333432353620383961719241822254140424344104746[[#This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4" s="21">
        <v>0</v>
      </c>
      <c r="AS64" s="20">
        <f>+IFERROR(VLOOKUP(H64,#REF!,36,FALSE),0)</f>
        <v>0</v>
      </c>
      <c r="AT6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4" s="22">
        <f>IF(AG64=0,0,1-((AI64+AM64+Tableau5617192223242425262827293031333432353620383961719241822254140424344104746[[#This Row],[Int Commandé OT
€]]+Tableau5617192223242425262827293031333432353620383961719241822254140424344104746[[#This Row],[RAF Int OT
€]])/AG64))</f>
        <v>0</v>
      </c>
      <c r="AV64" s="8">
        <f>IFERROR(VLOOKUP(H64,#REF!,4,FALSE),0)+IFERROR(VLOOKUP(H64,#REF!,4,FALSE),0)</f>
        <v>0</v>
      </c>
      <c r="AW64" s="8">
        <f>IFERROR(VLOOKUP(Tableau5617192223242425262827293031333432353620383961719241822254140424344104746[[#This Row],[Num Projets]],#REF!,3,FALSE),0)</f>
        <v>0</v>
      </c>
      <c r="AX64" s="95">
        <f>IFERROR(VLOOKUP(Tableau5617192223242425262827293031333432353620383961719241822254140424344104746[[#This Row],[Num Projets]],#REF!,10,FALSE),0)</f>
        <v>0</v>
      </c>
      <c r="AY64" s="23">
        <f>Tableau5617192223242425262827293031333432353620383961719241822254140424344104746[[#This Row],[Budget Mission
 €]]/1.2-AX64</f>
        <v>0</v>
      </c>
      <c r="AZ64" s="8">
        <f>IFERROR(VLOOKUP(H64,#REF!,43,FALSE),0)</f>
        <v>0</v>
      </c>
      <c r="BA64" s="8">
        <f>AX64-IFERROR(VLOOKUP(H64,#REF!,42,FALSE),0)</f>
        <v>0</v>
      </c>
      <c r="BB64" s="47">
        <f t="shared" si="17"/>
        <v>0</v>
      </c>
      <c r="BC64" s="24">
        <f>IFERROR(VLOOKUP(H64,#REF!,47,FALSE),IFERROR(VLOOKUP(H64,#REF!,5,FALSE),0)+IFERROR(VLOOKUP(H64,#REF!,5,FALSE),0))</f>
        <v>0</v>
      </c>
      <c r="BD64" s="25">
        <f>IFERROR(VLOOKUP(H64,#REF!,2,FALSE),0)</f>
        <v>0</v>
      </c>
      <c r="BE64" s="25">
        <f>IFERROR(VLOOKUP(H64,#REF!,49,FALSE),0)</f>
        <v>0</v>
      </c>
      <c r="BF64" s="50" t="e">
        <f t="shared" si="5"/>
        <v>#REF!</v>
      </c>
      <c r="BG64" s="50">
        <f t="shared" si="6"/>
        <v>0</v>
      </c>
      <c r="BH64" s="27">
        <f>AE64+ (AI64-AJ64+AM64+Tableau5617192223242425262827293031333432353620383961719241822254140424344104746[[#This Row],[Int Commandé OT
€]]-Tableau5617192223242425262827293031333432353620383961719241822254140424344104746[[#This Row],[Int Réalisé OT
€]]+AR64) +AY64+BC64</f>
        <v>0</v>
      </c>
      <c r="BI64" s="47">
        <f>IF(BG64+BH64=0,100%,BG64/(BG64+BH64))</f>
        <v>1</v>
      </c>
      <c r="BJ64" s="47" t="e">
        <f t="shared" si="8"/>
        <v>#REF!</v>
      </c>
      <c r="BK64" s="27" t="e">
        <f t="shared" si="9"/>
        <v>#REF!</v>
      </c>
      <c r="BL64" s="26" t="e">
        <f t="shared" si="10"/>
        <v>#REF!</v>
      </c>
      <c r="BM64" s="96">
        <f>IFERROR(VLOOKUP(H64,'[1]2023dec'!H:CA,54,FALSE),105)</f>
        <v>105</v>
      </c>
      <c r="BN64" s="29">
        <v>1</v>
      </c>
      <c r="BO64" s="30" t="e">
        <f>P64-AC64-AG64-AV64-Tableau5617192223242425262827293031333432353620383961719241822254140424344104746[[#This Row],[Provisions pour risques]]</f>
        <v>#REF!</v>
      </c>
      <c r="BP6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6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64" s="97" t="e">
        <f t="shared" si="18"/>
        <v>#REF!</v>
      </c>
      <c r="BS64" s="34">
        <f>Tableau5617192223242425262827293031333432353620383961719241822254140424344104746[[#This Row],[Consommé global Enregistré à date (€ HT)]]-IFERROR(VLOOKUP(H64,#REF!,50,FALSE),0)</f>
        <v>0</v>
      </c>
      <c r="BT64" s="35" t="e">
        <f t="shared" si="19"/>
        <v>#REF!</v>
      </c>
      <c r="BU64" s="36">
        <f>BD64-IFERROR(VLOOKUP(H64,#REF!,47,FALSE),0)</f>
        <v>0</v>
      </c>
      <c r="BV64" s="37" t="e">
        <f>+BF64+Tableau5617192223242425262827293031333432353620383961719241822254140424344104746[[#This Row],[CA fin N-1]]-IFERROR(VLOOKUP(H64,#REF!,49,FALSE),0)-IFERROR(VLOOKUP(H64,#REF!,50,FALSE),0)</f>
        <v>#REF!</v>
      </c>
      <c r="BW64" s="33">
        <f>BG64-IFERROR(VLOOKUP(H64,#REF!,51,FALSE),0)</f>
        <v>0</v>
      </c>
      <c r="BX64" s="35" t="e">
        <f t="shared" si="20"/>
        <v>#REF!</v>
      </c>
      <c r="BY64" s="36">
        <f>BD64-IFERROR(VLOOKUP(H64,#REF!,48,FALSE),0)</f>
        <v>0</v>
      </c>
      <c r="BZ6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4" s="39" t="e">
        <f>VLOOKUP(Tableau5617192223242425262827293031333432353620383961719241822254140424344104746[[#This Row],[Num Projets]],#REF!,1,FALSE)</f>
        <v>#REF!</v>
      </c>
      <c r="CB64" s="40">
        <v>256.40000000000003</v>
      </c>
      <c r="CC64" s="40">
        <v>0</v>
      </c>
      <c r="CD6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-256.40000000000003</v>
      </c>
    </row>
    <row r="65" spans="1:82" s="258" customFormat="1" ht="13.5" customHeight="1" x14ac:dyDescent="0.25">
      <c r="A65" s="311" t="s">
        <v>136</v>
      </c>
      <c r="B65" s="1"/>
      <c r="C65" s="2" t="e">
        <f>_xlfn.XLOOKUP(Tableau5617192223242425262827293031333432353620383961719241822254140424344104746[[#This Row],[Num Projets]],#REF!,#REF!,FALSE)</f>
        <v>#REF!</v>
      </c>
      <c r="D65" s="3" t="s">
        <v>1</v>
      </c>
      <c r="E65" s="3" t="e">
        <f>_xlfn.XLOOKUP(Tableau5617192223242425262827293031333432353620383961719241822254140424344104746[[#This Row],[Num Projets]],#REF!,#REF!,FALSE)</f>
        <v>#REF!</v>
      </c>
      <c r="F65" s="3" t="e">
        <f>_xlfn.XLOOKUP(Tableau5617192223242425262827293031333432353620383961719241822254140424344104746[[#This Row],[Num Projets]],#REF!,#REF!,"newavr",0)</f>
        <v>#REF!</v>
      </c>
      <c r="G65" s="3" t="s">
        <v>2</v>
      </c>
      <c r="H65" s="3" t="s">
        <v>137</v>
      </c>
      <c r="I6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5" s="4" t="e">
        <f>VLOOKUP(Tableau5617192223242425262827293031333432353620383961719241822254140424344104746[[#This Row],[Num Projets]],#REF!,36,FALSE)</f>
        <v>#REF!</v>
      </c>
      <c r="K65" s="5" t="s">
        <v>21</v>
      </c>
      <c r="L6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5" s="3" t="e">
        <f>SUBSTITUTE(_xlfn.XLOOKUP(Tableau5617192223242425262827293031333432353620383961719241822254140424344104746[[#This Row],[Num Projets]],#REF!,#REF!,FALSE)," ","")</f>
        <v>#REF!</v>
      </c>
      <c r="N65" s="7" t="e">
        <f>VLOOKUP(H65,#REF!,7,FALSE)</f>
        <v>#REF!</v>
      </c>
      <c r="O65" s="7" t="e">
        <f>IF(VLOOKUP(H65,#REF!,27,FALSE)=0,"",VLOOKUP(H65,#REF!,27,FALSE))</f>
        <v>#REF!</v>
      </c>
      <c r="P65" s="8" t="e">
        <f>VLOOKUP(H65,#REF!,2,FALSE)</f>
        <v>#REF!</v>
      </c>
      <c r="Q65" s="9" t="e">
        <f>Tableau5617192223242425262827293031333432353620383961719241822254140424344104746[[#This Row],[Total Budget
€]]-IFERROR(VLOOKUP(H65,#REF!,8,FALSE),0)</f>
        <v>#REF!</v>
      </c>
      <c r="R65" s="15">
        <f>AD65+AI65+Tableau5617192223242425262827293031333432353620383961719241822254140424344104746[[#This Row],[Int Commandé OT
€]]+AX65</f>
        <v>0</v>
      </c>
      <c r="S65" s="15">
        <f>AD65+AJ65+Tableau5617192223242425262827293031333432353620383961719241822254140424344104746[[#This Row],[Int Réalisé OT
€]]+AX65</f>
        <v>0</v>
      </c>
      <c r="T65" s="94" t="e">
        <f t="shared" si="2"/>
        <v>#REF!</v>
      </c>
      <c r="U6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5" s="12">
        <f>IFERROR(VLOOKUP(H65,#REF!,2,FALSE),0)</f>
        <v>0</v>
      </c>
      <c r="X65" s="13">
        <f>IFERROR(VLOOKUP(H65,#REF!,2,FALSE),0)</f>
        <v>0</v>
      </c>
      <c r="Y65" s="13">
        <f>IFERROR(VLOOKUP(H65,#REF!,3,FALSE),0)</f>
        <v>0</v>
      </c>
      <c r="Z6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96.300000000000011</v>
      </c>
      <c r="AA65" s="13">
        <f>IFERROR(VLOOKUP(H65,#REF!,18,FALSE),0)</f>
        <v>0</v>
      </c>
      <c r="AB65" s="13">
        <f>SUM(X65:Y65)-IFERROR(VLOOKUP(H65,#REF!,16,FALSE),0)-IFERROR(VLOOKUP(H65,#REF!,17,FALSE),0)</f>
        <v>0</v>
      </c>
      <c r="AC65" s="15" t="e">
        <f>VLOOKUP(Tableau5617192223242425262827293031333432353620383961719241822254140424344104746[[#This Row],[Num Projets]],#REF!,2,FALSE)</f>
        <v>#REF!</v>
      </c>
      <c r="AD65" s="15">
        <f>IFERROR(VLOOKUP(Tableau5617192223242425262827293031333432353620383961719241822254140424344104746[[#This Row],[Num Projets]],#REF!,2,FALSE),0)</f>
        <v>0</v>
      </c>
      <c r="AE65" s="8">
        <f t="shared" si="3"/>
        <v>4603.1400000000003</v>
      </c>
      <c r="AF65" s="22" t="e">
        <f t="shared" si="4"/>
        <v>#REF!</v>
      </c>
      <c r="AG65" s="8">
        <f>IFERROR(VLOOKUP(H65,#REF!,3,FALSE),0)+IFERROR(VLOOKUP(H65,#REF!,3,FALSE),0)</f>
        <v>0</v>
      </c>
      <c r="AH65" s="8">
        <f>IFERROR(VLOOKUP(Tableau5617192223242425262827293031333432353620383961719241822254140424344104746[[#This Row],[Num Projets]],#REF!,2,FALSE),0)</f>
        <v>0</v>
      </c>
      <c r="AI65" s="17">
        <f>+IFERROR(VLOOKUP(H65,#REF!,2,FALSE),0)-Tableau5617192223242425262827293031333432353620383961719241822254140424344104746[[#This Row],[Int Commandé OT
€]]</f>
        <v>0</v>
      </c>
      <c r="AJ65" s="8">
        <f>IFERROR(VLOOKUP(H65,#REF!,11,FALSE),0)-IFERROR(VLOOKUP(H65,#REF!,10,FALSE),0)+Tableau5617192223242425262827293031333432353620383961719241822254140424344104746[[#This Row],[dont FNP à date (€ HT)]]</f>
        <v>0</v>
      </c>
      <c r="AK65" s="15">
        <f t="shared" si="14"/>
        <v>0</v>
      </c>
      <c r="AL6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5" s="19">
        <f>IF(Tableau5617192223242425262827293031333432353620383961719241822254140424344104746[[#This Row],[RAF Achats M-1
€]]=0,0,AN65-AO65)</f>
        <v>0</v>
      </c>
      <c r="AN65" s="8">
        <f>IFERROR(VLOOKUP(H65,#REF!,31,FALSE),0)</f>
        <v>0</v>
      </c>
      <c r="AO65" s="8">
        <f>AI65+-IFERROR(VLOOKUP(H65,#REF!,27,FALSE),0)</f>
        <v>0</v>
      </c>
      <c r="AP65" s="20">
        <f>IFERROR(VLOOKUP(Tableau5617192223242425262827293031333432353620383961719241822254140424344104746[[#This Row],[Num Projets]],#REF!,2,FALSE),0)</f>
        <v>0</v>
      </c>
      <c r="AQ65" s="20">
        <f>_xlfn.XLOOKUP(H65,[2]Synth!$N:$N,[2]Synth!$O:$O,0,FALSE)+_xlfn.XLOOKUP(Tableau5617192223242425262827293031333432353620383961719241822254140424344104746[[#This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5" s="21">
        <v>0</v>
      </c>
      <c r="AS65" s="20">
        <f>+IFERROR(VLOOKUP(H65,#REF!,36,FALSE),0)</f>
        <v>0</v>
      </c>
      <c r="AT6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5" s="22">
        <f>IF(AG65=0,0,1-((AI65+AM65+Tableau5617192223242425262827293031333432353620383961719241822254140424344104746[[#This Row],[Int Commandé OT
€]]+Tableau5617192223242425262827293031333432353620383961719241822254140424344104746[[#This Row],[RAF Int OT
€]])/AG65))</f>
        <v>0</v>
      </c>
      <c r="AV65" s="8">
        <f>IFERROR(VLOOKUP(H65,#REF!,4,FALSE),0)+IFERROR(VLOOKUP(H65,#REF!,4,FALSE),0)</f>
        <v>0</v>
      </c>
      <c r="AW65" s="8">
        <f>IFERROR(VLOOKUP(Tableau5617192223242425262827293031333432353620383961719241822254140424344104746[[#This Row],[Num Projets]],#REF!,3,FALSE),0)</f>
        <v>0</v>
      </c>
      <c r="AX65" s="95">
        <f>IFERROR(VLOOKUP(Tableau5617192223242425262827293031333432353620383961719241822254140424344104746[[#This Row],[Num Projets]],#REF!,10,FALSE),0)</f>
        <v>0</v>
      </c>
      <c r="AY65" s="23">
        <f>Tableau5617192223242425262827293031333432353620383961719241822254140424344104746[[#This Row],[Budget Mission
 €]]/1.2-AX65</f>
        <v>0</v>
      </c>
      <c r="AZ65" s="8">
        <f>IFERROR(VLOOKUP(H65,#REF!,43,FALSE),0)</f>
        <v>0</v>
      </c>
      <c r="BA65" s="8">
        <f>AX65-IFERROR(VLOOKUP(H65,#REF!,42,FALSE),0)</f>
        <v>0</v>
      </c>
      <c r="BB65" s="47">
        <f t="shared" si="17"/>
        <v>0</v>
      </c>
      <c r="BC65" s="24">
        <f>IFERROR(VLOOKUP(H65,#REF!,47,FALSE),IFERROR(VLOOKUP(H65,#REF!,5,FALSE),0)+IFERROR(VLOOKUP(H65,#REF!,5,FALSE),0))</f>
        <v>0</v>
      </c>
      <c r="BD65" s="25">
        <f>IFERROR(VLOOKUP(H65,#REF!,2,FALSE),0)</f>
        <v>0</v>
      </c>
      <c r="BE65" s="25">
        <f>IFERROR(VLOOKUP(H65,#REF!,49,FALSE),0)</f>
        <v>0</v>
      </c>
      <c r="BF65" s="50" t="e">
        <f t="shared" si="5"/>
        <v>#REF!</v>
      </c>
      <c r="BG65" s="50">
        <f t="shared" si="6"/>
        <v>0</v>
      </c>
      <c r="BH65" s="27">
        <f>AE65+ (AI65-AJ65+AM65+Tableau5617192223242425262827293031333432353620383961719241822254140424344104746[[#This Row],[Int Commandé OT
€]]-Tableau5617192223242425262827293031333432353620383961719241822254140424344104746[[#This Row],[Int Réalisé OT
€]]+AR65) +AY65+BC65</f>
        <v>4603.1400000000003</v>
      </c>
      <c r="BI65" s="47">
        <f>IF(BG65+BH65=0,100%,BG65/(BG65+BH65))</f>
        <v>0</v>
      </c>
      <c r="BJ65" s="47" t="e">
        <f t="shared" si="8"/>
        <v>#REF!</v>
      </c>
      <c r="BK65" s="27" t="e">
        <f t="shared" si="9"/>
        <v>#REF!</v>
      </c>
      <c r="BL65" s="26" t="e">
        <f t="shared" si="10"/>
        <v>#REF!</v>
      </c>
      <c r="BM65" s="96">
        <f>IFERROR(VLOOKUP(H65,'[1]2023dec'!H:CA,54,FALSE),105)</f>
        <v>105</v>
      </c>
      <c r="BN65" s="29">
        <v>1</v>
      </c>
      <c r="BO65" s="30" t="e">
        <f>P65-AC65-AG65-AV65-Tableau5617192223242425262827293031333432353620383961719241822254140424344104746[[#This Row],[Provisions pour risques]]</f>
        <v>#REF!</v>
      </c>
      <c r="BP6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4603.1400000000003</v>
      </c>
      <c r="BQ6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65" s="97" t="e">
        <f t="shared" si="18"/>
        <v>#REF!</v>
      </c>
      <c r="BS65" s="34">
        <f>Tableau5617192223242425262827293031333432353620383961719241822254140424344104746[[#This Row],[Consommé global Enregistré à date (€ HT)]]-IFERROR(VLOOKUP(H65,#REF!,50,FALSE),0)</f>
        <v>0</v>
      </c>
      <c r="BT65" s="35" t="e">
        <f t="shared" si="19"/>
        <v>#REF!</v>
      </c>
      <c r="BU65" s="36">
        <f>BD65-IFERROR(VLOOKUP(H65,#REF!,47,FALSE),0)</f>
        <v>0</v>
      </c>
      <c r="BV65" s="37" t="e">
        <f>+BF65+Tableau5617192223242425262827293031333432353620383961719241822254140424344104746[[#This Row],[CA fin N-1]]-IFERROR(VLOOKUP(H65,#REF!,49,FALSE),0)-IFERROR(VLOOKUP(H65,#REF!,50,FALSE),0)</f>
        <v>#REF!</v>
      </c>
      <c r="BW65" s="33">
        <f>BG65-IFERROR(VLOOKUP(H65,#REF!,51,FALSE),0)</f>
        <v>0</v>
      </c>
      <c r="BX65" s="35" t="e">
        <f t="shared" si="20"/>
        <v>#REF!</v>
      </c>
      <c r="BY65" s="36">
        <f>BD65-IFERROR(VLOOKUP(H65,#REF!,48,FALSE),0)</f>
        <v>0</v>
      </c>
      <c r="BZ6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5" s="39" t="e">
        <f>VLOOKUP(Tableau5617192223242425262827293031333432353620383961719241822254140424344104746[[#This Row],[Num Projets]],#REF!,1,FALSE)</f>
        <v>#REF!</v>
      </c>
      <c r="CB65" s="40">
        <v>96.300000000000011</v>
      </c>
      <c r="CC65" s="40">
        <v>0</v>
      </c>
      <c r="CD6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-96.300000000000011</v>
      </c>
    </row>
    <row r="66" spans="1:82" s="258" customFormat="1" ht="13.5" customHeight="1" x14ac:dyDescent="0.25">
      <c r="A66" s="313" t="s">
        <v>138</v>
      </c>
      <c r="B66" s="1"/>
      <c r="C66" s="2" t="e">
        <f>_xlfn.XLOOKUP(Tableau5617192223242425262827293031333432353620383961719241822254140424344104746[[#This Row],[Num Projets]],#REF!,#REF!,FALSE)</f>
        <v>#REF!</v>
      </c>
      <c r="D66" s="3" t="s">
        <v>1</v>
      </c>
      <c r="E66" s="3" t="e">
        <f>_xlfn.XLOOKUP(Tableau5617192223242425262827293031333432353620383961719241822254140424344104746[[#This Row],[Num Projets]],#REF!,#REF!,FALSE)</f>
        <v>#REF!</v>
      </c>
      <c r="F66" s="3" t="s">
        <v>52</v>
      </c>
      <c r="G66" s="3" t="s">
        <v>2</v>
      </c>
      <c r="H66" s="3" t="s">
        <v>139</v>
      </c>
      <c r="I6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6" s="4" t="e">
        <f>VLOOKUP(Tableau5617192223242425262827293031333432353620383961719241822254140424344104746[[#This Row],[Num Projets]],#REF!,36,FALSE)</f>
        <v>#REF!</v>
      </c>
      <c r="K66" s="5" t="s">
        <v>4</v>
      </c>
      <c r="L6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6" s="3" t="e">
        <f>SUBSTITUTE(_xlfn.XLOOKUP(Tableau5617192223242425262827293031333432353620383961719241822254140424344104746[[#This Row],[Num Projets]],#REF!,#REF!,FALSE)," ","")</f>
        <v>#REF!</v>
      </c>
      <c r="N66" s="7" t="e">
        <f>VLOOKUP(H66,#REF!,7,FALSE)</f>
        <v>#REF!</v>
      </c>
      <c r="O66" s="7">
        <v>45777</v>
      </c>
      <c r="P66" s="8" t="e">
        <f>VLOOKUP(H66,#REF!,2,FALSE)</f>
        <v>#REF!</v>
      </c>
      <c r="Q66" s="9" t="e">
        <f>Tableau5617192223242425262827293031333432353620383961719241822254140424344104746[[#This Row],[Total Budget
€]]-IFERROR(VLOOKUP(H66,#REF!,8,FALSE),0)</f>
        <v>#REF!</v>
      </c>
      <c r="R66" s="15">
        <f>AD66+AI66+Tableau5617192223242425262827293031333432353620383961719241822254140424344104746[[#This Row],[Int Commandé OT
€]]+AX66</f>
        <v>0</v>
      </c>
      <c r="S66" s="15">
        <f>AD66+AJ66+Tableau5617192223242425262827293031333432353620383961719241822254140424344104746[[#This Row],[Int Réalisé OT
€]]+AX66</f>
        <v>5238.54</v>
      </c>
      <c r="T66" s="94" t="e">
        <f t="shared" si="2"/>
        <v>#REF!</v>
      </c>
      <c r="U6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6" s="12">
        <f>IFERROR(VLOOKUP(H66,#REF!,2,FALSE),0)</f>
        <v>0</v>
      </c>
      <c r="X66" s="13">
        <f>IFERROR(VLOOKUP(H66,#REF!,2,FALSE),0)</f>
        <v>0</v>
      </c>
      <c r="Y66" s="13">
        <f>IFERROR(VLOOKUP(H66,#REF!,3,FALSE),0)</f>
        <v>0</v>
      </c>
      <c r="Z6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64.200000000000017</v>
      </c>
      <c r="AA66" s="13">
        <f>IFERROR(VLOOKUP(H66,#REF!,18,FALSE),0)</f>
        <v>0</v>
      </c>
      <c r="AB66" s="13">
        <f>SUM(X66:Y66)-IFERROR(VLOOKUP(H66,#REF!,16,FALSE),0)-IFERROR(VLOOKUP(H66,#REF!,17,FALSE),0)</f>
        <v>0</v>
      </c>
      <c r="AC66" s="15" t="e">
        <f>VLOOKUP(Tableau5617192223242425262827293031333432353620383961719241822254140424344104746[[#This Row],[Num Projets]],#REF!,2,FALSE)</f>
        <v>#REF!</v>
      </c>
      <c r="AD66" s="15">
        <f>IFERROR(VLOOKUP(Tableau5617192223242425262827293031333432353620383961719241822254140424344104746[[#This Row],[Num Projets]],#REF!,2,FALSE),0)</f>
        <v>0</v>
      </c>
      <c r="AE66" s="8">
        <f>Z66*47.8</f>
        <v>3068.7600000000007</v>
      </c>
      <c r="AF66" s="22" t="e">
        <f>IF(AC66=0,0,1-((AD66+AE66)/AC66))</f>
        <v>#REF!</v>
      </c>
      <c r="AG66" s="20">
        <f>IFERROR(VLOOKUP(H66,#REF!,3,FALSE),0)+IFERROR(VLOOKUP(H66,#REF!,3,FALSE),0)</f>
        <v>0</v>
      </c>
      <c r="AH66" s="8">
        <f>IFERROR(VLOOKUP(Tableau5617192223242425262827293031333432353620383961719241822254140424344104746[[#This Row],[Num Projets]],#REF!,2,FALSE),0)</f>
        <v>0</v>
      </c>
      <c r="AI66" s="17">
        <f>+IFERROR(VLOOKUP(H66,#REF!,2,FALSE),0)-Tableau5617192223242425262827293031333432353620383961719241822254140424344104746[[#This Row],[Int Commandé OT
€]]</f>
        <v>0</v>
      </c>
      <c r="AJ66" s="8">
        <f>IFERROR(VLOOKUP(H66,#REF!,11,FALSE),0)-IFERROR(VLOOKUP(H66,#REF!,10,FALSE),0)+Tableau5617192223242425262827293031333432353620383961719241822254140424344104746[[#This Row],[dont FNP à date (€ HT)]]</f>
        <v>0</v>
      </c>
      <c r="AK66" s="15">
        <f t="shared" si="14"/>
        <v>0</v>
      </c>
      <c r="AL6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6" s="19">
        <f>IF(Tableau5617192223242425262827293031333432353620383961719241822254140424344104746[[#This Row],[RAF Achats M-1
€]]=0,0,AN66-AO66)</f>
        <v>0</v>
      </c>
      <c r="AN66" s="8">
        <f>IFERROR(VLOOKUP(H66,#REF!,31,FALSE),0)</f>
        <v>0</v>
      </c>
      <c r="AO66" s="8">
        <f>AI66+-IFERROR(VLOOKUP(H66,#REF!,27,FALSE),0)</f>
        <v>0</v>
      </c>
      <c r="AP66" s="20">
        <f>IFERROR(VLOOKUP(Tableau5617192223242425262827293031333432353620383961719241822254140424344104746[[#This Row],[Num Projets]],#REF!,2,FALSE),0)</f>
        <v>0</v>
      </c>
      <c r="AQ66" s="20">
        <f>_xlfn.XLOOKUP(H66,[2]Synth!$N:$N,[2]Synth!$O:$O,0,FALSE)+_xlfn.XLOOKUP(Tableau5617192223242425262827293031333432353620383961719241822254140424344104746[[#This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5238.54</v>
      </c>
      <c r="AR66" s="21">
        <v>0</v>
      </c>
      <c r="AS66" s="20">
        <f>+IFERROR(VLOOKUP(H66,#REF!,36,FALSE),0)</f>
        <v>0</v>
      </c>
      <c r="AT6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6" s="22">
        <f>IF(AG66=0,0,1-((AI66+AM66+Tableau5617192223242425262827293031333432353620383961719241822254140424344104746[[#This Row],[Int Commandé OT
€]]+Tableau5617192223242425262827293031333432353620383961719241822254140424344104746[[#This Row],[RAF Int OT
€]])/AG66))</f>
        <v>0</v>
      </c>
      <c r="AV66" s="8">
        <f>IFERROR(VLOOKUP(H66,#REF!,4,FALSE),0)+IFERROR(VLOOKUP(H66,#REF!,4,FALSE),0)</f>
        <v>0</v>
      </c>
      <c r="AW66" s="8">
        <f>IFERROR(VLOOKUP(Tableau5617192223242425262827293031333432353620383961719241822254140424344104746[[#This Row],[Num Projets]],#REF!,3,FALSE),0)</f>
        <v>0</v>
      </c>
      <c r="AX66" s="95">
        <f>IFERROR(VLOOKUP(Tableau5617192223242425262827293031333432353620383961719241822254140424344104746[[#This Row],[Num Projets]],#REF!,10,FALSE),0)</f>
        <v>0</v>
      </c>
      <c r="AY66" s="23">
        <f>Tableau5617192223242425262827293031333432353620383961719241822254140424344104746[[#This Row],[Budget Mission
 €]]/1.2-AX66</f>
        <v>0</v>
      </c>
      <c r="AZ66" s="8">
        <f>IFERROR(VLOOKUP(H66,#REF!,43,FALSE),0)</f>
        <v>0</v>
      </c>
      <c r="BA66" s="8">
        <f>AX66-IFERROR(VLOOKUP(H66,#REF!,42,FALSE),0)</f>
        <v>0</v>
      </c>
      <c r="BB66" s="47">
        <f t="shared" si="17"/>
        <v>0</v>
      </c>
      <c r="BC66" s="24">
        <f>IFERROR(VLOOKUP(H66,#REF!,47,FALSE),IFERROR(VLOOKUP(H66,#REF!,5,FALSE),0)+IFERROR(VLOOKUP(H66,#REF!,5,FALSE),0))</f>
        <v>0</v>
      </c>
      <c r="BD66" s="25">
        <f>IFERROR(VLOOKUP(H66,#REF!,2,FALSE),0)</f>
        <v>0</v>
      </c>
      <c r="BE66" s="25">
        <f>IFERROR(VLOOKUP(H66,#REF!,49,FALSE),0)</f>
        <v>0</v>
      </c>
      <c r="BF66" s="50" t="e">
        <f t="shared" si="5"/>
        <v>#REF!</v>
      </c>
      <c r="BG66" s="50">
        <f t="shared" si="6"/>
        <v>5238.54</v>
      </c>
      <c r="BH66" s="27">
        <f>AE66+ (AI66-AJ66+AM66+Tableau5617192223242425262827293031333432353620383961719241822254140424344104746[[#This Row],[Int Commandé OT
€]]-Tableau5617192223242425262827293031333432353620383961719241822254140424344104746[[#This Row],[Int Réalisé OT
€]]+AR66) +AY66+BC66</f>
        <v>-2169.7799999999993</v>
      </c>
      <c r="BI66" s="47">
        <f>IF(BG66+BH66=0,100%,BG66/(BG66+BH66))</f>
        <v>1.7070543150979545</v>
      </c>
      <c r="BJ66" s="47" t="e">
        <f t="shared" si="8"/>
        <v>#REF!</v>
      </c>
      <c r="BK66" s="27" t="e">
        <f t="shared" si="9"/>
        <v>#REF!</v>
      </c>
      <c r="BL66" s="26" t="e">
        <f t="shared" si="10"/>
        <v>#REF!</v>
      </c>
      <c r="BM66" s="96">
        <f>IFERROR(VLOOKUP(H66,'[1]2023dec'!H:CA,54,FALSE),105)</f>
        <v>105</v>
      </c>
      <c r="BN66" s="29">
        <v>1</v>
      </c>
      <c r="BO66" s="30" t="e">
        <f>P66-AC66-AG66-AV66-Tableau5617192223242425262827293031333432353620383961719241822254140424344104746[[#This Row],[Provisions pour risques]]</f>
        <v>#REF!</v>
      </c>
      <c r="BP6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3068.7600000000007</v>
      </c>
      <c r="BQ6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1.7070543150979545</v>
      </c>
      <c r="BR66" s="97" t="e">
        <f t="shared" si="18"/>
        <v>#REF!</v>
      </c>
      <c r="BS66" s="34">
        <f>Tableau5617192223242425262827293031333432353620383961719241822254140424344104746[[#This Row],[Consommé global Enregistré à date (€ HT)]]-IFERROR(VLOOKUP(H66,#REF!,50,FALSE),0)</f>
        <v>5238.54</v>
      </c>
      <c r="BT66" s="35" t="e">
        <f t="shared" si="19"/>
        <v>#REF!</v>
      </c>
      <c r="BU66" s="36">
        <f>BD66-IFERROR(VLOOKUP(H66,#REF!,47,FALSE),0)</f>
        <v>0</v>
      </c>
      <c r="BV66" s="37" t="e">
        <f>+BF66+Tableau5617192223242425262827293031333432353620383961719241822254140424344104746[[#This Row],[CA fin N-1]]-IFERROR(VLOOKUP(H66,#REF!,49,FALSE),0)-IFERROR(VLOOKUP(H66,#REF!,50,FALSE),0)</f>
        <v>#REF!</v>
      </c>
      <c r="BW66" s="33">
        <f>BG66-IFERROR(VLOOKUP(H66,#REF!,51,FALSE),0)</f>
        <v>5238.54</v>
      </c>
      <c r="BX66" s="35" t="e">
        <f t="shared" si="20"/>
        <v>#REF!</v>
      </c>
      <c r="BY66" s="36">
        <f>BD66-IFERROR(VLOOKUP(H66,#REF!,48,FALSE),0)</f>
        <v>0</v>
      </c>
      <c r="BZ6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6" s="39" t="e">
        <f>VLOOKUP(Tableau5617192223242425262827293031333432353620383961719241822254140424344104746[[#This Row],[Num Projets]],#REF!,1,FALSE)</f>
        <v>#REF!</v>
      </c>
      <c r="CB66" s="40">
        <v>64.200000000000017</v>
      </c>
      <c r="CC66" s="40">
        <v>0</v>
      </c>
      <c r="CD6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-64.200000000000017</v>
      </c>
    </row>
    <row r="67" spans="1:82" s="258" customFormat="1" ht="13.5" customHeight="1" x14ac:dyDescent="0.25">
      <c r="A67" s="311"/>
      <c r="B67" s="1"/>
      <c r="C67" s="2" t="e">
        <f>_xlfn.XLOOKUP(Tableau5617192223242425262827293031333432353620383961719241822254140424344104746[[#This Row],[Num Projets]],#REF!,#REF!,FALSE)</f>
        <v>#REF!</v>
      </c>
      <c r="D67" s="3" t="s">
        <v>6</v>
      </c>
      <c r="E67" s="3" t="e">
        <f>_xlfn.XLOOKUP(Tableau5617192223242425262827293031333432353620383961719241822254140424344104746[[#This Row],[Num Projets]],#REF!,#REF!,FALSE)</f>
        <v>#REF!</v>
      </c>
      <c r="F67" s="3" t="e">
        <f>_xlfn.XLOOKUP(Tableau5617192223242425262827293031333432353620383961719241822254140424344104746[[#This Row],[Num Projets]],#REF!,#REF!,"newavr",0)</f>
        <v>#REF!</v>
      </c>
      <c r="G67" s="3" t="s">
        <v>85</v>
      </c>
      <c r="H67" s="3" t="s">
        <v>140</v>
      </c>
      <c r="I6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7" s="4" t="e">
        <f>VLOOKUP(Tableau5617192223242425262827293031333432353620383961719241822254140424344104746[[#This Row],[Num Projets]],#REF!,36,FALSE)</f>
        <v>#REF!</v>
      </c>
      <c r="K67" s="5" t="s">
        <v>9</v>
      </c>
      <c r="L6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7" s="3" t="e">
        <f>SUBSTITUTE(_xlfn.XLOOKUP(Tableau5617192223242425262827293031333432353620383961719241822254140424344104746[[#This Row],[Num Projets]],#REF!,#REF!,FALSE)," ","")</f>
        <v>#REF!</v>
      </c>
      <c r="N67" s="7" t="e">
        <f>VLOOKUP(H67,#REF!,7,FALSE)</f>
        <v>#REF!</v>
      </c>
      <c r="O67" s="7" t="e">
        <f>IF(VLOOKUP(H67,#REF!,27,FALSE)=0,"",VLOOKUP(H67,#REF!,27,FALSE))</f>
        <v>#REF!</v>
      </c>
      <c r="P67" s="8" t="e">
        <f>VLOOKUP(H67,#REF!,2,FALSE)</f>
        <v>#REF!</v>
      </c>
      <c r="Q67" s="9" t="e">
        <f>Tableau5617192223242425262827293031333432353620383961719241822254140424344104746[[#This Row],[Total Budget
€]]-IFERROR(VLOOKUP(H67,#REF!,8,FALSE),0)</f>
        <v>#REF!</v>
      </c>
      <c r="R67" s="15">
        <f>AD67+AI67+Tableau5617192223242425262827293031333432353620383961719241822254140424344104746[[#This Row],[Int Commandé OT
€]]+AX67</f>
        <v>0</v>
      </c>
      <c r="S67" s="15">
        <f>AD67+AJ67+Tableau5617192223242425262827293031333432353620383961719241822254140424344104746[[#This Row],[Int Réalisé OT
€]]+AX67</f>
        <v>0</v>
      </c>
      <c r="T67" s="94" t="e">
        <f t="shared" si="2"/>
        <v>#REF!</v>
      </c>
      <c r="U6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7" s="12">
        <f>IFERROR(VLOOKUP(H67,#REF!,2,FALSE),0)</f>
        <v>0</v>
      </c>
      <c r="X67" s="13">
        <f>IFERROR(VLOOKUP(H67,#REF!,2,FALSE),0)</f>
        <v>0</v>
      </c>
      <c r="Y67" s="13">
        <f>IFERROR(VLOOKUP(H67,#REF!,3,FALSE),0)</f>
        <v>0</v>
      </c>
      <c r="Z6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35.5</v>
      </c>
      <c r="AA67" s="13">
        <f>IFERROR(VLOOKUP(H67,#REF!,18,FALSE),0)</f>
        <v>0</v>
      </c>
      <c r="AB67" s="13">
        <f>SUM(X67:Y67)-IFERROR(VLOOKUP(H67,#REF!,16,FALSE),0)-IFERROR(VLOOKUP(H67,#REF!,17,FALSE),0)</f>
        <v>0</v>
      </c>
      <c r="AC67" s="15" t="e">
        <f>VLOOKUP(Tableau5617192223242425262827293031333432353620383961719241822254140424344104746[[#This Row],[Num Projets]],#REF!,2,FALSE)</f>
        <v>#REF!</v>
      </c>
      <c r="AD67" s="15">
        <f>IFERROR(VLOOKUP(Tableau5617192223242425262827293031333432353620383961719241822254140424344104746[[#This Row],[Num Projets]],#REF!,2,FALSE),0)</f>
        <v>0</v>
      </c>
      <c r="AE67" s="8">
        <f t="shared" si="3"/>
        <v>1696.8999999999999</v>
      </c>
      <c r="AF67" s="22" t="e">
        <f t="shared" si="4"/>
        <v>#REF!</v>
      </c>
      <c r="AG67" s="8">
        <f>IFERROR(VLOOKUP(H67,#REF!,3,FALSE),0)+IFERROR(VLOOKUP(H67,#REF!,3,FALSE),0)</f>
        <v>0</v>
      </c>
      <c r="AH67" s="8">
        <f>IFERROR(VLOOKUP(Tableau5617192223242425262827293031333432353620383961719241822254140424344104746[[#This Row],[Num Projets]],#REF!,2,FALSE),0)</f>
        <v>0</v>
      </c>
      <c r="AI67" s="17">
        <f>+IFERROR(VLOOKUP(H67,#REF!,2,FALSE),0)-Tableau5617192223242425262827293031333432353620383961719241822254140424344104746[[#This Row],[Int Commandé OT
€]]</f>
        <v>0</v>
      </c>
      <c r="AJ67" s="8">
        <f>IFERROR(VLOOKUP(H67,#REF!,11,FALSE),0)-IFERROR(VLOOKUP(H67,#REF!,10,FALSE),0)+Tableau5617192223242425262827293031333432353620383961719241822254140424344104746[[#This Row],[dont FNP à date (€ HT)]]</f>
        <v>0</v>
      </c>
      <c r="AK67" s="15">
        <f t="shared" si="14"/>
        <v>0</v>
      </c>
      <c r="AL6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7" s="19">
        <f>IF(Tableau5617192223242425262827293031333432353620383961719241822254140424344104746[[#This Row],[RAF Achats M-1
€]]=0,0,AN67-AO67)</f>
        <v>0</v>
      </c>
      <c r="AN67" s="8">
        <f>IFERROR(VLOOKUP(H67,#REF!,31,FALSE),0)</f>
        <v>0</v>
      </c>
      <c r="AO67" s="8">
        <f>AI67+-IFERROR(VLOOKUP(H67,#REF!,27,FALSE),0)</f>
        <v>0</v>
      </c>
      <c r="AP67" s="20">
        <f>IFERROR(VLOOKUP(Tableau5617192223242425262827293031333432353620383961719241822254140424344104746[[#This Row],[Num Projets]],#REF!,2,FALSE),0)</f>
        <v>0</v>
      </c>
      <c r="AQ67" s="20">
        <f>_xlfn.XLOOKUP(H67,[2]Synth!$N:$N,[2]Synth!$O:$O,0,FALSE)+_xlfn.XLOOKUP(Tableau5617192223242425262827293031333432353620383961719241822254140424344104746[[#This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7" s="21">
        <v>0</v>
      </c>
      <c r="AS67" s="20">
        <f>+IFERROR(VLOOKUP(H67,#REF!,36,FALSE),0)</f>
        <v>0</v>
      </c>
      <c r="AT6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7" s="22">
        <f>IF(AG67=0,0,1-((AI67+AM67+Tableau5617192223242425262827293031333432353620383961719241822254140424344104746[[#This Row],[Int Commandé OT
€]]+Tableau5617192223242425262827293031333432353620383961719241822254140424344104746[[#This Row],[RAF Int OT
€]])/AG67))</f>
        <v>0</v>
      </c>
      <c r="AV67" s="8">
        <f>IFERROR(VLOOKUP(H67,#REF!,4,FALSE),0)+IFERROR(VLOOKUP(H67,#REF!,4,FALSE),0)</f>
        <v>0</v>
      </c>
      <c r="AW67" s="8">
        <f>IFERROR(VLOOKUP(Tableau5617192223242425262827293031333432353620383961719241822254140424344104746[[#This Row],[Num Projets]],#REF!,3,FALSE),0)</f>
        <v>0</v>
      </c>
      <c r="AX67" s="95">
        <f>IFERROR(VLOOKUP(Tableau5617192223242425262827293031333432353620383961719241822254140424344104746[[#This Row],[Num Projets]],#REF!,10,FALSE),0)</f>
        <v>0</v>
      </c>
      <c r="AY67" s="23">
        <f>Tableau5617192223242425262827293031333432353620383961719241822254140424344104746[[#This Row],[Budget Mission
 €]]/1.2-AX67</f>
        <v>0</v>
      </c>
      <c r="AZ67" s="8">
        <f>IFERROR(VLOOKUP(H67,#REF!,43,FALSE),0)</f>
        <v>0</v>
      </c>
      <c r="BA67" s="8">
        <f>AX67-IFERROR(VLOOKUP(H67,#REF!,42,FALSE),0)</f>
        <v>0</v>
      </c>
      <c r="BB67" s="47">
        <f t="shared" si="17"/>
        <v>0</v>
      </c>
      <c r="BC67" s="24">
        <f>IFERROR(VLOOKUP(H67,#REF!,47,FALSE),IFERROR(VLOOKUP(H67,#REF!,5,FALSE),0)+IFERROR(VLOOKUP(H67,#REF!,5,FALSE),0))</f>
        <v>0</v>
      </c>
      <c r="BD67" s="25">
        <f>IFERROR(VLOOKUP(H67,#REF!,2,FALSE),0)</f>
        <v>0</v>
      </c>
      <c r="BE67" s="25">
        <f>IFERROR(VLOOKUP(H67,#REF!,49,FALSE),0)</f>
        <v>0</v>
      </c>
      <c r="BF67" s="50" t="e">
        <f t="shared" si="5"/>
        <v>#REF!</v>
      </c>
      <c r="BG67" s="50">
        <f t="shared" si="6"/>
        <v>0</v>
      </c>
      <c r="BH67" s="27">
        <f>AE67+ (AI67-AJ67+AM67+Tableau5617192223242425262827293031333432353620383961719241822254140424344104746[[#This Row],[Int Commandé OT
€]]-Tableau5617192223242425262827293031333432353620383961719241822254140424344104746[[#This Row],[Int Réalisé OT
€]]+AR67) +AY67+BC67</f>
        <v>1696.8999999999999</v>
      </c>
      <c r="BI67" s="124">
        <f>IF(BG67+BH67=0,100%,BG67/(BG67+BH67))</f>
        <v>0</v>
      </c>
      <c r="BJ67" s="47" t="e">
        <f t="shared" si="8"/>
        <v>#REF!</v>
      </c>
      <c r="BK67" s="27" t="e">
        <f t="shared" si="9"/>
        <v>#REF!</v>
      </c>
      <c r="BL67" s="26" t="e">
        <f t="shared" si="10"/>
        <v>#REF!</v>
      </c>
      <c r="BM67" s="96">
        <f>IFERROR(VLOOKUP(H67,'[1]2023dec'!H:CA,54,FALSE),105)</f>
        <v>105</v>
      </c>
      <c r="BN67" s="29">
        <v>1</v>
      </c>
      <c r="BO67" s="30" t="e">
        <f>P67-AC67-AG67-AV67-Tableau5617192223242425262827293031333432353620383961719241822254140424344104746[[#This Row],[Provisions pour risques]]</f>
        <v>#REF!</v>
      </c>
      <c r="BP6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1696.8999999999999</v>
      </c>
      <c r="BQ6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67" s="97" t="e">
        <f t="shared" si="18"/>
        <v>#REF!</v>
      </c>
      <c r="BS67" s="34">
        <f>Tableau5617192223242425262827293031333432353620383961719241822254140424344104746[[#This Row],[Consommé global Enregistré à date (€ HT)]]-IFERROR(VLOOKUP(H67,#REF!,50,FALSE),0)</f>
        <v>0</v>
      </c>
      <c r="BT67" s="35" t="e">
        <f t="shared" si="19"/>
        <v>#REF!</v>
      </c>
      <c r="BU67" s="36">
        <f>BD67-IFERROR(VLOOKUP(H67,#REF!,47,FALSE),0)</f>
        <v>0</v>
      </c>
      <c r="BV67" s="37" t="e">
        <f>+BF67+Tableau5617192223242425262827293031333432353620383961719241822254140424344104746[[#This Row],[CA fin N-1]]-IFERROR(VLOOKUP(H67,#REF!,49,FALSE),0)-IFERROR(VLOOKUP(H67,#REF!,50,FALSE),0)</f>
        <v>#REF!</v>
      </c>
      <c r="BW67" s="33">
        <f>BG67-IFERROR(VLOOKUP(H67,#REF!,51,FALSE),0)</f>
        <v>0</v>
      </c>
      <c r="BX67" s="35" t="e">
        <f t="shared" si="20"/>
        <v>#REF!</v>
      </c>
      <c r="BY67" s="36">
        <f>BD67-IFERROR(VLOOKUP(H67,#REF!,48,FALSE),0)</f>
        <v>0</v>
      </c>
      <c r="BZ6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7" s="39" t="e">
        <f>VLOOKUP(Tableau5617192223242425262827293031333432353620383961719241822254140424344104746[[#This Row],[Num Projets]],#REF!,1,FALSE)</f>
        <v>#REF!</v>
      </c>
      <c r="CB67" s="40">
        <v>35.5</v>
      </c>
      <c r="CC67" s="40">
        <v>0</v>
      </c>
      <c r="CD6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-35.5</v>
      </c>
    </row>
    <row r="68" spans="1:82" s="258" customFormat="1" ht="13.5" customHeight="1" x14ac:dyDescent="0.25">
      <c r="A68" s="311" t="s">
        <v>141</v>
      </c>
      <c r="B68" s="1"/>
      <c r="C68" s="2" t="e">
        <f>_xlfn.XLOOKUP(Tableau5617192223242425262827293031333432353620383961719241822254140424344104746[[#This Row],[Num Projets]],#REF!,#REF!,FALSE)</f>
        <v>#REF!</v>
      </c>
      <c r="D68" s="3" t="s">
        <v>6</v>
      </c>
      <c r="E68" s="3" t="e">
        <f>_xlfn.XLOOKUP(Tableau5617192223242425262827293031333432353620383961719241822254140424344104746[[#This Row],[Num Projets]],#REF!,#REF!,FALSE)</f>
        <v>#REF!</v>
      </c>
      <c r="F68" s="3" t="e">
        <f>_xlfn.XLOOKUP(Tableau5617192223242425262827293031333432353620383961719241822254140424344104746[[#This Row],[Num Projets]],#REF!,#REF!,"newavr",0)</f>
        <v>#REF!</v>
      </c>
      <c r="G68" s="3" t="s">
        <v>2</v>
      </c>
      <c r="H68" s="3" t="s">
        <v>142</v>
      </c>
      <c r="I6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8" s="4" t="e">
        <f>VLOOKUP(Tableau5617192223242425262827293031333432353620383961719241822254140424344104746[[#This Row],[Num Projets]],#REF!,36,FALSE)</f>
        <v>#REF!</v>
      </c>
      <c r="K68" s="5" t="s">
        <v>9</v>
      </c>
      <c r="L6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8" s="3" t="e">
        <f>SUBSTITUTE(_xlfn.XLOOKUP(Tableau5617192223242425262827293031333432353620383961719241822254140424344104746[[#This Row],[Num Projets]],#REF!,#REF!,FALSE)," ","")</f>
        <v>#REF!</v>
      </c>
      <c r="N68" s="7" t="e">
        <f>VLOOKUP(H68,#REF!,7,FALSE)</f>
        <v>#REF!</v>
      </c>
      <c r="O68" s="7" t="e">
        <f>IF(VLOOKUP(H68,#REF!,27,FALSE)=0,"",VLOOKUP(H68,#REF!,27,FALSE))</f>
        <v>#REF!</v>
      </c>
      <c r="P68" s="8" t="e">
        <f>VLOOKUP(H68,#REF!,2,FALSE)</f>
        <v>#REF!</v>
      </c>
      <c r="Q68" s="9" t="e">
        <f>Tableau5617192223242425262827293031333432353620383961719241822254140424344104746[[#This Row],[Total Budget
€]]-IFERROR(VLOOKUP(H68,#REF!,8,FALSE),0)</f>
        <v>#REF!</v>
      </c>
      <c r="R68" s="15">
        <f>AD68+AI68+Tableau5617192223242425262827293031333432353620383961719241822254140424344104746[[#This Row],[Int Commandé OT
€]]+AX68</f>
        <v>0</v>
      </c>
      <c r="S68" s="15">
        <f>AD68+AJ68+Tableau5617192223242425262827293031333432353620383961719241822254140424344104746[[#This Row],[Int Réalisé OT
€]]+AX68</f>
        <v>0</v>
      </c>
      <c r="T68" s="94" t="e">
        <f t="shared" si="2"/>
        <v>#REF!</v>
      </c>
      <c r="U6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8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8" s="12">
        <f>IFERROR(VLOOKUP(H68,#REF!,2,FALSE),0)</f>
        <v>0</v>
      </c>
      <c r="X68" s="13">
        <f>IFERROR(VLOOKUP(H68,#REF!,2,FALSE),0)</f>
        <v>0</v>
      </c>
      <c r="Y68" s="13">
        <f>IFERROR(VLOOKUP(H68,#REF!,3,FALSE),0)</f>
        <v>0</v>
      </c>
      <c r="Z6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334</v>
      </c>
      <c r="AA68" s="13">
        <f>IFERROR(VLOOKUP(H68,#REF!,18,FALSE),0)</f>
        <v>0</v>
      </c>
      <c r="AB68" s="13">
        <f>SUM(X68:Y68)-IFERROR(VLOOKUP(H68,#REF!,16,FALSE),0)-IFERROR(VLOOKUP(H68,#REF!,17,FALSE),0)</f>
        <v>0</v>
      </c>
      <c r="AC68" s="15" t="e">
        <f>VLOOKUP(Tableau5617192223242425262827293031333432353620383961719241822254140424344104746[[#This Row],[Num Projets]],#REF!,2,FALSE)</f>
        <v>#REF!</v>
      </c>
      <c r="AD68" s="15">
        <f>IFERROR(VLOOKUP(Tableau5617192223242425262827293031333432353620383961719241822254140424344104746[[#This Row],[Num Projets]],#REF!,2,FALSE),0)</f>
        <v>0</v>
      </c>
      <c r="AE68" s="8">
        <f t="shared" si="3"/>
        <v>15965.199999999999</v>
      </c>
      <c r="AF68" s="22" t="e">
        <f t="shared" si="4"/>
        <v>#REF!</v>
      </c>
      <c r="AG68" s="20">
        <f>IFERROR(VLOOKUP(H68,#REF!,3,FALSE),0)+IFERROR(VLOOKUP(H68,#REF!,3,FALSE),0)</f>
        <v>0</v>
      </c>
      <c r="AH68" s="8">
        <f>IFERROR(VLOOKUP(Tableau5617192223242425262827293031333432353620383961719241822254140424344104746[[#This Row],[Num Projets]],#REF!,2,FALSE),0)</f>
        <v>0</v>
      </c>
      <c r="AI68" s="17">
        <f>+IFERROR(VLOOKUP(H68,#REF!,2,FALSE),0)-Tableau5617192223242425262827293031333432353620383961719241822254140424344104746[[#This Row],[Int Commandé OT
€]]</f>
        <v>0</v>
      </c>
      <c r="AJ68" s="8">
        <f>IFERROR(VLOOKUP(H68,#REF!,11,FALSE),0)-IFERROR(VLOOKUP(H68,#REF!,10,FALSE),0)+Tableau5617192223242425262827293031333432353620383961719241822254140424344104746[[#This Row],[dont FNP à date (€ HT)]]</f>
        <v>0</v>
      </c>
      <c r="AK68" s="15">
        <f t="shared" si="14"/>
        <v>0</v>
      </c>
      <c r="AL6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8" s="19">
        <f>IF(Tableau5617192223242425262827293031333432353620383961719241822254140424344104746[[#This Row],[RAF Achats M-1
€]]=0,0,AN68-AO68)</f>
        <v>0</v>
      </c>
      <c r="AN68" s="8">
        <f>IFERROR(VLOOKUP(H68,#REF!,31,FALSE),0)</f>
        <v>0</v>
      </c>
      <c r="AO68" s="8">
        <f>AI68+-IFERROR(VLOOKUP(H68,#REF!,27,FALSE),0)</f>
        <v>0</v>
      </c>
      <c r="AP68" s="20">
        <f>IFERROR(VLOOKUP(Tableau5617192223242425262827293031333432353620383961719241822254140424344104746[[#This Row],[Num Projets]],#REF!,2,FALSE),0)</f>
        <v>0</v>
      </c>
      <c r="AQ68" s="20">
        <f>_xlfn.XLOOKUP(H68,[2]Synth!$N:$N,[2]Synth!$O:$O,0,FALSE)+_xlfn.XLOOKUP(Tableau5617192223242425262827293031333432353620383961719241822254140424344104746[[#This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8" s="21">
        <v>0</v>
      </c>
      <c r="AS68" s="20">
        <f>+IFERROR(VLOOKUP(H68,#REF!,36,FALSE),0)</f>
        <v>0</v>
      </c>
      <c r="AT6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8" s="22">
        <f>IF(AG68=0,0,1-((AI68+AM68+Tableau5617192223242425262827293031333432353620383961719241822254140424344104746[[#This Row],[Int Commandé OT
€]]+Tableau5617192223242425262827293031333432353620383961719241822254140424344104746[[#This Row],[RAF Int OT
€]])/AG68))</f>
        <v>0</v>
      </c>
      <c r="AV68" s="8">
        <f>IFERROR(VLOOKUP(H68,#REF!,4,FALSE),0)+IFERROR(VLOOKUP(H68,#REF!,4,FALSE),0)</f>
        <v>0</v>
      </c>
      <c r="AW68" s="8">
        <f>IFERROR(VLOOKUP(Tableau5617192223242425262827293031333432353620383961719241822254140424344104746[[#This Row],[Num Projets]],#REF!,3,FALSE),0)</f>
        <v>0</v>
      </c>
      <c r="AX68" s="95">
        <f>IFERROR(VLOOKUP(Tableau5617192223242425262827293031333432353620383961719241822254140424344104746[[#This Row],[Num Projets]],#REF!,10,FALSE),0)</f>
        <v>0</v>
      </c>
      <c r="AY68" s="23">
        <v>0</v>
      </c>
      <c r="AZ68" s="8">
        <f>IFERROR(VLOOKUP(H68,#REF!,43,FALSE),0)</f>
        <v>0</v>
      </c>
      <c r="BA68" s="8">
        <f>AX68-IFERROR(VLOOKUP(H68,#REF!,42,FALSE),0)</f>
        <v>0</v>
      </c>
      <c r="BB68" s="47">
        <f t="shared" si="17"/>
        <v>0</v>
      </c>
      <c r="BC68" s="24">
        <f>IFERROR(VLOOKUP(H68,#REF!,47,FALSE),IFERROR(VLOOKUP(H68,#REF!,5,FALSE),0)+IFERROR(VLOOKUP(H68,#REF!,5,FALSE),0))</f>
        <v>0</v>
      </c>
      <c r="BD68" s="25">
        <f>IFERROR(VLOOKUP(H68,#REF!,2,FALSE),0)</f>
        <v>0</v>
      </c>
      <c r="BE68" s="25">
        <f>IFERROR(VLOOKUP(H68,#REF!,49,FALSE),0)</f>
        <v>0</v>
      </c>
      <c r="BF68" s="50" t="e">
        <f t="shared" si="5"/>
        <v>#REF!</v>
      </c>
      <c r="BG68" s="50">
        <f t="shared" si="6"/>
        <v>0</v>
      </c>
      <c r="BH68" s="27">
        <f>AE68+ (AI68-AJ68+AM68+Tableau5617192223242425262827293031333432353620383961719241822254140424344104746[[#This Row],[Int Commandé OT
€]]-Tableau5617192223242425262827293031333432353620383961719241822254140424344104746[[#This Row],[Int Réalisé OT
€]]+AR68) +AY68+BC68</f>
        <v>15965.199999999999</v>
      </c>
      <c r="BI68" s="89" t="e">
        <f>IF((BG68/(BG68+BH68))&lt;VLOOKUP(Tableau5617192223242425262827293031333432353620383961719241822254140424344104746[[#This Row],[Num Projets]],#REF!,53,FALSE),VLOOKUP(Tableau5617192223242425262827293031333432353620383961719241822254140424344104746[[#This Row],[Num Projets]],#REF!,53,FALSE),BG68/(BG68+BH68))</f>
        <v>#REF!</v>
      </c>
      <c r="BJ68" s="47" t="e">
        <f t="shared" si="8"/>
        <v>#REF!</v>
      </c>
      <c r="BK68" s="27" t="e">
        <f t="shared" si="9"/>
        <v>#REF!</v>
      </c>
      <c r="BL68" s="26" t="e">
        <f t="shared" si="10"/>
        <v>#REF!</v>
      </c>
      <c r="BM68" s="96">
        <f>IFERROR(VLOOKUP(H68,'[1]2023dec'!H:CA,54,FALSE),105)</f>
        <v>105</v>
      </c>
      <c r="BN68" s="29">
        <v>1</v>
      </c>
      <c r="BO68" s="30" t="e">
        <f>P68-AC68-AG68-AV68-Tableau5617192223242425262827293031333432353620383961719241822254140424344104746[[#This Row],[Provisions pour risques]]</f>
        <v>#REF!</v>
      </c>
      <c r="BP6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15965.199999999999</v>
      </c>
      <c r="BQ68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68" s="97" t="e">
        <f t="shared" si="18"/>
        <v>#REF!</v>
      </c>
      <c r="BS68" s="34">
        <f>Tableau5617192223242425262827293031333432353620383961719241822254140424344104746[[#This Row],[Consommé global Enregistré à date (€ HT)]]-IFERROR(VLOOKUP(H68,#REF!,50,FALSE),0)</f>
        <v>0</v>
      </c>
      <c r="BT68" s="35" t="e">
        <f t="shared" si="19"/>
        <v>#REF!</v>
      </c>
      <c r="BU68" s="36">
        <f>BD68-IFERROR(VLOOKUP(H68,#REF!,47,FALSE),0)</f>
        <v>0</v>
      </c>
      <c r="BV68" s="37" t="e">
        <f>+BF68+Tableau5617192223242425262827293031333432353620383961719241822254140424344104746[[#This Row],[CA fin N-1]]-IFERROR(VLOOKUP(H68,#REF!,49,FALSE),0)-IFERROR(VLOOKUP(H68,#REF!,50,FALSE),0)</f>
        <v>#REF!</v>
      </c>
      <c r="BW68" s="33">
        <f>BG68-IFERROR(VLOOKUP(H68,#REF!,51,FALSE),0)</f>
        <v>0</v>
      </c>
      <c r="BX68" s="35" t="e">
        <f t="shared" si="20"/>
        <v>#REF!</v>
      </c>
      <c r="BY68" s="36">
        <f>BD68-IFERROR(VLOOKUP(H68,#REF!,48,FALSE),0)</f>
        <v>0</v>
      </c>
      <c r="BZ6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8" s="39" t="e">
        <f>VLOOKUP(Tableau5617192223242425262827293031333432353620383961719241822254140424344104746[[#This Row],[Num Projets]],#REF!,1,FALSE)</f>
        <v>#REF!</v>
      </c>
      <c r="CB68" s="40">
        <v>334</v>
      </c>
      <c r="CC68" s="40">
        <v>0</v>
      </c>
      <c r="CD6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-334</v>
      </c>
    </row>
    <row r="69" spans="1:82" s="258" customFormat="1" ht="13.5" customHeight="1" x14ac:dyDescent="0.25">
      <c r="A69" s="311" t="s">
        <v>143</v>
      </c>
      <c r="B69" s="1"/>
      <c r="C69" s="2" t="e">
        <f>_xlfn.XLOOKUP(Tableau5617192223242425262827293031333432353620383961719241822254140424344104746[[#This Row],[Num Projets]],#REF!,#REF!,FALSE)</f>
        <v>#REF!</v>
      </c>
      <c r="D69" s="3" t="s">
        <v>1</v>
      </c>
      <c r="E69" s="3" t="e">
        <f>_xlfn.XLOOKUP(Tableau5617192223242425262827293031333432353620383961719241822254140424344104746[[#This Row],[Num Projets]],#REF!,#REF!,FALSE)</f>
        <v>#REF!</v>
      </c>
      <c r="F69" s="3" t="e">
        <f>_xlfn.XLOOKUP(Tableau5617192223242425262827293031333432353620383961719241822254140424344104746[[#This Row],[Num Projets]],#REF!,#REF!,"newavr",0)</f>
        <v>#REF!</v>
      </c>
      <c r="G69" s="3" t="s">
        <v>2</v>
      </c>
      <c r="H69" s="3" t="s">
        <v>144</v>
      </c>
      <c r="I6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69" s="4" t="e">
        <f>VLOOKUP(Tableau5617192223242425262827293031333432353620383961719241822254140424344104746[[#This Row],[Num Projets]],#REF!,36,FALSE)</f>
        <v>#REF!</v>
      </c>
      <c r="K69" s="5" t="s">
        <v>21</v>
      </c>
      <c r="L6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69" s="3" t="e">
        <f>SUBSTITUTE(_xlfn.XLOOKUP(Tableau5617192223242425262827293031333432353620383961719241822254140424344104746[[#This Row],[Num Projets]],#REF!,#REF!,FALSE)," ","")</f>
        <v>#REF!</v>
      </c>
      <c r="N69" s="7" t="e">
        <f>VLOOKUP(H69,#REF!,7,FALSE)</f>
        <v>#REF!</v>
      </c>
      <c r="O69" s="7" t="e">
        <f>IF(VLOOKUP(H69,#REF!,27,FALSE)=0,"",VLOOKUP(H69,#REF!,27,FALSE))</f>
        <v>#REF!</v>
      </c>
      <c r="P69" s="8" t="e">
        <f>VLOOKUP(H69,#REF!,2,FALSE)</f>
        <v>#REF!</v>
      </c>
      <c r="Q69" s="9" t="e">
        <f>Tableau5617192223242425262827293031333432353620383961719241822254140424344104746[[#This Row],[Total Budget
€]]-IFERROR(VLOOKUP(H69,#REF!,8,FALSE),0)</f>
        <v>#REF!</v>
      </c>
      <c r="R69" s="15">
        <f>AD69+AI69+Tableau5617192223242425262827293031333432353620383961719241822254140424344104746[[#This Row],[Int Commandé OT
€]]+AX69</f>
        <v>0</v>
      </c>
      <c r="S69" s="15">
        <f>AD69+AJ69+Tableau5617192223242425262827293031333432353620383961719241822254140424344104746[[#This Row],[Int Réalisé OT
€]]+AX69</f>
        <v>0</v>
      </c>
      <c r="T69" s="94" t="e">
        <f t="shared" ref="T69:T132" si="22">IF(P69=0,0,1-(((AD69+AI69+AX69+AP69)+(AE69+AM69+AY69+BC69+AR69))/P69))</f>
        <v>#REF!</v>
      </c>
      <c r="U6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6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69" s="12">
        <f>IFERROR(VLOOKUP(H69,#REF!,2,FALSE),0)</f>
        <v>0</v>
      </c>
      <c r="X69" s="13">
        <f>IFERROR(VLOOKUP(H69,#REF!,2,FALSE),0)</f>
        <v>0</v>
      </c>
      <c r="Y69" s="13">
        <f>IFERROR(VLOOKUP(H69,#REF!,3,FALSE),0)</f>
        <v>0</v>
      </c>
      <c r="Z6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3.5</v>
      </c>
      <c r="AA69" s="13">
        <f>IFERROR(VLOOKUP(H69,#REF!,18,FALSE),0)</f>
        <v>0</v>
      </c>
      <c r="AB69" s="13">
        <f>SUM(X69:Y69)-IFERROR(VLOOKUP(H69,#REF!,16,FALSE),0)-IFERROR(VLOOKUP(H69,#REF!,17,FALSE),0)</f>
        <v>0</v>
      </c>
      <c r="AC69" s="15" t="e">
        <f>VLOOKUP(Tableau5617192223242425262827293031333432353620383961719241822254140424344104746[[#This Row],[Num Projets]],#REF!,2,FALSE)</f>
        <v>#REF!</v>
      </c>
      <c r="AD69" s="15">
        <f>IFERROR(VLOOKUP(Tableau5617192223242425262827293031333432353620383961719241822254140424344104746[[#This Row],[Num Projets]],#REF!,2,FALSE),0)</f>
        <v>0</v>
      </c>
      <c r="AE69" s="8">
        <f t="shared" ref="AE69:AE132" si="23">Z69*47.8</f>
        <v>167.29999999999998</v>
      </c>
      <c r="AF69" s="22" t="e">
        <f t="shared" ref="AF69:AF132" si="24">IF(AC69=0,0,1-((AD69+AE69)/AC69))</f>
        <v>#REF!</v>
      </c>
      <c r="AG69" s="8">
        <f>IFERROR(VLOOKUP(H69,#REF!,3,FALSE),0)+IFERROR(VLOOKUP(H69,#REF!,3,FALSE),0)</f>
        <v>0</v>
      </c>
      <c r="AH69" s="8">
        <f>IFERROR(VLOOKUP(Tableau5617192223242425262827293031333432353620383961719241822254140424344104746[[#This Row],[Num Projets]],#REF!,2,FALSE),0)</f>
        <v>0</v>
      </c>
      <c r="AI69" s="17">
        <f>+IFERROR(VLOOKUP(H69,#REF!,2,FALSE),0)-Tableau5617192223242425262827293031333432353620383961719241822254140424344104746[[#This Row],[Int Commandé OT
€]]</f>
        <v>0</v>
      </c>
      <c r="AJ69" s="8">
        <f>IFERROR(VLOOKUP(H69,#REF!,11,FALSE),0)-IFERROR(VLOOKUP(H69,#REF!,10,FALSE),0)+Tableau5617192223242425262827293031333432353620383961719241822254140424344104746[[#This Row],[dont FNP à date (€ HT)]]</f>
        <v>0</v>
      </c>
      <c r="AK69" s="15">
        <f t="shared" si="14"/>
        <v>0</v>
      </c>
      <c r="AL6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69" s="19">
        <f>IF(Tableau5617192223242425262827293031333432353620383961719241822254140424344104746[[#This Row],[RAF Achats M-1
€]]=0,0,AN69-AO69)</f>
        <v>0</v>
      </c>
      <c r="AN69" s="8">
        <f>IFERROR(VLOOKUP(H69,#REF!,31,FALSE),0)</f>
        <v>0</v>
      </c>
      <c r="AO69" s="8">
        <f>AI69+-IFERROR(VLOOKUP(H69,#REF!,27,FALSE),0)</f>
        <v>0</v>
      </c>
      <c r="AP69" s="20">
        <f>IFERROR(VLOOKUP(Tableau5617192223242425262827293031333432353620383961719241822254140424344104746[[#This Row],[Num Projets]],#REF!,2,FALSE),0)</f>
        <v>0</v>
      </c>
      <c r="AQ69" s="20">
        <f>_xlfn.XLOOKUP(H69,[2]Synth!$N:$N,[2]Synth!$O:$O,0,FALSE)+_xlfn.XLOOKUP(Tableau5617192223242425262827293031333432353620383961719241822254140424344104746[[#This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69" s="21">
        <v>0</v>
      </c>
      <c r="AS69" s="20">
        <f>+IFERROR(VLOOKUP(H69,#REF!,36,FALSE),0)</f>
        <v>0</v>
      </c>
      <c r="AT6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69" s="22">
        <f>IF(AG69=0,0,1-((AI69+AM69+Tableau5617192223242425262827293031333432353620383961719241822254140424344104746[[#This Row],[Int Commandé OT
€]]+Tableau5617192223242425262827293031333432353620383961719241822254140424344104746[[#This Row],[RAF Int OT
€]])/AG69))</f>
        <v>0</v>
      </c>
      <c r="AV69" s="8">
        <f>IFERROR(VLOOKUP(H69,#REF!,4,FALSE),0)+IFERROR(VLOOKUP(H69,#REF!,4,FALSE),0)</f>
        <v>0</v>
      </c>
      <c r="AW69" s="8">
        <f>IFERROR(VLOOKUP(Tableau5617192223242425262827293031333432353620383961719241822254140424344104746[[#This Row],[Num Projets]],#REF!,3,FALSE),0)</f>
        <v>0</v>
      </c>
      <c r="AX69" s="95">
        <f>IFERROR(VLOOKUP(Tableau5617192223242425262827293031333432353620383961719241822254140424344104746[[#This Row],[Num Projets]],#REF!,10,FALSE),0)</f>
        <v>0</v>
      </c>
      <c r="AY69" s="23">
        <f>Tableau5617192223242425262827293031333432353620383961719241822254140424344104746[[#This Row],[Budget Mission
 €]]/1.2-AX69</f>
        <v>0</v>
      </c>
      <c r="AZ69" s="8">
        <f>IFERROR(VLOOKUP(H69,#REF!,43,FALSE),0)</f>
        <v>0</v>
      </c>
      <c r="BA69" s="8">
        <f>AX69-IFERROR(VLOOKUP(H69,#REF!,42,FALSE),0)</f>
        <v>0</v>
      </c>
      <c r="BB69" s="47">
        <f t="shared" si="17"/>
        <v>0</v>
      </c>
      <c r="BC69" s="24">
        <f>IFERROR(VLOOKUP(H69,#REF!,47,FALSE),IFERROR(VLOOKUP(H69,#REF!,5,FALSE),0)+IFERROR(VLOOKUP(H69,#REF!,5,FALSE),0))</f>
        <v>0</v>
      </c>
      <c r="BD69" s="25">
        <f>IFERROR(VLOOKUP(H69,#REF!,2,FALSE),0)</f>
        <v>0</v>
      </c>
      <c r="BE69" s="25">
        <f>IFERROR(VLOOKUP(H69,#REF!,49,FALSE),0)</f>
        <v>0</v>
      </c>
      <c r="BF69" s="50" t="e">
        <f t="shared" ref="BF69:BF132" si="25">BI69*P69-BE69</f>
        <v>#REF!</v>
      </c>
      <c r="BG69" s="50">
        <f t="shared" ref="BG69:BG132" si="26">S69</f>
        <v>0</v>
      </c>
      <c r="BH69" s="27">
        <f>AE69+ (AI69-AJ69+AM69+Tableau5617192223242425262827293031333432353620383961719241822254140424344104746[[#This Row],[Int Commandé OT
€]]-Tableau5617192223242425262827293031333432353620383961719241822254140424344104746[[#This Row],[Int Réalisé OT
€]]+AR69) +AY69+BC69</f>
        <v>167.29999999999998</v>
      </c>
      <c r="BI69" s="47">
        <f>IF(BG69+BH69=0,100%,BG69/(BG69+BH69))</f>
        <v>0</v>
      </c>
      <c r="BJ69" s="47" t="e">
        <f t="shared" ref="BJ69:BJ132" si="27">IF(P69=0, 0, BD69/P69)</f>
        <v>#REF!</v>
      </c>
      <c r="BK69" s="27" t="e">
        <f t="shared" ref="BK69:BK132" si="28">IF((BI69-BJ69)&gt;0,0,(BI69-BJ69)*P69)</f>
        <v>#REF!</v>
      </c>
      <c r="BL69" s="26" t="e">
        <f t="shared" ref="BL69:BL132" si="29">IF((BI69-BJ69)&gt;0,(BI69-BJ69)*P69,0)</f>
        <v>#REF!</v>
      </c>
      <c r="BM69" s="96">
        <f>IFERROR(VLOOKUP(H69,'[1]2023dec'!H:CA,54,FALSE),105)</f>
        <v>105</v>
      </c>
      <c r="BN69" s="29">
        <v>1</v>
      </c>
      <c r="BO69" s="30" t="e">
        <f>P69-AC69-AG69-AV69-Tableau5617192223242425262827293031333432353620383961719241822254140424344104746[[#This Row],[Provisions pour risques]]</f>
        <v>#REF!</v>
      </c>
      <c r="BP6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167.29999999999998</v>
      </c>
      <c r="BQ6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69" s="97" t="e">
        <f t="shared" si="18"/>
        <v>#REF!</v>
      </c>
      <c r="BS69" s="34">
        <f>Tableau5617192223242425262827293031333432353620383961719241822254140424344104746[[#This Row],[Consommé global Enregistré à date (€ HT)]]-IFERROR(VLOOKUP(H69,#REF!,50,FALSE),0)</f>
        <v>0</v>
      </c>
      <c r="BT69" s="35" t="e">
        <f t="shared" si="19"/>
        <v>#REF!</v>
      </c>
      <c r="BU69" s="36">
        <f>BD69-IFERROR(VLOOKUP(H69,#REF!,47,FALSE),0)</f>
        <v>0</v>
      </c>
      <c r="BV69" s="37" t="e">
        <f>+BF69+Tableau5617192223242425262827293031333432353620383961719241822254140424344104746[[#This Row],[CA fin N-1]]-IFERROR(VLOOKUP(H69,#REF!,49,FALSE),0)-IFERROR(VLOOKUP(H69,#REF!,50,FALSE),0)</f>
        <v>#REF!</v>
      </c>
      <c r="BW69" s="33">
        <f>BG69-IFERROR(VLOOKUP(H69,#REF!,51,FALSE),0)</f>
        <v>0</v>
      </c>
      <c r="BX69" s="35" t="e">
        <f t="shared" si="20"/>
        <v>#REF!</v>
      </c>
      <c r="BY69" s="36">
        <f>BD69-IFERROR(VLOOKUP(H69,#REF!,48,FALSE),0)</f>
        <v>0</v>
      </c>
      <c r="BZ6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69" s="39" t="e">
        <f>VLOOKUP(Tableau5617192223242425262827293031333432353620383961719241822254140424344104746[[#This Row],[Num Projets]],#REF!,1,FALSE)</f>
        <v>#REF!</v>
      </c>
      <c r="CB69" s="40">
        <v>3.5</v>
      </c>
      <c r="CC69" s="40">
        <v>0</v>
      </c>
      <c r="CD6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-3.5</v>
      </c>
    </row>
    <row r="70" spans="1:82" s="258" customFormat="1" ht="13.5" customHeight="1" x14ac:dyDescent="0.25">
      <c r="A70" s="311" t="s">
        <v>145</v>
      </c>
      <c r="B70" s="1"/>
      <c r="C70" s="2" t="e">
        <f>_xlfn.XLOOKUP(Tableau5617192223242425262827293031333432353620383961719241822254140424344104746[[#This Row],[Num Projets]],#REF!,#REF!,FALSE)</f>
        <v>#REF!</v>
      </c>
      <c r="D70" s="3" t="s">
        <v>1</v>
      </c>
      <c r="E70" s="3" t="e">
        <f>_xlfn.XLOOKUP(Tableau5617192223242425262827293031333432353620383961719241822254140424344104746[[#This Row],[Num Projets]],#REF!,#REF!,FALSE)</f>
        <v>#REF!</v>
      </c>
      <c r="F70" s="3" t="e">
        <f>_xlfn.XLOOKUP(Tableau5617192223242425262827293031333432353620383961719241822254140424344104746[[#This Row],[Num Projets]],#REF!,#REF!,"newavr",0)</f>
        <v>#REF!</v>
      </c>
      <c r="G70" s="3" t="s">
        <v>2</v>
      </c>
      <c r="H70" s="3" t="s">
        <v>146</v>
      </c>
      <c r="I7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0" s="4" t="e">
        <f>VLOOKUP(Tableau5617192223242425262827293031333432353620383961719241822254140424344104746[[#This Row],[Num Projets]],#REF!,36,FALSE)</f>
        <v>#REF!</v>
      </c>
      <c r="K70" s="5" t="s">
        <v>4</v>
      </c>
      <c r="L7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0" s="3" t="e">
        <f>SUBSTITUTE(_xlfn.XLOOKUP(Tableau5617192223242425262827293031333432353620383961719241822254140424344104746[[#This Row],[Num Projets]],#REF!,#REF!,FALSE)," ","")</f>
        <v>#REF!</v>
      </c>
      <c r="N70" s="7" t="e">
        <f>VLOOKUP(H70,#REF!,7,FALSE)</f>
        <v>#REF!</v>
      </c>
      <c r="O70" s="7" t="e">
        <f>IF(VLOOKUP(H70,#REF!,27,FALSE)=0,"",VLOOKUP(H70,#REF!,27,FALSE))</f>
        <v>#REF!</v>
      </c>
      <c r="P70" s="8" t="e">
        <f>VLOOKUP(H70,#REF!,2,FALSE)</f>
        <v>#REF!</v>
      </c>
      <c r="Q70" s="9" t="e">
        <f>Tableau5617192223242425262827293031333432353620383961719241822254140424344104746[[#This Row],[Total Budget
€]]-IFERROR(VLOOKUP(H70,#REF!,8,FALSE),0)</f>
        <v>#REF!</v>
      </c>
      <c r="R70" s="15">
        <f>AD70+AI70+Tableau5617192223242425262827293031333432353620383961719241822254140424344104746[[#This Row],[Int Commandé OT
€]]+AX70</f>
        <v>0</v>
      </c>
      <c r="S70" s="15">
        <f>AD70+AJ70+Tableau5617192223242425262827293031333432353620383961719241822254140424344104746[[#This Row],[Int Réalisé OT
€]]+AX70</f>
        <v>32716.549999999996</v>
      </c>
      <c r="T70" s="94" t="e">
        <f t="shared" si="22"/>
        <v>#REF!</v>
      </c>
      <c r="U7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0" s="12">
        <f>IFERROR(VLOOKUP(H70,#REF!,2,FALSE),0)</f>
        <v>0</v>
      </c>
      <c r="X70" s="13">
        <f>IFERROR(VLOOKUP(H70,#REF!,2,FALSE),0)</f>
        <v>0</v>
      </c>
      <c r="Y70" s="13">
        <f>IFERROR(VLOOKUP(H70,#REF!,3,FALSE),0)</f>
        <v>0</v>
      </c>
      <c r="Z7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285.60000000000002</v>
      </c>
      <c r="AA70" s="13">
        <f>IFERROR(VLOOKUP(H70,#REF!,18,FALSE),0)</f>
        <v>0</v>
      </c>
      <c r="AB70" s="13">
        <f>SUM(X70:Y70)-IFERROR(VLOOKUP(H70,#REF!,16,FALSE),0)-IFERROR(VLOOKUP(H70,#REF!,17,FALSE),0)</f>
        <v>0</v>
      </c>
      <c r="AC70" s="15" t="e">
        <f>VLOOKUP(Tableau5617192223242425262827293031333432353620383961719241822254140424344104746[[#This Row],[Num Projets]],#REF!,2,FALSE)</f>
        <v>#REF!</v>
      </c>
      <c r="AD70" s="15">
        <f>IFERROR(VLOOKUP(Tableau5617192223242425262827293031333432353620383961719241822254140424344104746[[#This Row],[Num Projets]],#REF!,2,FALSE),0)</f>
        <v>0</v>
      </c>
      <c r="AE70" s="8">
        <f t="shared" si="23"/>
        <v>13651.68</v>
      </c>
      <c r="AF70" s="22" t="e">
        <f t="shared" si="24"/>
        <v>#REF!</v>
      </c>
      <c r="AG70" s="8">
        <f>IFERROR(VLOOKUP(H70,#REF!,3,FALSE),0)+IFERROR(VLOOKUP(H70,#REF!,3,FALSE),0)</f>
        <v>0</v>
      </c>
      <c r="AH70" s="8">
        <f>IFERROR(VLOOKUP(Tableau5617192223242425262827293031333432353620383961719241822254140424344104746[[#This Row],[Num Projets]],#REF!,2,FALSE),0)</f>
        <v>0</v>
      </c>
      <c r="AI70" s="17">
        <f>+IFERROR(VLOOKUP(H70,#REF!,2,FALSE),0)-Tableau5617192223242425262827293031333432353620383961719241822254140424344104746[[#This Row],[Int Commandé OT
€]]</f>
        <v>0</v>
      </c>
      <c r="AJ70" s="8">
        <f>IFERROR(VLOOKUP(H70,#REF!,11,FALSE),0)-IFERROR(VLOOKUP(H70,#REF!,10,FALSE),0)+Tableau5617192223242425262827293031333432353620383961719241822254140424344104746[[#This Row],[dont FNP à date (€ HT)]]</f>
        <v>0</v>
      </c>
      <c r="AK70" s="15">
        <f t="shared" ref="AK70:AK133" si="30">AI70-AJ70</f>
        <v>0</v>
      </c>
      <c r="AL7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0" s="19">
        <f>IF(Tableau5617192223242425262827293031333432353620383961719241822254140424344104746[[#This Row],[RAF Achats M-1
€]]=0,0,AN70-AO70)</f>
        <v>0</v>
      </c>
      <c r="AN70" s="8">
        <f>IFERROR(VLOOKUP(H70,#REF!,31,FALSE),0)</f>
        <v>0</v>
      </c>
      <c r="AO70" s="8">
        <f>AI70+-IFERROR(VLOOKUP(H70,#REF!,27,FALSE),0)</f>
        <v>0</v>
      </c>
      <c r="AP70" s="20">
        <f>IFERROR(VLOOKUP(Tableau5617192223242425262827293031333432353620383961719241822254140424344104746[[#This Row],[Num Projets]],#REF!,2,FALSE),0)</f>
        <v>0</v>
      </c>
      <c r="AQ70" s="20">
        <f>_xlfn.XLOOKUP(H70,[2]Synth!$N:$N,[2]Synth!$O:$O,0,FALSE)+_xlfn.XLOOKUP(Tableau5617192223242425262827293031333432353620383961719241822254140424344104746[[#This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32716.549999999996</v>
      </c>
      <c r="AR70" s="21">
        <v>0</v>
      </c>
      <c r="AS70" s="20">
        <f>+IFERROR(VLOOKUP(H70,#REF!,36,FALSE),0)</f>
        <v>0</v>
      </c>
      <c r="AT7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0" s="22">
        <f>IF(AG70=0,0,1-((AI70+AM70+Tableau5617192223242425262827293031333432353620383961719241822254140424344104746[[#This Row],[Int Commandé OT
€]]+Tableau5617192223242425262827293031333432353620383961719241822254140424344104746[[#This Row],[RAF Int OT
€]])/AG70))</f>
        <v>0</v>
      </c>
      <c r="AV70" s="8">
        <f>IFERROR(VLOOKUP(H70,#REF!,4,FALSE),0)+IFERROR(VLOOKUP(H70,#REF!,4,FALSE),0)</f>
        <v>0</v>
      </c>
      <c r="AW70" s="8">
        <f>IFERROR(VLOOKUP(Tableau5617192223242425262827293031333432353620383961719241822254140424344104746[[#This Row],[Num Projets]],#REF!,3,FALSE),0)</f>
        <v>0</v>
      </c>
      <c r="AX70" s="95">
        <f>IFERROR(VLOOKUP(Tableau5617192223242425262827293031333432353620383961719241822254140424344104746[[#This Row],[Num Projets]],#REF!,10,FALSE),0)</f>
        <v>0</v>
      </c>
      <c r="AY70" s="23">
        <v>0</v>
      </c>
      <c r="AZ70" s="8">
        <f>IFERROR(VLOOKUP(H70,#REF!,43,FALSE),0)</f>
        <v>0</v>
      </c>
      <c r="BA70" s="8">
        <f>AX70-IFERROR(VLOOKUP(H70,#REF!,42,FALSE),0)</f>
        <v>0</v>
      </c>
      <c r="BB70" s="47">
        <f t="shared" si="17"/>
        <v>0</v>
      </c>
      <c r="BC70" s="24">
        <f>IFERROR(VLOOKUP(H70,#REF!,47,FALSE),IFERROR(VLOOKUP(H70,#REF!,5,FALSE),0)+IFERROR(VLOOKUP(H70,#REF!,5,FALSE),0))</f>
        <v>0</v>
      </c>
      <c r="BD70" s="25">
        <f>IFERROR(VLOOKUP(H70,#REF!,2,FALSE),0)</f>
        <v>0</v>
      </c>
      <c r="BE70" s="25">
        <f>IFERROR(VLOOKUP(H70,#REF!,49,FALSE),0)</f>
        <v>0</v>
      </c>
      <c r="BF70" s="50" t="e">
        <f t="shared" si="25"/>
        <v>#REF!</v>
      </c>
      <c r="BG70" s="50">
        <f t="shared" si="26"/>
        <v>32716.549999999996</v>
      </c>
      <c r="BH70" s="27">
        <f>AE70+ (AI70-AJ70+AM70+Tableau5617192223242425262827293031333432353620383961719241822254140424344104746[[#This Row],[Int Commandé OT
€]]-Tableau5617192223242425262827293031333432353620383961719241822254140424344104746[[#This Row],[Int Réalisé OT
€]]+AR70) +AY70+BC70</f>
        <v>-19064.869999999995</v>
      </c>
      <c r="BI70" s="89" t="e">
        <f>IF((BG70/(BG70+BH70))&lt;VLOOKUP(Tableau5617192223242425262827293031333432353620383961719241822254140424344104746[[#This Row],[Num Projets]],#REF!,53,FALSE),VLOOKUP(Tableau5617192223242425262827293031333432353620383961719241822254140424344104746[[#This Row],[Num Projets]],#REF!,53,FALSE),BG70/(BG70+BH70))</f>
        <v>#REF!</v>
      </c>
      <c r="BJ70" s="47" t="e">
        <f t="shared" si="27"/>
        <v>#REF!</v>
      </c>
      <c r="BK70" s="27" t="e">
        <f t="shared" si="28"/>
        <v>#REF!</v>
      </c>
      <c r="BL70" s="26" t="e">
        <f t="shared" si="29"/>
        <v>#REF!</v>
      </c>
      <c r="BM70" s="96">
        <f>IFERROR(VLOOKUP(H70,'[1]2023dec'!H:CA,54,FALSE),105)</f>
        <v>105</v>
      </c>
      <c r="BN70" s="29" t="e">
        <f>Tableau5617192223242425262827293031333432353620383961719241822254140424344104746[[#This Row],[Avancement Global Financier basé sur Enregistré à date (%)]]</f>
        <v>#REF!</v>
      </c>
      <c r="BO70" s="30" t="e">
        <f>P70-AC70-AG70-AV70-Tableau5617192223242425262827293031333432353620383961719241822254140424344104746[[#This Row],[Provisions pour risques]]</f>
        <v>#REF!</v>
      </c>
      <c r="BP7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13651.68</v>
      </c>
      <c r="BQ7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70" s="97" t="e">
        <f t="shared" si="18"/>
        <v>#REF!</v>
      </c>
      <c r="BS70" s="34">
        <f>Tableau5617192223242425262827293031333432353620383961719241822254140424344104746[[#This Row],[Consommé global Enregistré à date (€ HT)]]-IFERROR(VLOOKUP(H70,#REF!,50,FALSE),0)</f>
        <v>32716.549999999996</v>
      </c>
      <c r="BT70" s="35" t="e">
        <f t="shared" si="19"/>
        <v>#REF!</v>
      </c>
      <c r="BU70" s="36">
        <f>BD70-IFERROR(VLOOKUP(H70,#REF!,47,FALSE),0)</f>
        <v>0</v>
      </c>
      <c r="BV70" s="37" t="e">
        <f>+BF70+Tableau5617192223242425262827293031333432353620383961719241822254140424344104746[[#This Row],[CA fin N-1]]-IFERROR(VLOOKUP(H70,#REF!,49,FALSE),0)-IFERROR(VLOOKUP(H70,#REF!,50,FALSE),0)</f>
        <v>#REF!</v>
      </c>
      <c r="BW70" s="33">
        <f>BG70-IFERROR(VLOOKUP(H70,#REF!,51,FALSE),0)</f>
        <v>32716.549999999996</v>
      </c>
      <c r="BX70" s="35" t="e">
        <f t="shared" si="20"/>
        <v>#REF!</v>
      </c>
      <c r="BY70" s="36">
        <f>BD70-IFERROR(VLOOKUP(H70,#REF!,48,FALSE),0)</f>
        <v>0</v>
      </c>
      <c r="BZ7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0" s="39" t="e">
        <f>VLOOKUP(Tableau5617192223242425262827293031333432353620383961719241822254140424344104746[[#This Row],[Num Projets]],#REF!,1,FALSE)</f>
        <v>#REF!</v>
      </c>
      <c r="CB70" s="40">
        <v>217.60000000000002</v>
      </c>
      <c r="CC70" s="40">
        <v>67.999999999999986</v>
      </c>
      <c r="CD7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-217.60000000000002</v>
      </c>
    </row>
    <row r="71" spans="1:82" s="258" customFormat="1" ht="13.5" customHeight="1" x14ac:dyDescent="0.25">
      <c r="A71" s="311" t="s">
        <v>147</v>
      </c>
      <c r="B71" s="1"/>
      <c r="C71" s="2" t="e">
        <f>_xlfn.XLOOKUP(Tableau5617192223242425262827293031333432353620383961719241822254140424344104746[[#This Row],[Num Projets]],#REF!,#REF!,FALSE)</f>
        <v>#REF!</v>
      </c>
      <c r="D71" s="3" t="s">
        <v>1</v>
      </c>
      <c r="E71" s="3" t="e">
        <f>_xlfn.XLOOKUP(Tableau5617192223242425262827293031333432353620383961719241822254140424344104746[[#This Row],[Num Projets]],#REF!,#REF!,FALSE)</f>
        <v>#REF!</v>
      </c>
      <c r="F71" s="3" t="e">
        <f>_xlfn.XLOOKUP(Tableau5617192223242425262827293031333432353620383961719241822254140424344104746[[#This Row],[Num Projets]],#REF!,#REF!,"newavr",0)</f>
        <v>#REF!</v>
      </c>
      <c r="G71" s="3" t="s">
        <v>2</v>
      </c>
      <c r="H71" s="3" t="s">
        <v>148</v>
      </c>
      <c r="I7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1" s="4" t="e">
        <f>VLOOKUP(Tableau5617192223242425262827293031333432353620383961719241822254140424344104746[[#This Row],[Num Projets]],#REF!,36,FALSE)</f>
        <v>#REF!</v>
      </c>
      <c r="K71" s="5" t="s">
        <v>21</v>
      </c>
      <c r="L7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1" s="3" t="e">
        <f>SUBSTITUTE(_xlfn.XLOOKUP(Tableau5617192223242425262827293031333432353620383961719241822254140424344104746[[#This Row],[Num Projets]],#REF!,#REF!,FALSE)," ","")</f>
        <v>#REF!</v>
      </c>
      <c r="N71" s="7" t="e">
        <f>VLOOKUP(H71,#REF!,7,FALSE)</f>
        <v>#REF!</v>
      </c>
      <c r="O71" s="7" t="e">
        <f>IF(VLOOKUP(H71,#REF!,27,FALSE)=0,"",VLOOKUP(H71,#REF!,27,FALSE))</f>
        <v>#REF!</v>
      </c>
      <c r="P71" s="8" t="e">
        <f>VLOOKUP(H71,#REF!,2,FALSE)</f>
        <v>#REF!</v>
      </c>
      <c r="Q71" s="9" t="e">
        <f>Tableau5617192223242425262827293031333432353620383961719241822254140424344104746[[#This Row],[Total Budget
€]]-IFERROR(VLOOKUP(H71,#REF!,8,FALSE),0)</f>
        <v>#REF!</v>
      </c>
      <c r="R71" s="15">
        <f>AD71+AI71+Tableau5617192223242425262827293031333432353620383961719241822254140424344104746[[#This Row],[Int Commandé OT
€]]+AX71</f>
        <v>0</v>
      </c>
      <c r="S71" s="15">
        <f>AD71+AJ71+Tableau5617192223242425262827293031333432353620383961719241822254140424344104746[[#This Row],[Int Réalisé OT
€]]+AX71</f>
        <v>0</v>
      </c>
      <c r="T71" s="94" t="e">
        <f t="shared" si="22"/>
        <v>#REF!</v>
      </c>
      <c r="U7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1" s="128">
        <f>IFERROR(VLOOKUP(H71,#REF!,2,FALSE),0)</f>
        <v>0</v>
      </c>
      <c r="X71" s="13">
        <f>IFERROR(VLOOKUP(H71,#REF!,2,FALSE),0)</f>
        <v>0</v>
      </c>
      <c r="Y71" s="13">
        <f>IFERROR(VLOOKUP(H71,#REF!,3,FALSE),0)</f>
        <v>0</v>
      </c>
      <c r="Z7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7.7</v>
      </c>
      <c r="AA71" s="13">
        <f>IFERROR(VLOOKUP(H71,#REF!,18,FALSE),0)</f>
        <v>0</v>
      </c>
      <c r="AB71" s="13">
        <f>SUM(X71:Y71)-IFERROR(VLOOKUP(H71,#REF!,16,FALSE),0)-IFERROR(VLOOKUP(H71,#REF!,17,FALSE),0)</f>
        <v>0</v>
      </c>
      <c r="AC71" s="15" t="e">
        <f>VLOOKUP(Tableau5617192223242425262827293031333432353620383961719241822254140424344104746[[#This Row],[Num Projets]],#REF!,2,FALSE)</f>
        <v>#REF!</v>
      </c>
      <c r="AD71" s="15">
        <f>IFERROR(VLOOKUP(Tableau5617192223242425262827293031333432353620383961719241822254140424344104746[[#This Row],[Num Projets]],#REF!,2,FALSE),0)</f>
        <v>0</v>
      </c>
      <c r="AE71" s="8">
        <f t="shared" si="23"/>
        <v>368.06</v>
      </c>
      <c r="AF71" s="22" t="e">
        <f t="shared" si="24"/>
        <v>#REF!</v>
      </c>
      <c r="AG71" s="8">
        <f>IFERROR(VLOOKUP(H71,#REF!,3,FALSE),0)+IFERROR(VLOOKUP(H71,#REF!,3,FALSE),0)</f>
        <v>0</v>
      </c>
      <c r="AH71" s="8">
        <f>IFERROR(VLOOKUP(Tableau5617192223242425262827293031333432353620383961719241822254140424344104746[[#This Row],[Num Projets]],#REF!,2,FALSE),0)</f>
        <v>0</v>
      </c>
      <c r="AI71" s="17">
        <f>+IFERROR(VLOOKUP(H71,#REF!,2,FALSE),0)-Tableau5617192223242425262827293031333432353620383961719241822254140424344104746[[#This Row],[Int Commandé OT
€]]</f>
        <v>0</v>
      </c>
      <c r="AJ71" s="8">
        <f>IFERROR(VLOOKUP(H71,#REF!,11,FALSE),0)-IFERROR(VLOOKUP(H71,#REF!,10,FALSE),0)+Tableau5617192223242425262827293031333432353620383961719241822254140424344104746[[#This Row],[dont FNP à date (€ HT)]]</f>
        <v>0</v>
      </c>
      <c r="AK71" s="15">
        <f t="shared" si="30"/>
        <v>0</v>
      </c>
      <c r="AL7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1" s="19">
        <f>IF(Tableau5617192223242425262827293031333432353620383961719241822254140424344104746[[#This Row],[RAF Achats M-1
€]]=0,0,AN71-AO71)</f>
        <v>0</v>
      </c>
      <c r="AN71" s="8">
        <f>IFERROR(VLOOKUP(H71,#REF!,31,FALSE),0)</f>
        <v>0</v>
      </c>
      <c r="AO71" s="8">
        <f>AI71+-IFERROR(VLOOKUP(H71,#REF!,27,FALSE),0)</f>
        <v>0</v>
      </c>
      <c r="AP71" s="20">
        <f>IFERROR(VLOOKUP(Tableau5617192223242425262827293031333432353620383961719241822254140424344104746[[#This Row],[Num Projets]],#REF!,2,FALSE),0)</f>
        <v>0</v>
      </c>
      <c r="AQ71" s="20">
        <f>_xlfn.XLOOKUP(H71,[2]Synth!$N:$N,[2]Synth!$O:$O,0,FALSE)+_xlfn.XLOOKUP(Tableau5617192223242425262827293031333432353620383961719241822254140424344104746[[#This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1" s="21">
        <v>0</v>
      </c>
      <c r="AS71" s="20">
        <f>+IFERROR(VLOOKUP(H71,#REF!,36,FALSE),0)</f>
        <v>0</v>
      </c>
      <c r="AT7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1" s="22">
        <f>IF(AG71=0,0,1-((AI71+AM71+Tableau5617192223242425262827293031333432353620383961719241822254140424344104746[[#This Row],[Int Commandé OT
€]]+Tableau5617192223242425262827293031333432353620383961719241822254140424344104746[[#This Row],[RAF Int OT
€]])/AG71))</f>
        <v>0</v>
      </c>
      <c r="AV71" s="8">
        <f>IFERROR(VLOOKUP(H71,#REF!,4,FALSE),0)+IFERROR(VLOOKUP(H71,#REF!,4,FALSE),0)</f>
        <v>0</v>
      </c>
      <c r="AW71" s="8">
        <f>IFERROR(VLOOKUP(Tableau5617192223242425262827293031333432353620383961719241822254140424344104746[[#This Row],[Num Projets]],#REF!,3,FALSE),0)</f>
        <v>0</v>
      </c>
      <c r="AX71" s="95">
        <f>IFERROR(VLOOKUP(Tableau5617192223242425262827293031333432353620383961719241822254140424344104746[[#This Row],[Num Projets]],#REF!,10,FALSE),0)</f>
        <v>0</v>
      </c>
      <c r="AY71" s="23">
        <f>Tableau5617192223242425262827293031333432353620383961719241822254140424344104746[[#This Row],[Budget Mission
 €]]/1.2-AX71</f>
        <v>0</v>
      </c>
      <c r="AZ71" s="8">
        <f>IFERROR(VLOOKUP(H71,#REF!,43,FALSE),0)</f>
        <v>0</v>
      </c>
      <c r="BA71" s="8">
        <f>AX71-IFERROR(VLOOKUP(H71,#REF!,42,FALSE),0)</f>
        <v>0</v>
      </c>
      <c r="BB71" s="47">
        <f t="shared" si="17"/>
        <v>0</v>
      </c>
      <c r="BC71" s="24">
        <f>IFERROR(VLOOKUP(H71,#REF!,47,FALSE),IFERROR(VLOOKUP(H71,#REF!,5,FALSE),0)+IFERROR(VLOOKUP(H71,#REF!,5,FALSE),0))</f>
        <v>0</v>
      </c>
      <c r="BD71" s="25">
        <f>IFERROR(VLOOKUP(H71,#REF!,2,FALSE),0)</f>
        <v>0</v>
      </c>
      <c r="BE71" s="25">
        <f>IFERROR(VLOOKUP(H71,#REF!,49,FALSE),0)</f>
        <v>0</v>
      </c>
      <c r="BF71" s="50" t="e">
        <f t="shared" si="25"/>
        <v>#REF!</v>
      </c>
      <c r="BG71" s="50">
        <f t="shared" si="26"/>
        <v>0</v>
      </c>
      <c r="BH71" s="27">
        <f>AE71+ (AI71-AJ71+AM71+Tableau5617192223242425262827293031333432353620383961719241822254140424344104746[[#This Row],[Int Commandé OT
€]]-Tableau5617192223242425262827293031333432353620383961719241822254140424344104746[[#This Row],[Int Réalisé OT
€]]+AR71) +AY71+BC71</f>
        <v>368.06</v>
      </c>
      <c r="BI71" s="47">
        <f>IF(BG71+BH71=0,100%,BG71/(BG71+BH71))</f>
        <v>0</v>
      </c>
      <c r="BJ71" s="47" t="e">
        <f t="shared" si="27"/>
        <v>#REF!</v>
      </c>
      <c r="BK71" s="27" t="e">
        <f t="shared" si="28"/>
        <v>#REF!</v>
      </c>
      <c r="BL71" s="26" t="e">
        <f t="shared" si="29"/>
        <v>#REF!</v>
      </c>
      <c r="BM71" s="96">
        <f>IFERROR(VLOOKUP(H71,'[1]2023dec'!H:CA,54,FALSE),105)</f>
        <v>105</v>
      </c>
      <c r="BN71" s="29">
        <v>1</v>
      </c>
      <c r="BO71" s="30" t="e">
        <f>P71-AC71-AG71-AV71-Tableau5617192223242425262827293031333432353620383961719241822254140424344104746[[#This Row],[Provisions pour risques]]</f>
        <v>#REF!</v>
      </c>
      <c r="BP7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368.06</v>
      </c>
      <c r="BQ7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71" s="97" t="e">
        <f t="shared" si="18"/>
        <v>#REF!</v>
      </c>
      <c r="BS71" s="34">
        <f>Tableau5617192223242425262827293031333432353620383961719241822254140424344104746[[#This Row],[Consommé global Enregistré à date (€ HT)]]-IFERROR(VLOOKUP(H71,#REF!,50,FALSE),0)</f>
        <v>0</v>
      </c>
      <c r="BT71" s="35" t="e">
        <f t="shared" si="19"/>
        <v>#REF!</v>
      </c>
      <c r="BU71" s="36">
        <f>BD71-IFERROR(VLOOKUP(H71,#REF!,47,FALSE),0)</f>
        <v>0</v>
      </c>
      <c r="BV71" s="37" t="e">
        <f>+BF71+Tableau5617192223242425262827293031333432353620383961719241822254140424344104746[[#This Row],[CA fin N-1]]-IFERROR(VLOOKUP(H71,#REF!,49,FALSE),0)-IFERROR(VLOOKUP(H71,#REF!,50,FALSE),0)</f>
        <v>#REF!</v>
      </c>
      <c r="BW71" s="33">
        <f>BG71-IFERROR(VLOOKUP(H71,#REF!,51,FALSE),0)</f>
        <v>0</v>
      </c>
      <c r="BX71" s="35" t="e">
        <f t="shared" si="20"/>
        <v>#REF!</v>
      </c>
      <c r="BY71" s="36">
        <f>BD71-IFERROR(VLOOKUP(H71,#REF!,48,FALSE),0)</f>
        <v>0</v>
      </c>
      <c r="BZ7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1" s="39" t="e">
        <f>VLOOKUP(Tableau5617192223242425262827293031333432353620383961719241822254140424344104746[[#This Row],[Num Projets]],#REF!,1,FALSE)</f>
        <v>#REF!</v>
      </c>
      <c r="CB71" s="40">
        <v>7.7</v>
      </c>
      <c r="CC71" s="40">
        <v>0</v>
      </c>
      <c r="CD7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-7.7</v>
      </c>
    </row>
    <row r="72" spans="1:82" s="258" customFormat="1" ht="13.5" customHeight="1" x14ac:dyDescent="0.25">
      <c r="A72" s="311" t="s">
        <v>149</v>
      </c>
      <c r="B72" s="1"/>
      <c r="C72" s="2" t="e">
        <f>_xlfn.XLOOKUP(Tableau5617192223242425262827293031333432353620383961719241822254140424344104746[[#This Row],[Num Projets]],#REF!,#REF!,FALSE)</f>
        <v>#REF!</v>
      </c>
      <c r="D72" s="3" t="s">
        <v>6</v>
      </c>
      <c r="E72" s="3" t="e">
        <f>_xlfn.XLOOKUP(Tableau5617192223242425262827293031333432353620383961719241822254140424344104746[[#This Row],[Num Projets]],#REF!,#REF!,FALSE)</f>
        <v>#REF!</v>
      </c>
      <c r="F72" s="3" t="e">
        <f>_xlfn.XLOOKUP(Tableau5617192223242425262827293031333432353620383961719241822254140424344104746[[#This Row],[Num Projets]],#REF!,#REF!,"newavr",0)</f>
        <v>#REF!</v>
      </c>
      <c r="G72" s="3" t="s">
        <v>2</v>
      </c>
      <c r="H72" s="3" t="s">
        <v>150</v>
      </c>
      <c r="I7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2" s="4" t="e">
        <f>VLOOKUP(Tableau5617192223242425262827293031333432353620383961719241822254140424344104746[[#This Row],[Num Projets]],#REF!,36,FALSE)</f>
        <v>#REF!</v>
      </c>
      <c r="K72" s="5" t="s">
        <v>9</v>
      </c>
      <c r="L7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2" s="3" t="e">
        <f>SUBSTITUTE(_xlfn.XLOOKUP(Tableau5617192223242425262827293031333432353620383961719241822254140424344104746[[#This Row],[Num Projets]],#REF!,#REF!,FALSE)," ","")</f>
        <v>#REF!</v>
      </c>
      <c r="N72" s="7" t="e">
        <f>VLOOKUP(H72,#REF!,7,FALSE)</f>
        <v>#REF!</v>
      </c>
      <c r="O72" s="7" t="e">
        <f>IF(VLOOKUP(H72,#REF!,27,FALSE)=0,"",VLOOKUP(H72,#REF!,27,FALSE))</f>
        <v>#REF!</v>
      </c>
      <c r="P72" s="8" t="e">
        <f>VLOOKUP(H72,#REF!,2,FALSE)</f>
        <v>#REF!</v>
      </c>
      <c r="Q72" s="9" t="e">
        <f>Tableau5617192223242425262827293031333432353620383961719241822254140424344104746[[#This Row],[Total Budget
€]]-IFERROR(VLOOKUP(H72,#REF!,8,FALSE),0)</f>
        <v>#REF!</v>
      </c>
      <c r="R72" s="15">
        <f>AD72+AI72+Tableau5617192223242425262827293031333432353620383961719241822254140424344104746[[#This Row],[Int Commandé OT
€]]+AX72</f>
        <v>0</v>
      </c>
      <c r="S72" s="15">
        <f>AD72+AJ72+Tableau5617192223242425262827293031333432353620383961719241822254140424344104746[[#This Row],[Int Réalisé OT
€]]+AX72</f>
        <v>0</v>
      </c>
      <c r="T72" s="94" t="e">
        <f t="shared" si="22"/>
        <v>#REF!</v>
      </c>
      <c r="U7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2" s="12">
        <f>IFERROR(VLOOKUP(H72,#REF!,2,FALSE),0)</f>
        <v>0</v>
      </c>
      <c r="X72" s="13">
        <f>IFERROR(VLOOKUP(H72,#REF!,2,FALSE),0)</f>
        <v>0</v>
      </c>
      <c r="Y72" s="13">
        <f>IFERROR(VLOOKUP(H72,#REF!,3,FALSE),0)</f>
        <v>0</v>
      </c>
      <c r="Z7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332</v>
      </c>
      <c r="AA72" s="13">
        <f>IFERROR(VLOOKUP(H72,#REF!,18,FALSE),0)</f>
        <v>0</v>
      </c>
      <c r="AB72" s="13">
        <f>SUM(X72:Y72)-IFERROR(VLOOKUP(H72,#REF!,16,FALSE),0)-IFERROR(VLOOKUP(H72,#REF!,17,FALSE),0)</f>
        <v>0</v>
      </c>
      <c r="AC72" s="15" t="e">
        <f>VLOOKUP(Tableau5617192223242425262827293031333432353620383961719241822254140424344104746[[#This Row],[Num Projets]],#REF!,2,FALSE)</f>
        <v>#REF!</v>
      </c>
      <c r="AD72" s="15">
        <f>IFERROR(VLOOKUP(Tableau5617192223242425262827293031333432353620383961719241822254140424344104746[[#This Row],[Num Projets]],#REF!,2,FALSE),0)</f>
        <v>0</v>
      </c>
      <c r="AE72" s="8">
        <f t="shared" si="23"/>
        <v>15869.599999999999</v>
      </c>
      <c r="AF72" s="22" t="e">
        <f t="shared" si="24"/>
        <v>#REF!</v>
      </c>
      <c r="AG72" s="8">
        <f>IFERROR(VLOOKUP(H72,#REF!,3,FALSE),0)+IFERROR(VLOOKUP(H72,#REF!,3,FALSE),0)</f>
        <v>0</v>
      </c>
      <c r="AH72" s="8">
        <f>IFERROR(VLOOKUP(Tableau5617192223242425262827293031333432353620383961719241822254140424344104746[[#This Row],[Num Projets]],#REF!,2,FALSE),0)</f>
        <v>0</v>
      </c>
      <c r="AI72" s="17">
        <f>+IFERROR(VLOOKUP(H72,#REF!,2,FALSE),0)-Tableau5617192223242425262827293031333432353620383961719241822254140424344104746[[#This Row],[Int Commandé OT
€]]</f>
        <v>0</v>
      </c>
      <c r="AJ72" s="8">
        <f>IFERROR(VLOOKUP(H72,#REF!,11,FALSE),0)-IFERROR(VLOOKUP(H72,#REF!,10,FALSE),0)+Tableau5617192223242425262827293031333432353620383961719241822254140424344104746[[#This Row],[dont FNP à date (€ HT)]]</f>
        <v>0</v>
      </c>
      <c r="AK72" s="15">
        <f t="shared" si="30"/>
        <v>0</v>
      </c>
      <c r="AL7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2" s="19">
        <f>IF(Tableau5617192223242425262827293031333432353620383961719241822254140424344104746[[#This Row],[RAF Achats M-1
€]]=0,0,AN72-AO72)</f>
        <v>0</v>
      </c>
      <c r="AN72" s="8">
        <f>IFERROR(VLOOKUP(H72,#REF!,31,FALSE),0)</f>
        <v>0</v>
      </c>
      <c r="AO72" s="8">
        <f>AI72+-IFERROR(VLOOKUP(H72,#REF!,27,FALSE),0)</f>
        <v>0</v>
      </c>
      <c r="AP72" s="20">
        <f>IFERROR(VLOOKUP(Tableau5617192223242425262827293031333432353620383961719241822254140424344104746[[#This Row],[Num Projets]],#REF!,2,FALSE),0)</f>
        <v>0</v>
      </c>
      <c r="AQ72" s="20">
        <f>_xlfn.XLOOKUP(H72,[2]Synth!$N:$N,[2]Synth!$O:$O,0,FALSE)+_xlfn.XLOOKUP(Tableau5617192223242425262827293031333432353620383961719241822254140424344104746[[#This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2" s="21">
        <v>0</v>
      </c>
      <c r="AS72" s="20">
        <f>+IFERROR(VLOOKUP(H72,#REF!,36,FALSE),0)</f>
        <v>0</v>
      </c>
      <c r="AT7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2" s="22">
        <f>IF(AG72=0,0,1-((AI72+AM72+Tableau5617192223242425262827293031333432353620383961719241822254140424344104746[[#This Row],[Int Commandé OT
€]]+Tableau5617192223242425262827293031333432353620383961719241822254140424344104746[[#This Row],[RAF Int OT
€]])/AG72))</f>
        <v>0</v>
      </c>
      <c r="AV72" s="8">
        <f>IFERROR(VLOOKUP(H72,#REF!,4,FALSE),0)+IFERROR(VLOOKUP(H72,#REF!,4,FALSE),0)</f>
        <v>0</v>
      </c>
      <c r="AW72" s="8">
        <f>IFERROR(VLOOKUP(Tableau5617192223242425262827293031333432353620383961719241822254140424344104746[[#This Row],[Num Projets]],#REF!,3,FALSE),0)</f>
        <v>0</v>
      </c>
      <c r="AX72" s="95">
        <f>IFERROR(VLOOKUP(Tableau5617192223242425262827293031333432353620383961719241822254140424344104746[[#This Row],[Num Projets]],#REF!,10,FALSE),0)</f>
        <v>0</v>
      </c>
      <c r="AY72" s="23">
        <f>Tableau5617192223242425262827293031333432353620383961719241822254140424344104746[[#This Row],[Budget Mission
 €]]/1.2-AX72</f>
        <v>0</v>
      </c>
      <c r="AZ72" s="8">
        <f>IFERROR(VLOOKUP(H72,#REF!,43,FALSE),0)</f>
        <v>0</v>
      </c>
      <c r="BA72" s="8">
        <f>AX72-IFERROR(VLOOKUP(H72,#REF!,42,FALSE),0)</f>
        <v>0</v>
      </c>
      <c r="BB72" s="47">
        <f t="shared" si="17"/>
        <v>0</v>
      </c>
      <c r="BC72" s="24">
        <f>IFERROR(VLOOKUP(H72,#REF!,47,FALSE),IFERROR(VLOOKUP(H72,#REF!,5,FALSE),0)+IFERROR(VLOOKUP(H72,#REF!,5,FALSE),0))</f>
        <v>0</v>
      </c>
      <c r="BD72" s="25">
        <f>IFERROR(VLOOKUP(H72,#REF!,2,FALSE),0)</f>
        <v>0</v>
      </c>
      <c r="BE72" s="25">
        <f>IFERROR(VLOOKUP(H72,#REF!,49,FALSE),0)</f>
        <v>0</v>
      </c>
      <c r="BF72" s="50" t="e">
        <f t="shared" si="25"/>
        <v>#REF!</v>
      </c>
      <c r="BG72" s="50">
        <f t="shared" si="26"/>
        <v>0</v>
      </c>
      <c r="BH72" s="27">
        <f>AE72+ (AI72-AJ72+AM72+Tableau5617192223242425262827293031333432353620383961719241822254140424344104746[[#This Row],[Int Commandé OT
€]]-Tableau5617192223242425262827293031333432353620383961719241822254140424344104746[[#This Row],[Int Réalisé OT
€]]+AR72) +AY72+BC72</f>
        <v>15869.599999999999</v>
      </c>
      <c r="BI72" s="89" t="e">
        <f>IF((BG72/(BG72+BH72))&lt;VLOOKUP(Tableau5617192223242425262827293031333432353620383961719241822254140424344104746[[#This Row],[Num Projets]],#REF!,53,FALSE),VLOOKUP(Tableau5617192223242425262827293031333432353620383961719241822254140424344104746[[#This Row],[Num Projets]],#REF!,53,FALSE),BG72/(BG72+BH72))</f>
        <v>#REF!</v>
      </c>
      <c r="BJ72" s="47" t="e">
        <f t="shared" si="27"/>
        <v>#REF!</v>
      </c>
      <c r="BK72" s="27" t="e">
        <f t="shared" si="28"/>
        <v>#REF!</v>
      </c>
      <c r="BL72" s="26" t="e">
        <f t="shared" si="29"/>
        <v>#REF!</v>
      </c>
      <c r="BM72" s="96">
        <f>IFERROR(VLOOKUP(H72,'[1]2023sep'!H:CA,54,FALSE),105)</f>
        <v>105</v>
      </c>
      <c r="BN72" s="29">
        <v>1</v>
      </c>
      <c r="BO72" s="30" t="e">
        <f>P72-AC72-AG72-AV72-Tableau5617192223242425262827293031333432353620383961719241822254140424344104746[[#This Row],[Provisions pour risques]]</f>
        <v>#REF!</v>
      </c>
      <c r="BP7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15869.599999999999</v>
      </c>
      <c r="BQ72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72" s="97" t="e">
        <f t="shared" si="18"/>
        <v>#REF!</v>
      </c>
      <c r="BS72" s="34">
        <f>Tableau5617192223242425262827293031333432353620383961719241822254140424344104746[[#This Row],[Consommé global Enregistré à date (€ HT)]]-IFERROR(VLOOKUP(H72,#REF!,50,FALSE),0)</f>
        <v>0</v>
      </c>
      <c r="BT72" s="35" t="e">
        <f t="shared" si="19"/>
        <v>#REF!</v>
      </c>
      <c r="BU72" s="36">
        <f>BD72-IFERROR(VLOOKUP(H72,#REF!,47,FALSE),0)</f>
        <v>0</v>
      </c>
      <c r="BV72" s="37" t="e">
        <f>+BF72+Tableau5617192223242425262827293031333432353620383961719241822254140424344104746[[#This Row],[CA fin N-1]]-IFERROR(VLOOKUP(H72,#REF!,49,FALSE),0)-IFERROR(VLOOKUP(H72,#REF!,50,FALSE),0)</f>
        <v>#REF!</v>
      </c>
      <c r="BW72" s="33">
        <f>BG72-IFERROR(VLOOKUP(H72,#REF!,51,FALSE),0)</f>
        <v>0</v>
      </c>
      <c r="BX72" s="35" t="e">
        <f t="shared" si="20"/>
        <v>#REF!</v>
      </c>
      <c r="BY72" s="36">
        <f>BD72-IFERROR(VLOOKUP(H72,#REF!,48,FALSE),0)</f>
        <v>0</v>
      </c>
      <c r="BZ7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2" s="39" t="e">
        <f>VLOOKUP(Tableau5617192223242425262827293031333432353620383961719241822254140424344104746[[#This Row],[Num Projets]],#REF!,1,FALSE)</f>
        <v>#REF!</v>
      </c>
      <c r="CB72" s="40">
        <v>332</v>
      </c>
      <c r="CC72" s="40">
        <v>0</v>
      </c>
      <c r="CD7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-332</v>
      </c>
    </row>
    <row r="73" spans="1:82" s="258" customFormat="1" ht="13.5" customHeight="1" x14ac:dyDescent="0.25">
      <c r="A73" s="313" t="s">
        <v>151</v>
      </c>
      <c r="B73" s="1"/>
      <c r="C73" s="2" t="e">
        <f>_xlfn.XLOOKUP(Tableau5617192223242425262827293031333432353620383961719241822254140424344104746[[#This Row],[Num Projets]],#REF!,#REF!,FALSE)</f>
        <v>#REF!</v>
      </c>
      <c r="D73" s="3" t="s">
        <v>1</v>
      </c>
      <c r="E73" s="3" t="e">
        <f>_xlfn.XLOOKUP(Tableau5617192223242425262827293031333432353620383961719241822254140424344104746[[#This Row],[Num Projets]],#REF!,#REF!,FALSE)</f>
        <v>#REF!</v>
      </c>
      <c r="F73" s="3" t="e">
        <f>_xlfn.XLOOKUP(Tableau5617192223242425262827293031333432353620383961719241822254140424344104746[[#This Row],[Num Projets]],#REF!,#REF!,"newavr",0)</f>
        <v>#REF!</v>
      </c>
      <c r="G73" s="3" t="s">
        <v>2</v>
      </c>
      <c r="H73" s="3" t="s">
        <v>152</v>
      </c>
      <c r="I7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3" s="4" t="e">
        <f>VLOOKUP(Tableau5617192223242425262827293031333432353620383961719241822254140424344104746[[#This Row],[Num Projets]],#REF!,36,FALSE)</f>
        <v>#REF!</v>
      </c>
      <c r="K73" s="5" t="s">
        <v>4</v>
      </c>
      <c r="L7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3" s="3" t="e">
        <f>SUBSTITUTE(_xlfn.XLOOKUP(Tableau5617192223242425262827293031333432353620383961719241822254140424344104746[[#This Row],[Num Projets]],#REF!,#REF!,FALSE)," ","")</f>
        <v>#REF!</v>
      </c>
      <c r="N73" s="7" t="e">
        <f>VLOOKUP(H73,#REF!,7,FALSE)</f>
        <v>#REF!</v>
      </c>
      <c r="O73" s="7" t="e">
        <f>IF(VLOOKUP(H73,#REF!,27,FALSE)=0,"",VLOOKUP(H73,#REF!,27,FALSE))</f>
        <v>#REF!</v>
      </c>
      <c r="P73" s="8" t="e">
        <f>VLOOKUP(H73,#REF!,2,FALSE)</f>
        <v>#REF!</v>
      </c>
      <c r="Q73" s="9" t="e">
        <f>Tableau5617192223242425262827293031333432353620383961719241822254140424344104746[[#This Row],[Total Budget
€]]-IFERROR(VLOOKUP(H73,#REF!,8,FALSE),0)</f>
        <v>#REF!</v>
      </c>
      <c r="R73" s="15">
        <f>AD73+AI73+Tableau5617192223242425262827293031333432353620383961719241822254140424344104746[[#This Row],[Int Commandé OT
€]]+AX73</f>
        <v>0</v>
      </c>
      <c r="S73" s="15">
        <f>AD73+AJ73+Tableau5617192223242425262827293031333432353620383961719241822254140424344104746[[#This Row],[Int Réalisé OT
€]]+AX73</f>
        <v>0</v>
      </c>
      <c r="T73" s="94" t="e">
        <f t="shared" si="22"/>
        <v>#REF!</v>
      </c>
      <c r="U7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3" s="42">
        <f>IFERROR(VLOOKUP(H73,#REF!,2,FALSE),0)+16</f>
        <v>16</v>
      </c>
      <c r="X73" s="13">
        <f>IFERROR(VLOOKUP(H73,#REF!,2,FALSE),0)</f>
        <v>0</v>
      </c>
      <c r="Y73" s="13">
        <f>IFERROR(VLOOKUP(H73,#REF!,3,FALSE),0)</f>
        <v>0</v>
      </c>
      <c r="Z7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56</v>
      </c>
      <c r="AA73" s="13">
        <f>IFERROR(VLOOKUP(H73,#REF!,18,FALSE),0)</f>
        <v>0</v>
      </c>
      <c r="AB73" s="13">
        <f>SUM(X73:Y73)-IFERROR(VLOOKUP(H73,#REF!,16,FALSE),0)-IFERROR(VLOOKUP(H73,#REF!,17,FALSE),0)</f>
        <v>0</v>
      </c>
      <c r="AC73" s="15" t="e">
        <f>VLOOKUP(Tableau5617192223242425262827293031333432353620383961719241822254140424344104746[[#This Row],[Num Projets]],#REF!,2,FALSE)+16*105</f>
        <v>#REF!</v>
      </c>
      <c r="AD73" s="15">
        <f>IFERROR(VLOOKUP(Tableau5617192223242425262827293031333432353620383961719241822254140424344104746[[#This Row],[Num Projets]],#REF!,2,FALSE),0)</f>
        <v>0</v>
      </c>
      <c r="AE73" s="8">
        <f t="shared" si="23"/>
        <v>2676.7999999999997</v>
      </c>
      <c r="AF73" s="22" t="e">
        <f t="shared" si="24"/>
        <v>#REF!</v>
      </c>
      <c r="AG73" s="41">
        <f>IFERROR(VLOOKUP(H73,#REF!,3,FALSE),0)+IFERROR(VLOOKUP(H73,#REF!,3,FALSE),0)-16*105</f>
        <v>-1680</v>
      </c>
      <c r="AH73" s="8">
        <f>IFERROR(VLOOKUP(Tableau5617192223242425262827293031333432353620383961719241822254140424344104746[[#This Row],[Num Projets]],#REF!,2,FALSE),0)</f>
        <v>0</v>
      </c>
      <c r="AI73" s="17">
        <f>+IFERROR(VLOOKUP(H73,#REF!,2,FALSE),0)-Tableau5617192223242425262827293031333432353620383961719241822254140424344104746[[#This Row],[Int Commandé OT
€]]</f>
        <v>0</v>
      </c>
      <c r="AJ73" s="8">
        <f>IFERROR(VLOOKUP(H73,#REF!,11,FALSE),0)-IFERROR(VLOOKUP(H73,#REF!,10,FALSE),0)+Tableau5617192223242425262827293031333432353620383961719241822254140424344104746[[#This Row],[dont FNP à date (€ HT)]]</f>
        <v>0</v>
      </c>
      <c r="AK73" s="15">
        <f t="shared" si="30"/>
        <v>0</v>
      </c>
      <c r="AL7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3" s="19">
        <f>IF(Tableau5617192223242425262827293031333432353620383961719241822254140424344104746[[#This Row],[RAF Achats M-1
€]]=0,0,AN73-AO73)</f>
        <v>0</v>
      </c>
      <c r="AN73" s="8">
        <f>IFERROR(VLOOKUP(H73,#REF!,31,FALSE),0)</f>
        <v>0</v>
      </c>
      <c r="AO73" s="8">
        <f>AI73+-IFERROR(VLOOKUP(H73,#REF!,27,FALSE),0)</f>
        <v>0</v>
      </c>
      <c r="AP73" s="20">
        <f>IFERROR(VLOOKUP(Tableau5617192223242425262827293031333432353620383961719241822254140424344104746[[#This Row],[Num Projets]],#REF!,2,FALSE),0)</f>
        <v>0</v>
      </c>
      <c r="AQ73" s="20">
        <f>_xlfn.XLOOKUP(H73,[2]Synth!$N:$N,[2]Synth!$O:$O,0,FALSE)+_xlfn.XLOOKUP(Tableau5617192223242425262827293031333432353620383961719241822254140424344104746[[#This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3" s="21">
        <v>0</v>
      </c>
      <c r="AS73" s="20">
        <f>+IFERROR(VLOOKUP(H73,#REF!,36,FALSE),0)</f>
        <v>0</v>
      </c>
      <c r="AT7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3" s="22">
        <f>IF(AG73=0,0,1-((AI73+AM73+Tableau5617192223242425262827293031333432353620383961719241822254140424344104746[[#This Row],[Int Commandé OT
€]]+Tableau5617192223242425262827293031333432353620383961719241822254140424344104746[[#This Row],[RAF Int OT
€]])/AG73))</f>
        <v>1</v>
      </c>
      <c r="AV73" s="8">
        <f>IFERROR(VLOOKUP(H73,#REF!,4,FALSE),0)+IFERROR(VLOOKUP(H73,#REF!,4,FALSE),0)</f>
        <v>0</v>
      </c>
      <c r="AW73" s="8">
        <f>IFERROR(VLOOKUP(Tableau5617192223242425262827293031333432353620383961719241822254140424344104746[[#This Row],[Num Projets]],#REF!,3,FALSE),0)</f>
        <v>0</v>
      </c>
      <c r="AX73" s="95">
        <f>IFERROR(VLOOKUP(Tableau5617192223242425262827293031333432353620383961719241822254140424344104746[[#This Row],[Num Projets]],#REF!,10,FALSE),0)</f>
        <v>0</v>
      </c>
      <c r="AY73" s="23">
        <f>Tableau5617192223242425262827293031333432353620383961719241822254140424344104746[[#This Row],[Budget Mission
 €]]/1.2-AX73</f>
        <v>0</v>
      </c>
      <c r="AZ73" s="8">
        <f>IFERROR(VLOOKUP(H73,#REF!,43,FALSE),0)</f>
        <v>0</v>
      </c>
      <c r="BA73" s="8">
        <f>AX73-IFERROR(VLOOKUP(H73,#REF!,42,FALSE),0)</f>
        <v>0</v>
      </c>
      <c r="BB73" s="47">
        <f t="shared" si="17"/>
        <v>0</v>
      </c>
      <c r="BC73" s="24">
        <f>IFERROR(VLOOKUP(H73,#REF!,47,FALSE),IFERROR(VLOOKUP(H73,#REF!,5,FALSE),0)+IFERROR(VLOOKUP(H73,#REF!,5,FALSE),0))</f>
        <v>0</v>
      </c>
      <c r="BD73" s="25">
        <f>IFERROR(VLOOKUP(H73,#REF!,2,FALSE),0)</f>
        <v>0</v>
      </c>
      <c r="BE73" s="25">
        <f>IFERROR(VLOOKUP(H73,#REF!,49,FALSE),0)</f>
        <v>0</v>
      </c>
      <c r="BF73" s="50" t="e">
        <f t="shared" si="25"/>
        <v>#REF!</v>
      </c>
      <c r="BG73" s="50">
        <f t="shared" si="26"/>
        <v>0</v>
      </c>
      <c r="BH73" s="27">
        <f>AE73+ (AI73-AJ73+AM73+Tableau5617192223242425262827293031333432353620383961719241822254140424344104746[[#This Row],[Int Commandé OT
€]]-Tableau5617192223242425262827293031333432353620383961719241822254140424344104746[[#This Row],[Int Réalisé OT
€]]+AR73) +AY73+BC73</f>
        <v>2676.7999999999997</v>
      </c>
      <c r="BI73" s="89" t="e">
        <f>IF((BG73/(BG73+BH73))&lt;VLOOKUP(Tableau5617192223242425262827293031333432353620383961719241822254140424344104746[[#This Row],[Num Projets]],#REF!,53,FALSE),VLOOKUP(Tableau5617192223242425262827293031333432353620383961719241822254140424344104746[[#This Row],[Num Projets]],#REF!,53,FALSE),BG73/(BG73+BH73))</f>
        <v>#REF!</v>
      </c>
      <c r="BJ73" s="47" t="e">
        <f t="shared" si="27"/>
        <v>#REF!</v>
      </c>
      <c r="BK73" s="27" t="e">
        <f t="shared" si="28"/>
        <v>#REF!</v>
      </c>
      <c r="BL73" s="26" t="e">
        <f t="shared" si="29"/>
        <v>#REF!</v>
      </c>
      <c r="BM73" s="96">
        <f>IFERROR(VLOOKUP(H73,'[1]2023sep'!H:CA,54,FALSE),105)</f>
        <v>105</v>
      </c>
      <c r="BN73" s="29" t="e">
        <f>Tableau5617192223242425262827293031333432353620383961719241822254140424344104746[[#This Row],[Avancement Global Financier basé sur Enregistré à date (%)]]</f>
        <v>#REF!</v>
      </c>
      <c r="BO73" s="30" t="e">
        <f>P73-AC73-AG73-AV73-Tableau5617192223242425262827293031333432353620383961719241822254140424344104746[[#This Row],[Provisions pour risques]]</f>
        <v>#REF!</v>
      </c>
      <c r="BP7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2676.7999999999997</v>
      </c>
      <c r="BQ7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73" s="97" t="e">
        <f t="shared" si="18"/>
        <v>#REF!</v>
      </c>
      <c r="BS73" s="34">
        <f>Tableau5617192223242425262827293031333432353620383961719241822254140424344104746[[#This Row],[Consommé global Enregistré à date (€ HT)]]-IFERROR(VLOOKUP(H73,#REF!,50,FALSE),0)</f>
        <v>0</v>
      </c>
      <c r="BT73" s="35" t="e">
        <f t="shared" si="19"/>
        <v>#REF!</v>
      </c>
      <c r="BU73" s="36">
        <f>BD73-IFERROR(VLOOKUP(H73,#REF!,47,FALSE),0)</f>
        <v>0</v>
      </c>
      <c r="BV73" s="37" t="e">
        <f>+BF73+Tableau5617192223242425262827293031333432353620383961719241822254140424344104746[[#This Row],[CA fin N-1]]-IFERROR(VLOOKUP(H73,#REF!,49,FALSE),0)-IFERROR(VLOOKUP(H73,#REF!,50,FALSE),0)</f>
        <v>#REF!</v>
      </c>
      <c r="BW73" s="33">
        <f>BG73-IFERROR(VLOOKUP(H73,#REF!,51,FALSE),0)</f>
        <v>0</v>
      </c>
      <c r="BX73" s="35" t="e">
        <f t="shared" si="20"/>
        <v>#REF!</v>
      </c>
      <c r="BY73" s="36">
        <f>BD73-IFERROR(VLOOKUP(H73,#REF!,48,FALSE),0)</f>
        <v>0</v>
      </c>
      <c r="BZ7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3" s="39" t="e">
        <f>VLOOKUP(Tableau5617192223242425262827293031333432353620383961719241822254140424344104746[[#This Row],[Num Projets]],#REF!,1,FALSE)</f>
        <v>#REF!</v>
      </c>
      <c r="CB73" s="40">
        <v>41</v>
      </c>
      <c r="CC73" s="40">
        <v>15</v>
      </c>
      <c r="CD7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-41</v>
      </c>
    </row>
    <row r="74" spans="1:82" s="258" customFormat="1" ht="13.5" customHeight="1" x14ac:dyDescent="0.25">
      <c r="A74" s="313" t="s">
        <v>153</v>
      </c>
      <c r="B74" s="1"/>
      <c r="C74" s="2" t="e">
        <f>_xlfn.XLOOKUP(Tableau5617192223242425262827293031333432353620383961719241822254140424344104746[[#This Row],[Num Projets]],#REF!,#REF!,FALSE)</f>
        <v>#REF!</v>
      </c>
      <c r="D74" s="3" t="s">
        <v>1</v>
      </c>
      <c r="E74" s="3" t="e">
        <f>_xlfn.XLOOKUP(Tableau5617192223242425262827293031333432353620383961719241822254140424344104746[[#This Row],[Num Projets]],#REF!,#REF!,FALSE)</f>
        <v>#REF!</v>
      </c>
      <c r="F74" s="3" t="s">
        <v>52</v>
      </c>
      <c r="G74" s="3" t="s">
        <v>2</v>
      </c>
      <c r="H74" s="3" t="s">
        <v>154</v>
      </c>
      <c r="I7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4" s="4" t="e">
        <f>VLOOKUP(Tableau5617192223242425262827293031333432353620383961719241822254140424344104746[[#This Row],[Num Projets]],#REF!,36,FALSE)</f>
        <v>#REF!</v>
      </c>
      <c r="K74" s="5" t="s">
        <v>4</v>
      </c>
      <c r="L7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4" s="3" t="e">
        <f>SUBSTITUTE(_xlfn.XLOOKUP(Tableau5617192223242425262827293031333432353620383961719241822254140424344104746[[#This Row],[Num Projets]],#REF!,#REF!,FALSE)," ","")</f>
        <v>#REF!</v>
      </c>
      <c r="N74" s="7" t="e">
        <f>VLOOKUP(H74,#REF!,7,FALSE)</f>
        <v>#REF!</v>
      </c>
      <c r="O74" s="7" t="e">
        <f>IF(VLOOKUP(H74,#REF!,27,FALSE)=0,"",VLOOKUP(H74,#REF!,27,FALSE))</f>
        <v>#REF!</v>
      </c>
      <c r="P74" s="8" t="e">
        <f>VLOOKUP(H74,#REF!,2,FALSE)</f>
        <v>#REF!</v>
      </c>
      <c r="Q74" s="9" t="e">
        <f>Tableau5617192223242425262827293031333432353620383961719241822254140424344104746[[#This Row],[Total Budget
€]]-IFERROR(VLOOKUP(H74,#REF!,8,FALSE),0)</f>
        <v>#REF!</v>
      </c>
      <c r="R74" s="15">
        <f>AD74+AI74+Tableau5617192223242425262827293031333432353620383961719241822254140424344104746[[#This Row],[Int Commandé OT
€]]+AX74</f>
        <v>0</v>
      </c>
      <c r="S74" s="15">
        <f>AD74+AJ74+Tableau5617192223242425262827293031333432353620383961719241822254140424344104746[[#This Row],[Int Réalisé OT
€]]+AX74</f>
        <v>0</v>
      </c>
      <c r="T74" s="94" t="e">
        <f t="shared" si="22"/>
        <v>#REF!</v>
      </c>
      <c r="U7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4" s="12">
        <f>IFERROR(VLOOKUP(H74,#REF!,2,FALSE),0)</f>
        <v>0</v>
      </c>
      <c r="X74" s="13">
        <f>IFERROR(VLOOKUP(H74,#REF!,2,FALSE),0)</f>
        <v>0</v>
      </c>
      <c r="Y74" s="13">
        <f>IFERROR(VLOOKUP(H74,#REF!,3,FALSE),0)</f>
        <v>0</v>
      </c>
      <c r="Z7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39</v>
      </c>
      <c r="AA74" s="13">
        <f>IFERROR(VLOOKUP(H74,#REF!,18,FALSE),0)</f>
        <v>0</v>
      </c>
      <c r="AB74" s="13">
        <f>SUM(X74:Y74)-IFERROR(VLOOKUP(H74,#REF!,16,FALSE),0)-IFERROR(VLOOKUP(H74,#REF!,17,FALSE),0)</f>
        <v>0</v>
      </c>
      <c r="AC74" s="15" t="e">
        <f>VLOOKUP(Tableau5617192223242425262827293031333432353620383961719241822254140424344104746[[#This Row],[Num Projets]],#REF!,2,FALSE)</f>
        <v>#REF!</v>
      </c>
      <c r="AD74" s="15">
        <f>IFERROR(VLOOKUP(Tableau5617192223242425262827293031333432353620383961719241822254140424344104746[[#This Row],[Num Projets]],#REF!,2,FALSE),0)</f>
        <v>0</v>
      </c>
      <c r="AE74" s="8">
        <f t="shared" si="23"/>
        <v>1864.1999999999998</v>
      </c>
      <c r="AF74" s="22" t="e">
        <f t="shared" si="24"/>
        <v>#REF!</v>
      </c>
      <c r="AG74" s="8">
        <f>IFERROR(VLOOKUP(H74,#REF!,3,FALSE),0)+IFERROR(VLOOKUP(H74,#REF!,3,FALSE),0)</f>
        <v>0</v>
      </c>
      <c r="AH74" s="8">
        <f>IFERROR(VLOOKUP(Tableau5617192223242425262827293031333432353620383961719241822254140424344104746[[#This Row],[Num Projets]],#REF!,2,FALSE),0)</f>
        <v>0</v>
      </c>
      <c r="AI74" s="17">
        <f>+IFERROR(VLOOKUP(H74,#REF!,2,FALSE),0)-Tableau5617192223242425262827293031333432353620383961719241822254140424344104746[[#This Row],[Int Commandé OT
€]]</f>
        <v>0</v>
      </c>
      <c r="AJ74" s="8">
        <f>IFERROR(VLOOKUP(H74,#REF!,11,FALSE),0)-IFERROR(VLOOKUP(H74,#REF!,10,FALSE),0)+Tableau5617192223242425262827293031333432353620383961719241822254140424344104746[[#This Row],[dont FNP à date (€ HT)]]</f>
        <v>0</v>
      </c>
      <c r="AK74" s="15">
        <f t="shared" si="30"/>
        <v>0</v>
      </c>
      <c r="AL7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4" s="19">
        <f>IF(Tableau5617192223242425262827293031333432353620383961719241822254140424344104746[[#This Row],[RAF Achats M-1
€]]=0,0,AN74-AO74)</f>
        <v>0</v>
      </c>
      <c r="AN74" s="8">
        <f>IFERROR(VLOOKUP(H74,#REF!,31,FALSE),0)</f>
        <v>0</v>
      </c>
      <c r="AO74" s="8">
        <f>AI74+-IFERROR(VLOOKUP(H74,#REF!,27,FALSE),0)</f>
        <v>0</v>
      </c>
      <c r="AP74" s="20">
        <f>IFERROR(VLOOKUP(Tableau5617192223242425262827293031333432353620383961719241822254140424344104746[[#This Row],[Num Projets]],#REF!,2,FALSE),0)</f>
        <v>0</v>
      </c>
      <c r="AQ74" s="20">
        <f>_xlfn.XLOOKUP(H74,[2]Synth!$N:$N,[2]Synth!$O:$O,0,FALSE)+_xlfn.XLOOKUP(Tableau5617192223242425262827293031333432353620383961719241822254140424344104746[[#This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4" s="21">
        <v>0</v>
      </c>
      <c r="AS74" s="20">
        <f>+IFERROR(VLOOKUP(H74,#REF!,36,FALSE),0)</f>
        <v>0</v>
      </c>
      <c r="AT7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4" s="22">
        <f>IF(AG74=0,0,1-((AI74+AM74+Tableau5617192223242425262827293031333432353620383961719241822254140424344104746[[#This Row],[Int Commandé OT
€]]+Tableau5617192223242425262827293031333432353620383961719241822254140424344104746[[#This Row],[RAF Int OT
€]])/AG74))</f>
        <v>0</v>
      </c>
      <c r="AV74" s="8">
        <f>IFERROR(VLOOKUP(H74,#REF!,4,FALSE),0)+IFERROR(VLOOKUP(H74,#REF!,4,FALSE),0)</f>
        <v>0</v>
      </c>
      <c r="AW74" s="8">
        <f>IFERROR(VLOOKUP(Tableau5617192223242425262827293031333432353620383961719241822254140424344104746[[#This Row],[Num Projets]],#REF!,3,FALSE),0)</f>
        <v>0</v>
      </c>
      <c r="AX74" s="95">
        <f>IFERROR(VLOOKUP(Tableau5617192223242425262827293031333432353620383961719241822254140424344104746[[#This Row],[Num Projets]],#REF!,10,FALSE),0)</f>
        <v>0</v>
      </c>
      <c r="AY74" s="23">
        <f>Tableau5617192223242425262827293031333432353620383961719241822254140424344104746[[#This Row],[Budget Mission
 €]]/1.2-AX74</f>
        <v>0</v>
      </c>
      <c r="AZ74" s="8">
        <f>IFERROR(VLOOKUP(H74,#REF!,43,FALSE),0)</f>
        <v>0</v>
      </c>
      <c r="BA74" s="8">
        <f>AX74-IFERROR(VLOOKUP(H74,#REF!,42,FALSE),0)</f>
        <v>0</v>
      </c>
      <c r="BB74" s="47">
        <f t="shared" si="17"/>
        <v>0</v>
      </c>
      <c r="BC74" s="24">
        <f>IFERROR(VLOOKUP(H74,#REF!,47,FALSE),IFERROR(VLOOKUP(H74,#REF!,5,FALSE),0)+IFERROR(VLOOKUP(H74,#REF!,5,FALSE),0))</f>
        <v>0</v>
      </c>
      <c r="BD74" s="25">
        <f>IFERROR(VLOOKUP(H74,#REF!,2,FALSE),0)</f>
        <v>0</v>
      </c>
      <c r="BE74" s="25">
        <f>IFERROR(VLOOKUP(H74,#REF!,49,FALSE),0)</f>
        <v>0</v>
      </c>
      <c r="BF74" s="50" t="e">
        <f t="shared" si="25"/>
        <v>#REF!</v>
      </c>
      <c r="BG74" s="50">
        <f t="shared" si="26"/>
        <v>0</v>
      </c>
      <c r="BH74" s="27">
        <f>AE74+ (AI74-AJ74+AM74+Tableau5617192223242425262827293031333432353620383961719241822254140424344104746[[#This Row],[Int Commandé OT
€]]-Tableau5617192223242425262827293031333432353620383961719241822254140424344104746[[#This Row],[Int Réalisé OT
€]]+AR74) +AY74+BC74</f>
        <v>1864.1999999999998</v>
      </c>
      <c r="BI74" s="47">
        <f t="shared" ref="BI74:BI87" si="31">IF(BG74+BH74=0,100%,BG74/(BG74+BH74))</f>
        <v>0</v>
      </c>
      <c r="BJ74" s="47" t="e">
        <f t="shared" si="27"/>
        <v>#REF!</v>
      </c>
      <c r="BK74" s="27" t="e">
        <f t="shared" si="28"/>
        <v>#REF!</v>
      </c>
      <c r="BL74" s="26" t="e">
        <f t="shared" si="29"/>
        <v>#REF!</v>
      </c>
      <c r="BM74" s="96">
        <f>IFERROR(VLOOKUP(H74,'[1]2023sep'!H:CA,54,FALSE),105)</f>
        <v>105</v>
      </c>
      <c r="BN74" s="29">
        <v>1</v>
      </c>
      <c r="BO74" s="30" t="e">
        <f>P74-AC74-AG74-AV74-Tableau5617192223242425262827293031333432353620383961719241822254140424344104746[[#This Row],[Provisions pour risques]]</f>
        <v>#REF!</v>
      </c>
      <c r="BP7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1864.1999999999998</v>
      </c>
      <c r="BQ7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74" s="97" t="e">
        <f t="shared" si="18"/>
        <v>#REF!</v>
      </c>
      <c r="BS74" s="34">
        <f>Tableau5617192223242425262827293031333432353620383961719241822254140424344104746[[#This Row],[Consommé global Enregistré à date (€ HT)]]-IFERROR(VLOOKUP(H74,#REF!,50,FALSE),0)</f>
        <v>0</v>
      </c>
      <c r="BT74" s="35" t="e">
        <f t="shared" si="19"/>
        <v>#REF!</v>
      </c>
      <c r="BU74" s="36">
        <f>BD74-IFERROR(VLOOKUP(H74,#REF!,47,FALSE),0)</f>
        <v>0</v>
      </c>
      <c r="BV74" s="37" t="e">
        <f>+BF74+Tableau5617192223242425262827293031333432353620383961719241822254140424344104746[[#This Row],[CA fin N-1]]-IFERROR(VLOOKUP(H74,#REF!,49,FALSE),0)-IFERROR(VLOOKUP(H74,#REF!,50,FALSE),0)</f>
        <v>#REF!</v>
      </c>
      <c r="BW74" s="33">
        <f>BG74-IFERROR(VLOOKUP(H74,#REF!,51,FALSE),0)</f>
        <v>0</v>
      </c>
      <c r="BX74" s="35" t="e">
        <f t="shared" si="20"/>
        <v>#REF!</v>
      </c>
      <c r="BY74" s="36">
        <f>BD74-IFERROR(VLOOKUP(H74,#REF!,48,FALSE),0)</f>
        <v>0</v>
      </c>
      <c r="BZ7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4" s="39" t="e">
        <f>VLOOKUP(Tableau5617192223242425262827293031333432353620383961719241822254140424344104746[[#This Row],[Num Projets]],#REF!,1,FALSE)</f>
        <v>#REF!</v>
      </c>
      <c r="CB74" s="40">
        <v>39</v>
      </c>
      <c r="CC74" s="40">
        <v>0</v>
      </c>
      <c r="CD7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-39</v>
      </c>
    </row>
    <row r="75" spans="1:82" s="258" customFormat="1" ht="13.5" customHeight="1" x14ac:dyDescent="0.25">
      <c r="A75" s="313" t="s">
        <v>155</v>
      </c>
      <c r="B75" s="1"/>
      <c r="C75" s="2" t="e">
        <f>_xlfn.XLOOKUP(Tableau5617192223242425262827293031333432353620383961719241822254140424344104746[[#This Row],[Num Projets]],#REF!,#REF!,FALSE)</f>
        <v>#REF!</v>
      </c>
      <c r="D75" s="3" t="s">
        <v>1</v>
      </c>
      <c r="E75" s="3" t="e">
        <f>_xlfn.XLOOKUP(Tableau5617192223242425262827293031333432353620383961719241822254140424344104746[[#This Row],[Num Projets]],#REF!,#REF!,FALSE)</f>
        <v>#REF!</v>
      </c>
      <c r="F75" s="3" t="e">
        <f>_xlfn.XLOOKUP(Tableau5617192223242425262827293031333432353620383961719241822254140424344104746[[#This Row],[Num Projets]],#REF!,#REF!,"newavr",0)</f>
        <v>#REF!</v>
      </c>
      <c r="G75" s="3" t="s">
        <v>2</v>
      </c>
      <c r="H75" s="3" t="s">
        <v>156</v>
      </c>
      <c r="I7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5" s="4" t="e">
        <f>VLOOKUP(Tableau5617192223242425262827293031333432353620383961719241822254140424344104746[[#This Row],[Num Projets]],#REF!,36,FALSE)</f>
        <v>#REF!</v>
      </c>
      <c r="K75" s="5" t="s">
        <v>9</v>
      </c>
      <c r="L7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5" s="3" t="e">
        <f>SUBSTITUTE(_xlfn.XLOOKUP(Tableau5617192223242425262827293031333432353620383961719241822254140424344104746[[#This Row],[Num Projets]],#REF!,#REF!,FALSE)," ","")</f>
        <v>#REF!</v>
      </c>
      <c r="N75" s="7" t="e">
        <f>VLOOKUP(H75,#REF!,7,FALSE)</f>
        <v>#REF!</v>
      </c>
      <c r="O75" s="7" t="e">
        <f>IF(VLOOKUP(H75,#REF!,27,FALSE)=0,"",VLOOKUP(H75,#REF!,27,FALSE))</f>
        <v>#REF!</v>
      </c>
      <c r="P75" s="62" t="e">
        <f>VLOOKUP(H75,#REF!,2,FALSE)+9000*75%</f>
        <v>#REF!</v>
      </c>
      <c r="Q75" s="9" t="e">
        <f>Tableau5617192223242425262827293031333432353620383961719241822254140424344104746[[#This Row],[Total Budget
€]]-IFERROR(VLOOKUP(H75,#REF!,8,FALSE),0)</f>
        <v>#REF!</v>
      </c>
      <c r="R75" s="15">
        <f>AD75+AI75+Tableau5617192223242425262827293031333432353620383961719241822254140424344104746[[#This Row],[Int Commandé OT
€]]+AX75</f>
        <v>0</v>
      </c>
      <c r="S75" s="15">
        <f>AD75+AJ75+Tableau5617192223242425262827293031333432353620383961719241822254140424344104746[[#This Row],[Int Réalisé OT
€]]+AX75</f>
        <v>37388.25</v>
      </c>
      <c r="T75" s="94" t="e">
        <f t="shared" si="22"/>
        <v>#REF!</v>
      </c>
      <c r="U7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5" s="42">
        <f>IFERROR(VLOOKUP(H75,#REF!,2,FALSE),0)+3000*75%/105</f>
        <v>21.428571428571427</v>
      </c>
      <c r="X75" s="13">
        <f>IFERROR(VLOOKUP(H75,#REF!,2,FALSE),0)</f>
        <v>0</v>
      </c>
      <c r="Y75" s="13">
        <f>IFERROR(VLOOKUP(H75,#REF!,3,FALSE),0)</f>
        <v>0</v>
      </c>
      <c r="Z7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429.59999999999997</v>
      </c>
      <c r="AA75" s="13">
        <f>IFERROR(VLOOKUP(H75,#REF!,18,FALSE),0)</f>
        <v>0</v>
      </c>
      <c r="AB75" s="13">
        <f>SUM(X75:Y75)-IFERROR(VLOOKUP(H75,#REF!,16,FALSE),0)-IFERROR(VLOOKUP(H75,#REF!,17,FALSE),0)</f>
        <v>0</v>
      </c>
      <c r="AC75" s="15" t="e">
        <f>VLOOKUP(Tableau5617192223242425262827293031333432353620383961719241822254140424344104746[[#This Row],[Num Projets]],#REF!,2,FALSE)+3000*75%</f>
        <v>#REF!</v>
      </c>
      <c r="AD75" s="15">
        <f>IFERROR(VLOOKUP(Tableau5617192223242425262827293031333432353620383961719241822254140424344104746[[#This Row],[Num Projets]],#REF!,2,FALSE),0)</f>
        <v>0</v>
      </c>
      <c r="AE75" s="8">
        <f t="shared" si="23"/>
        <v>20534.879999999997</v>
      </c>
      <c r="AF75" s="22" t="e">
        <f t="shared" si="24"/>
        <v>#REF!</v>
      </c>
      <c r="AG75" s="41">
        <f>IFERROR(VLOOKUP(H75,#REF!,3,FALSE),0)+IFERROR(VLOOKUP(H75,#REF!,3,FALSE),0)+6000*75%</f>
        <v>4500</v>
      </c>
      <c r="AH75" s="8">
        <f>IFERROR(VLOOKUP(Tableau5617192223242425262827293031333432353620383961719241822254140424344104746[[#This Row],[Num Projets]],#REF!,2,FALSE),0)</f>
        <v>0</v>
      </c>
      <c r="AI75" s="17">
        <f>+IFERROR(VLOOKUP(H75,#REF!,2,FALSE),0)-Tableau5617192223242425262827293031333432353620383961719241822254140424344104746[[#This Row],[Int Commandé OT
€]]</f>
        <v>0</v>
      </c>
      <c r="AJ75" s="8">
        <f>IFERROR(VLOOKUP(H75,#REF!,11,FALSE),0)-IFERROR(VLOOKUP(H75,#REF!,10,FALSE),0)+Tableau5617192223242425262827293031333432353620383961719241822254140424344104746[[#This Row],[dont FNP à date (€ HT)]]</f>
        <v>0</v>
      </c>
      <c r="AK75" s="15">
        <f t="shared" si="30"/>
        <v>0</v>
      </c>
      <c r="AL7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5" s="19">
        <f>IF(Tableau5617192223242425262827293031333432353620383961719241822254140424344104746[[#This Row],[RAF Achats M-1
€]]=0,0,AN75-AO75)</f>
        <v>0</v>
      </c>
      <c r="AN75" s="8">
        <f>IFERROR(VLOOKUP(H75,#REF!,31,FALSE),0)</f>
        <v>0</v>
      </c>
      <c r="AO75" s="8">
        <f>AI75+-IFERROR(VLOOKUP(H75,#REF!,27,FALSE),0)</f>
        <v>0</v>
      </c>
      <c r="AP75" s="20">
        <f>IFERROR(VLOOKUP(Tableau5617192223242425262827293031333432353620383961719241822254140424344104746[[#This Row],[Num Projets]],#REF!,2,FALSE),0)</f>
        <v>0</v>
      </c>
      <c r="AQ75" s="20">
        <f>_xlfn.XLOOKUP(H75,[2]Synth!$N:$N,[2]Synth!$O:$O,0,FALSE)+_xlfn.XLOOKUP(Tableau5617192223242425262827293031333432353620383961719241822254140424344104746[[#This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37388.25</v>
      </c>
      <c r="AR75" s="21">
        <v>0</v>
      </c>
      <c r="AS75" s="20">
        <f>+IFERROR(VLOOKUP(H75,#REF!,36,FALSE),0)</f>
        <v>0</v>
      </c>
      <c r="AT7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5" s="22">
        <f>IF(AG75=0,0,1-((AI75+AM75+Tableau5617192223242425262827293031333432353620383961719241822254140424344104746[[#This Row],[Int Commandé OT
€]]+Tableau5617192223242425262827293031333432353620383961719241822254140424344104746[[#This Row],[RAF Int OT
€]])/AG75))</f>
        <v>1</v>
      </c>
      <c r="AV75" s="8">
        <f>IFERROR(VLOOKUP(H75,#REF!,4,FALSE),0)+IFERROR(VLOOKUP(H75,#REF!,4,FALSE),0)</f>
        <v>0</v>
      </c>
      <c r="AW75" s="8">
        <f>IFERROR(VLOOKUP(Tableau5617192223242425262827293031333432353620383961719241822254140424344104746[[#This Row],[Num Projets]],#REF!,3,FALSE),0)</f>
        <v>0</v>
      </c>
      <c r="AX75" s="95">
        <f>IFERROR(VLOOKUP(Tableau5617192223242425262827293031333432353620383961719241822254140424344104746[[#This Row],[Num Projets]],#REF!,10,FALSE),0)</f>
        <v>0</v>
      </c>
      <c r="AY75" s="23">
        <v>0</v>
      </c>
      <c r="AZ75" s="8">
        <f>IFERROR(VLOOKUP(H75,#REF!,43,FALSE),0)</f>
        <v>0</v>
      </c>
      <c r="BA75" s="8">
        <f>AX75-IFERROR(VLOOKUP(H75,#REF!,42,FALSE),0)</f>
        <v>0</v>
      </c>
      <c r="BB75" s="47">
        <f t="shared" si="17"/>
        <v>0</v>
      </c>
      <c r="BC75" s="24">
        <f>IFERROR(VLOOKUP(H75,#REF!,47,FALSE),IFERROR(VLOOKUP(H75,#REF!,5,FALSE),0)+IFERROR(VLOOKUP(H75,#REF!,5,FALSE),0))</f>
        <v>0</v>
      </c>
      <c r="BD75" s="25">
        <f>IFERROR(VLOOKUP(H75,#REF!,2,FALSE),0)</f>
        <v>0</v>
      </c>
      <c r="BE75" s="25">
        <f>IFERROR(VLOOKUP(H75,#REF!,49,FALSE),0)</f>
        <v>0</v>
      </c>
      <c r="BF75" s="50" t="e">
        <f t="shared" si="25"/>
        <v>#REF!</v>
      </c>
      <c r="BG75" s="50">
        <f t="shared" si="26"/>
        <v>37388.25</v>
      </c>
      <c r="BH75" s="27">
        <f>AE75+ (AI75-AJ75+AM75+Tableau5617192223242425262827293031333432353620383961719241822254140424344104746[[#This Row],[Int Commandé OT
€]]-Tableau5617192223242425262827293031333432353620383961719241822254140424344104746[[#This Row],[Int Réalisé OT
€]]+AR75) +AY75+BC75</f>
        <v>-16853.370000000003</v>
      </c>
      <c r="BI75" s="47">
        <f t="shared" si="31"/>
        <v>1.820719186087282</v>
      </c>
      <c r="BJ75" s="47" t="e">
        <f t="shared" si="27"/>
        <v>#REF!</v>
      </c>
      <c r="BK75" s="27" t="e">
        <f t="shared" si="28"/>
        <v>#REF!</v>
      </c>
      <c r="BL75" s="26" t="e">
        <f t="shared" si="29"/>
        <v>#REF!</v>
      </c>
      <c r="BM75" s="96">
        <f>IFERROR(VLOOKUP(H75,'[1]2023sep'!H:CA,54,FALSE),105)</f>
        <v>105</v>
      </c>
      <c r="BN75" s="29">
        <v>1</v>
      </c>
      <c r="BO75" s="30" t="e">
        <f>P75-AC75-AG75-AV75-Tableau5617192223242425262827293031333432353620383961719241822254140424344104746[[#This Row],[Provisions pour risques]]</f>
        <v>#REF!</v>
      </c>
      <c r="BP7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20534.879999999997</v>
      </c>
      <c r="BQ7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1.820719186087282</v>
      </c>
      <c r="BR75" s="97" t="e">
        <f t="shared" si="18"/>
        <v>#REF!</v>
      </c>
      <c r="BS75" s="34">
        <f>Tableau5617192223242425262827293031333432353620383961719241822254140424344104746[[#This Row],[Consommé global Enregistré à date (€ HT)]]-IFERROR(VLOOKUP(H75,#REF!,50,FALSE),0)</f>
        <v>37388.25</v>
      </c>
      <c r="BT75" s="35" t="e">
        <f t="shared" si="19"/>
        <v>#REF!</v>
      </c>
      <c r="BU75" s="36">
        <f>BD75-IFERROR(VLOOKUP(H75,#REF!,47,FALSE),0)</f>
        <v>0</v>
      </c>
      <c r="BV75" s="37" t="e">
        <f>+BF75+Tableau5617192223242425262827293031333432353620383961719241822254140424344104746[[#This Row],[CA fin N-1]]-IFERROR(VLOOKUP(H75,#REF!,49,FALSE),0)-IFERROR(VLOOKUP(H75,#REF!,50,FALSE),0)</f>
        <v>#REF!</v>
      </c>
      <c r="BW75" s="33">
        <f>BG75-IFERROR(VLOOKUP(H75,#REF!,51,FALSE),0)</f>
        <v>37388.25</v>
      </c>
      <c r="BX75" s="35" t="e">
        <f t="shared" si="20"/>
        <v>#REF!</v>
      </c>
      <c r="BY75" s="36">
        <f>BD75-IFERROR(VLOOKUP(H75,#REF!,48,FALSE),0)</f>
        <v>0</v>
      </c>
      <c r="BZ7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5" s="39" t="e">
        <f>VLOOKUP(Tableau5617192223242425262827293031333432353620383961719241822254140424344104746[[#This Row],[Num Projets]],#REF!,1,FALSE)</f>
        <v>#REF!</v>
      </c>
      <c r="CB75" s="40">
        <v>429.59999999999997</v>
      </c>
      <c r="CC75" s="40">
        <v>0</v>
      </c>
      <c r="CD7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-429.59999999999997</v>
      </c>
    </row>
    <row r="76" spans="1:82" s="258" customFormat="1" ht="13.5" customHeight="1" x14ac:dyDescent="0.25">
      <c r="A76" s="311" t="s">
        <v>157</v>
      </c>
      <c r="B76" s="1"/>
      <c r="C76" s="2" t="e">
        <f>_xlfn.XLOOKUP(Tableau5617192223242425262827293031333432353620383961719241822254140424344104746[[#This Row],[Num Projets]],#REF!,#REF!,FALSE)</f>
        <v>#REF!</v>
      </c>
      <c r="D76" s="3" t="s">
        <v>6</v>
      </c>
      <c r="E76" s="3" t="e">
        <f>_xlfn.XLOOKUP(Tableau5617192223242425262827293031333432353620383961719241822254140424344104746[[#This Row],[Num Projets]],#REF!,#REF!,FALSE)</f>
        <v>#REF!</v>
      </c>
      <c r="F76" s="3" t="e">
        <f>_xlfn.XLOOKUP(Tableau5617192223242425262827293031333432353620383961719241822254140424344104746[[#This Row],[Num Projets]],#REF!,#REF!,"newavr",0)</f>
        <v>#REF!</v>
      </c>
      <c r="G76" s="3" t="s">
        <v>2</v>
      </c>
      <c r="H76" s="3" t="s">
        <v>158</v>
      </c>
      <c r="I7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6" s="4" t="e">
        <f>VLOOKUP(Tableau5617192223242425262827293031333432353620383961719241822254140424344104746[[#This Row],[Num Projets]],#REF!,36,FALSE)</f>
        <v>#REF!</v>
      </c>
      <c r="K76" s="5" t="s">
        <v>9</v>
      </c>
      <c r="L7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6" s="3" t="e">
        <f>SUBSTITUTE(_xlfn.XLOOKUP(Tableau5617192223242425262827293031333432353620383961719241822254140424344104746[[#This Row],[Num Projets]],#REF!,#REF!,FALSE)," ","")</f>
        <v>#REF!</v>
      </c>
      <c r="N76" s="7" t="e">
        <f>VLOOKUP(H76,#REF!,7,FALSE)</f>
        <v>#REF!</v>
      </c>
      <c r="O76" s="7"/>
      <c r="P76" s="41" t="e">
        <f>VLOOKUP(H76,#REF!,2,FALSE)+8057</f>
        <v>#REF!</v>
      </c>
      <c r="Q76" s="9" t="e">
        <f>Tableau5617192223242425262827293031333432353620383961719241822254140424344104746[[#This Row],[Total Budget
€]]-IFERROR(VLOOKUP(H76,#REF!,8,FALSE),0)</f>
        <v>#REF!</v>
      </c>
      <c r="R76" s="15">
        <f>AD76+AI76+Tableau5617192223242425262827293031333432353620383961719241822254140424344104746[[#This Row],[Int Commandé OT
€]]+AX76</f>
        <v>0</v>
      </c>
      <c r="S76" s="15">
        <f>AD76+AJ76+Tableau5617192223242425262827293031333432353620383961719241822254140424344104746[[#This Row],[Int Réalisé OT
€]]+AX76</f>
        <v>3200</v>
      </c>
      <c r="T76" s="94" t="e">
        <f t="shared" si="22"/>
        <v>#REF!</v>
      </c>
      <c r="U7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6" s="42" t="e">
        <f>Tableau5617192223242425262827293031333432353620383961719241822254140424344104746[[#This Row],[Budget Heures Valorisées
€]]/105</f>
        <v>#REF!</v>
      </c>
      <c r="X76" s="13">
        <f>IFERROR(VLOOKUP(H76,#REF!,2,FALSE),0)</f>
        <v>0</v>
      </c>
      <c r="Y76" s="13">
        <f>IFERROR(VLOOKUP(H76,#REF!,3,FALSE),0)</f>
        <v>0</v>
      </c>
      <c r="Z7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216.3</v>
      </c>
      <c r="AA76" s="13">
        <f>IFERROR(VLOOKUP(H76,#REF!,18,FALSE),0)</f>
        <v>0</v>
      </c>
      <c r="AB76" s="13">
        <f>SUM(X76:Y76)-IFERROR(VLOOKUP(H76,#REF!,16,FALSE),0)-IFERROR(VLOOKUP(H76,#REF!,17,FALSE),0)</f>
        <v>0</v>
      </c>
      <c r="AC76" s="15" t="e">
        <f>VLOOKUP(Tableau5617192223242425262827293031333432353620383961719241822254140424344104746[[#This Row],[Num Projets]],#REF!,2,FALSE)-3200*1.2</f>
        <v>#REF!</v>
      </c>
      <c r="AD76" s="15">
        <f>IFERROR(VLOOKUP(Tableau5617192223242425262827293031333432353620383961719241822254140424344104746[[#This Row],[Num Projets]],#REF!,2,FALSE),0)</f>
        <v>0</v>
      </c>
      <c r="AE76" s="8">
        <f t="shared" si="23"/>
        <v>10339.14</v>
      </c>
      <c r="AF76" s="22" t="e">
        <f t="shared" si="24"/>
        <v>#REF!</v>
      </c>
      <c r="AG76" s="41">
        <f>IFERROR(VLOOKUP(H76,#REF!,3,FALSE),0)+IFERROR(VLOOKUP(H76,#REF!,3,FALSE),0)+3200*1.2+8057</f>
        <v>11897</v>
      </c>
      <c r="AH76" s="8">
        <f>IFERROR(VLOOKUP(Tableau5617192223242425262827293031333432353620383961719241822254140424344104746[[#This Row],[Num Projets]],#REF!,2,FALSE),0)</f>
        <v>0</v>
      </c>
      <c r="AI76" s="17">
        <f>+IFERROR(VLOOKUP(H76,#REF!,2,FALSE),0)-Tableau5617192223242425262827293031333432353620383961719241822254140424344104746[[#This Row],[Int Commandé OT
€]]</f>
        <v>0</v>
      </c>
      <c r="AJ76" s="8">
        <f>IFERROR(VLOOKUP(H76,#REF!,11,FALSE),0)-IFERROR(VLOOKUP(H76,#REF!,10,FALSE),0)+Tableau5617192223242425262827293031333432353620383961719241822254140424344104746[[#This Row],[dont FNP à date (€ HT)]]</f>
        <v>3200</v>
      </c>
      <c r="AK76" s="23">
        <f t="shared" si="30"/>
        <v>-3200</v>
      </c>
      <c r="AL7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3200</v>
      </c>
      <c r="AM76" s="19">
        <f>IF(Tableau5617192223242425262827293031333432353620383961719241822254140424344104746[[#This Row],[RAF Achats M-1
€]]=0,0,AN76-AO76)</f>
        <v>0</v>
      </c>
      <c r="AN76" s="8">
        <f>IFERROR(VLOOKUP(H76,#REF!,31,FALSE),0)</f>
        <v>0</v>
      </c>
      <c r="AO76" s="8">
        <f>AI76+-IFERROR(VLOOKUP(H76,#REF!,27,FALSE),0)</f>
        <v>0</v>
      </c>
      <c r="AP76" s="20">
        <f>IFERROR(VLOOKUP(Tableau5617192223242425262827293031333432353620383961719241822254140424344104746[[#This Row],[Num Projets]],#REF!,2,FALSE),0)</f>
        <v>0</v>
      </c>
      <c r="AQ76" s="20">
        <f>_xlfn.XLOOKUP(H76,[2]Synth!$N:$N,[2]Synth!$O:$O,0,FALSE)+_xlfn.XLOOKUP(Tableau5617192223242425262827293031333432353620383961719241822254140424344104746[[#This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6" s="21">
        <v>0</v>
      </c>
      <c r="AS76" s="20">
        <f>+IFERROR(VLOOKUP(H76,#REF!,36,FALSE),0)</f>
        <v>0</v>
      </c>
      <c r="AT7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6" s="22">
        <f>IF(AG76=0,0,1-((AI76+AM76+Tableau5617192223242425262827293031333432353620383961719241822254140424344104746[[#This Row],[Int Commandé OT
€]]+Tableau5617192223242425262827293031333432353620383961719241822254140424344104746[[#This Row],[RAF Int OT
€]])/AG76))</f>
        <v>1</v>
      </c>
      <c r="AV76" s="8">
        <f>IFERROR(VLOOKUP(H76,#REF!,4,FALSE),0)+IFERROR(VLOOKUP(H76,#REF!,4,FALSE),0)</f>
        <v>0</v>
      </c>
      <c r="AW76" s="8">
        <f>IFERROR(VLOOKUP(Tableau5617192223242425262827293031333432353620383961719241822254140424344104746[[#This Row],[Num Projets]],#REF!,3,FALSE),0)</f>
        <v>0</v>
      </c>
      <c r="AX76" s="95">
        <f>IFERROR(VLOOKUP(Tableau5617192223242425262827293031333432353620383961719241822254140424344104746[[#This Row],[Num Projets]],#REF!,10,FALSE),0)</f>
        <v>0</v>
      </c>
      <c r="AY76" s="23">
        <f>Tableau5617192223242425262827293031333432353620383961719241822254140424344104746[[#This Row],[Budget Mission
 €]]/1.2-AX76</f>
        <v>0</v>
      </c>
      <c r="AZ76" s="8">
        <f>IFERROR(VLOOKUP(H76,#REF!,43,FALSE),0)</f>
        <v>0</v>
      </c>
      <c r="BA76" s="8">
        <f>AX76-IFERROR(VLOOKUP(H76,#REF!,42,FALSE),0)</f>
        <v>0</v>
      </c>
      <c r="BB76" s="47">
        <f t="shared" si="17"/>
        <v>0</v>
      </c>
      <c r="BC76" s="24">
        <f>IFERROR(VLOOKUP(H76,#REF!,47,FALSE),IFERROR(VLOOKUP(H76,#REF!,5,FALSE),0)+IFERROR(VLOOKUP(H76,#REF!,5,FALSE),0))</f>
        <v>0</v>
      </c>
      <c r="BD76" s="25">
        <f>IFERROR(VLOOKUP(H76,#REF!,2,FALSE),0)</f>
        <v>0</v>
      </c>
      <c r="BE76" s="25">
        <f>IFERROR(VLOOKUP(H76,#REF!,49,FALSE),0)</f>
        <v>0</v>
      </c>
      <c r="BF76" s="50" t="e">
        <f t="shared" si="25"/>
        <v>#REF!</v>
      </c>
      <c r="BG76" s="50">
        <f t="shared" si="26"/>
        <v>3200</v>
      </c>
      <c r="BH76" s="27">
        <f>AE76+ (AI76-AJ76+AM76+Tableau5617192223242425262827293031333432353620383961719241822254140424344104746[[#This Row],[Int Commandé OT
€]]-Tableau5617192223242425262827293031333432353620383961719241822254140424344104746[[#This Row],[Int Réalisé OT
€]]+AR76) +AY76+BC76</f>
        <v>7139.1399999999994</v>
      </c>
      <c r="BI76" s="47">
        <f t="shared" si="31"/>
        <v>0.30950349835672986</v>
      </c>
      <c r="BJ76" s="47" t="e">
        <f t="shared" si="27"/>
        <v>#REF!</v>
      </c>
      <c r="BK76" s="27" t="e">
        <f t="shared" si="28"/>
        <v>#REF!</v>
      </c>
      <c r="BL76" s="26" t="e">
        <f t="shared" si="29"/>
        <v>#REF!</v>
      </c>
      <c r="BM76" s="96">
        <f>IFERROR(VLOOKUP(H76,'[1]2023sep'!H:CA,54,FALSE),105)</f>
        <v>105</v>
      </c>
      <c r="BN76" s="29">
        <v>1</v>
      </c>
      <c r="BO76" s="30" t="e">
        <f>P76-AC76-AG76-AV76-Tableau5617192223242425262827293031333432353620383961719241822254140424344104746[[#This Row],[Provisions pour risques]]</f>
        <v>#REF!</v>
      </c>
      <c r="BP7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10339.14</v>
      </c>
      <c r="BQ7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0.30950349835672986</v>
      </c>
      <c r="BR76" s="97" t="e">
        <f t="shared" si="18"/>
        <v>#REF!</v>
      </c>
      <c r="BS76" s="34">
        <f>Tableau5617192223242425262827293031333432353620383961719241822254140424344104746[[#This Row],[Consommé global Enregistré à date (€ HT)]]-IFERROR(VLOOKUP(H76,#REF!,50,FALSE),0)</f>
        <v>3200</v>
      </c>
      <c r="BT76" s="35" t="e">
        <f t="shared" si="19"/>
        <v>#REF!</v>
      </c>
      <c r="BU76" s="36">
        <f>BD76-IFERROR(VLOOKUP(H76,#REF!,47,FALSE),0)</f>
        <v>0</v>
      </c>
      <c r="BV76" s="37" t="e">
        <f>+BF76+Tableau5617192223242425262827293031333432353620383961719241822254140424344104746[[#This Row],[CA fin N-1]]-IFERROR(VLOOKUP(H76,#REF!,49,FALSE),0)-IFERROR(VLOOKUP(H76,#REF!,50,FALSE),0)</f>
        <v>#REF!</v>
      </c>
      <c r="BW76" s="33">
        <f>BG76-IFERROR(VLOOKUP(H76,#REF!,51,FALSE),0)</f>
        <v>3200</v>
      </c>
      <c r="BX76" s="35" t="e">
        <f t="shared" si="20"/>
        <v>#REF!</v>
      </c>
      <c r="BY76" s="36">
        <f>BD76-IFERROR(VLOOKUP(H76,#REF!,48,FALSE),0)</f>
        <v>0</v>
      </c>
      <c r="BZ7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6" s="39" t="e">
        <f>VLOOKUP(Tableau5617192223242425262827293031333432353620383961719241822254140424344104746[[#This Row],[Num Projets]],#REF!,1,FALSE)</f>
        <v>#REF!</v>
      </c>
      <c r="CB76" s="40">
        <v>211.3</v>
      </c>
      <c r="CC76" s="40">
        <v>5</v>
      </c>
      <c r="CD7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-211.3</v>
      </c>
    </row>
    <row r="77" spans="1:82" s="258" customFormat="1" ht="13.5" customHeight="1" x14ac:dyDescent="0.25">
      <c r="A77" s="311" t="s">
        <v>159</v>
      </c>
      <c r="B77" s="1"/>
      <c r="C77" s="2" t="e">
        <f>_xlfn.XLOOKUP(Tableau5617192223242425262827293031333432353620383961719241822254140424344104746[[#This Row],[Num Projets]],#REF!,#REF!,FALSE)</f>
        <v>#REF!</v>
      </c>
      <c r="D77" s="3" t="s">
        <v>6</v>
      </c>
      <c r="E77" s="3" t="e">
        <f>_xlfn.XLOOKUP(Tableau5617192223242425262827293031333432353620383961719241822254140424344104746[[#This Row],[Num Projets]],#REF!,#REF!,FALSE)</f>
        <v>#REF!</v>
      </c>
      <c r="F77" s="3" t="e">
        <f>_xlfn.XLOOKUP(Tableau5617192223242425262827293031333432353620383961719241822254140424344104746[[#This Row],[Num Projets]],#REF!,#REF!,"newavr",0)</f>
        <v>#REF!</v>
      </c>
      <c r="G77" s="3" t="s">
        <v>2</v>
      </c>
      <c r="H77" s="3" t="s">
        <v>160</v>
      </c>
      <c r="I7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7" s="4" t="e">
        <f>VLOOKUP(Tableau5617192223242425262827293031333432353620383961719241822254140424344104746[[#This Row],[Num Projets]],#REF!,36,FALSE)</f>
        <v>#REF!</v>
      </c>
      <c r="K77" s="5" t="s">
        <v>161</v>
      </c>
      <c r="L7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7" s="3" t="e">
        <f>SUBSTITUTE(_xlfn.XLOOKUP(Tableau5617192223242425262827293031333432353620383961719241822254140424344104746[[#This Row],[Num Projets]],#REF!,#REF!,FALSE)," ","")</f>
        <v>#REF!</v>
      </c>
      <c r="N77" s="7" t="e">
        <f>VLOOKUP(H77,#REF!,7,FALSE)</f>
        <v>#REF!</v>
      </c>
      <c r="O77" s="7" t="e">
        <f>IF(VLOOKUP(H77,#REF!,27,FALSE)=0,"",VLOOKUP(H77,#REF!,27,FALSE))</f>
        <v>#REF!</v>
      </c>
      <c r="P77" s="8" t="e">
        <f>VLOOKUP(H77,#REF!,2,FALSE)</f>
        <v>#REF!</v>
      </c>
      <c r="Q77" s="9" t="e">
        <f>Tableau5617192223242425262827293031333432353620383961719241822254140424344104746[[#This Row],[Total Budget
€]]-IFERROR(VLOOKUP(H77,#REF!,8,FALSE),0)</f>
        <v>#REF!</v>
      </c>
      <c r="R77" s="15">
        <f>AD77+AI77+Tableau5617192223242425262827293031333432353620383961719241822254140424344104746[[#This Row],[Int Commandé OT
€]]+AX77</f>
        <v>0</v>
      </c>
      <c r="S77" s="15">
        <f>AD77+AJ77+Tableau5617192223242425262827293031333432353620383961719241822254140424344104746[[#This Row],[Int Réalisé OT
€]]+AX77</f>
        <v>0</v>
      </c>
      <c r="T77" s="94" t="e">
        <f t="shared" si="22"/>
        <v>#REF!</v>
      </c>
      <c r="U7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7" s="42" t="e">
        <f>Tableau5617192223242425262827293031333432353620383961719241822254140424344104746[[#This Row],[Budget Heures Valorisées
€]]/105</f>
        <v>#REF!</v>
      </c>
      <c r="X77" s="13">
        <f>IFERROR(VLOOKUP(H77,#REF!,2,FALSE),0)</f>
        <v>0</v>
      </c>
      <c r="Y77" s="13">
        <f>IFERROR(VLOOKUP(H77,#REF!,3,FALSE),0)</f>
        <v>0</v>
      </c>
      <c r="Z7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62</v>
      </c>
      <c r="AA77" s="13">
        <f>IFERROR(VLOOKUP(H77,#REF!,18,FALSE),0)</f>
        <v>0</v>
      </c>
      <c r="AB77" s="13">
        <f>SUM(X77:Y77)-IFERROR(VLOOKUP(H77,#REF!,16,FALSE),0)-IFERROR(VLOOKUP(H77,#REF!,17,FALSE),0)</f>
        <v>0</v>
      </c>
      <c r="AC77" s="15" t="e">
        <f>VLOOKUP(Tableau5617192223242425262827293031333432353620383961719241822254140424344104746[[#This Row],[Num Projets]],#REF!,2,FALSE)-Tableau5617192223242425262827293031333432353620383961719241822254140424344104746[[#This Row],[Budget Achat HT
€]]-Tableau5617192223242425262827293031333432353620383961719241822254140424344104746[[#This Row],[Budget Mission
 €]]</f>
        <v>#REF!</v>
      </c>
      <c r="AD77" s="15">
        <f>IFERROR(VLOOKUP(Tableau5617192223242425262827293031333432353620383961719241822254140424344104746[[#This Row],[Num Projets]],#REF!,2,FALSE),0)</f>
        <v>0</v>
      </c>
      <c r="AE77" s="8">
        <f t="shared" si="23"/>
        <v>2963.6</v>
      </c>
      <c r="AF77" s="22" t="e">
        <f t="shared" si="24"/>
        <v>#REF!</v>
      </c>
      <c r="AG77" s="41">
        <v>3100</v>
      </c>
      <c r="AH77" s="8">
        <f>IFERROR(VLOOKUP(Tableau5617192223242425262827293031333432353620383961719241822254140424344104746[[#This Row],[Num Projets]],#REF!,2,FALSE),0)</f>
        <v>0</v>
      </c>
      <c r="AI77" s="17">
        <f>+IFERROR(VLOOKUP(H77,#REF!,2,FALSE),0)-Tableau5617192223242425262827293031333432353620383961719241822254140424344104746[[#This Row],[Int Commandé OT
€]]</f>
        <v>0</v>
      </c>
      <c r="AJ77" s="8">
        <f>IFERROR(VLOOKUP(H77,#REF!,11,FALSE),0)-IFERROR(VLOOKUP(H77,#REF!,10,FALSE),0)+Tableau5617192223242425262827293031333432353620383961719241822254140424344104746[[#This Row],[dont FNP à date (€ HT)]]</f>
        <v>0</v>
      </c>
      <c r="AK77" s="15">
        <f t="shared" si="30"/>
        <v>0</v>
      </c>
      <c r="AL7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7" s="19">
        <f>IF(Tableau5617192223242425262827293031333432353620383961719241822254140424344104746[[#This Row],[RAF Achats M-1
€]]=0,0,AN77-AO77)</f>
        <v>0</v>
      </c>
      <c r="AN77" s="8">
        <f>IFERROR(VLOOKUP(H77,#REF!,31,FALSE),0)</f>
        <v>0</v>
      </c>
      <c r="AO77" s="8">
        <f>AI77+-IFERROR(VLOOKUP(H77,#REF!,27,FALSE),0)</f>
        <v>0</v>
      </c>
      <c r="AP77" s="20">
        <f>IFERROR(VLOOKUP(Tableau5617192223242425262827293031333432353620383961719241822254140424344104746[[#This Row],[Num Projets]],#REF!,2,FALSE),0)</f>
        <v>0</v>
      </c>
      <c r="AQ77" s="20">
        <f>_xlfn.XLOOKUP(H77,[2]Synth!$N:$N,[2]Synth!$O:$O,0,FALSE)+_xlfn.XLOOKUP(Tableau5617192223242425262827293031333432353620383961719241822254140424344104746[[#This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7" s="21">
        <v>0</v>
      </c>
      <c r="AS77" s="20">
        <f>+IFERROR(VLOOKUP(H77,#REF!,36,FALSE),0)</f>
        <v>0</v>
      </c>
      <c r="AT7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7" s="22">
        <f>IF(AG77=0,0,1-((AI77+AM77+Tableau5617192223242425262827293031333432353620383961719241822254140424344104746[[#This Row],[Int Commandé OT
€]]+Tableau5617192223242425262827293031333432353620383961719241822254140424344104746[[#This Row],[RAF Int OT
€]])/AG77))</f>
        <v>1</v>
      </c>
      <c r="AV77" s="41">
        <v>400</v>
      </c>
      <c r="AW77" s="8">
        <f>IFERROR(VLOOKUP(Tableau5617192223242425262827293031333432353620383961719241822254140424344104746[[#This Row],[Num Projets]],#REF!,3,FALSE),0)</f>
        <v>0</v>
      </c>
      <c r="AX77" s="95">
        <f>IFERROR(VLOOKUP(Tableau5617192223242425262827293031333432353620383961719241822254140424344104746[[#This Row],[Num Projets]],#REF!,10,FALSE),0)</f>
        <v>0</v>
      </c>
      <c r="AY77" s="23">
        <f>Tableau5617192223242425262827293031333432353620383961719241822254140424344104746[[#This Row],[RAF Mission M-1
€]]-Tableau5617192223242425262827293031333432353620383961719241822254140424344104746[[#This Row],[Ecart Mission vs M-1
€]]</f>
        <v>0</v>
      </c>
      <c r="AZ77" s="8">
        <f>IFERROR(VLOOKUP(H77,#REF!,43,FALSE),0)</f>
        <v>0</v>
      </c>
      <c r="BA77" s="8">
        <f>AX77-IFERROR(VLOOKUP(H77,#REF!,42,FALSE),0)</f>
        <v>0</v>
      </c>
      <c r="BB77" s="47">
        <f t="shared" si="17"/>
        <v>1</v>
      </c>
      <c r="BC77" s="24">
        <f>IFERROR(VLOOKUP(H77,#REF!,47,FALSE),IFERROR(VLOOKUP(H77,#REF!,5,FALSE),0)+IFERROR(VLOOKUP(H77,#REF!,5,FALSE),0))</f>
        <v>0</v>
      </c>
      <c r="BD77" s="25">
        <f>IFERROR(VLOOKUP(H77,#REF!,2,FALSE),0)</f>
        <v>0</v>
      </c>
      <c r="BE77" s="25">
        <f>IFERROR(VLOOKUP(H77,#REF!,49,FALSE),0)</f>
        <v>0</v>
      </c>
      <c r="BF77" s="50" t="e">
        <f t="shared" si="25"/>
        <v>#REF!</v>
      </c>
      <c r="BG77" s="50">
        <f t="shared" si="26"/>
        <v>0</v>
      </c>
      <c r="BH77" s="27">
        <f>AE77+ (AI77-AJ77+AM77+Tableau5617192223242425262827293031333432353620383961719241822254140424344104746[[#This Row],[Int Commandé OT
€]]-Tableau5617192223242425262827293031333432353620383961719241822254140424344104746[[#This Row],[Int Réalisé OT
€]]+AR77) +AY77+BC77</f>
        <v>2963.6</v>
      </c>
      <c r="BI77" s="47">
        <f t="shared" si="31"/>
        <v>0</v>
      </c>
      <c r="BJ77" s="47" t="e">
        <f t="shared" si="27"/>
        <v>#REF!</v>
      </c>
      <c r="BK77" s="27" t="e">
        <f t="shared" si="28"/>
        <v>#REF!</v>
      </c>
      <c r="BL77" s="26" t="e">
        <f t="shared" si="29"/>
        <v>#REF!</v>
      </c>
      <c r="BM77" s="96">
        <f>IFERROR(VLOOKUP(H77,'[1]2023sep'!H:CA,54,FALSE),105)</f>
        <v>105</v>
      </c>
      <c r="BN77" s="29">
        <v>1</v>
      </c>
      <c r="BO77" s="30" t="e">
        <f>P77-AC77-AG77-AV77-Tableau5617192223242425262827293031333432353620383961719241822254140424344104746[[#This Row],[Provisions pour risques]]</f>
        <v>#REF!</v>
      </c>
      <c r="BP7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2963.6</v>
      </c>
      <c r="BQ7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77" s="97" t="e">
        <f t="shared" si="18"/>
        <v>#REF!</v>
      </c>
      <c r="BS77" s="34">
        <f>Tableau5617192223242425262827293031333432353620383961719241822254140424344104746[[#This Row],[Consommé global Enregistré à date (€ HT)]]-IFERROR(VLOOKUP(H77,#REF!,50,FALSE),0)</f>
        <v>0</v>
      </c>
      <c r="BT77" s="35" t="e">
        <f t="shared" si="19"/>
        <v>#REF!</v>
      </c>
      <c r="BU77" s="36">
        <f>BD77-IFERROR(VLOOKUP(H77,#REF!,47,FALSE),0)</f>
        <v>0</v>
      </c>
      <c r="BV77" s="37" t="e">
        <f>+BF77+Tableau5617192223242425262827293031333432353620383961719241822254140424344104746[[#This Row],[CA fin N-1]]-IFERROR(VLOOKUP(H77,#REF!,49,FALSE),0)-IFERROR(VLOOKUP(H77,#REF!,50,FALSE),0)</f>
        <v>#REF!</v>
      </c>
      <c r="BW77" s="33">
        <f>BG77-IFERROR(VLOOKUP(H77,#REF!,51,FALSE),0)</f>
        <v>0</v>
      </c>
      <c r="BX77" s="35" t="e">
        <f t="shared" si="20"/>
        <v>#REF!</v>
      </c>
      <c r="BY77" s="36">
        <f>BD77-IFERROR(VLOOKUP(H77,#REF!,48,FALSE),0)</f>
        <v>0</v>
      </c>
      <c r="BZ7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7" s="39" t="e">
        <f>VLOOKUP(Tableau5617192223242425262827293031333432353620383961719241822254140424344104746[[#This Row],[Num Projets]],#REF!,1,FALSE)</f>
        <v>#REF!</v>
      </c>
      <c r="CB77" s="40">
        <v>24</v>
      </c>
      <c r="CC77" s="40">
        <v>38</v>
      </c>
      <c r="CD7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-24</v>
      </c>
    </row>
    <row r="78" spans="1:82" s="258" customFormat="1" ht="13.5" customHeight="1" x14ac:dyDescent="0.25">
      <c r="A78" s="311" t="s">
        <v>162</v>
      </c>
      <c r="B78" s="1"/>
      <c r="C78" s="2" t="e">
        <f>_xlfn.XLOOKUP(Tableau5617192223242425262827293031333432353620383961719241822254140424344104746[[#This Row],[Num Projets]],#REF!,#REF!,FALSE)</f>
        <v>#REF!</v>
      </c>
      <c r="D78" s="3" t="s">
        <v>6</v>
      </c>
      <c r="E78" s="3" t="e">
        <f>_xlfn.XLOOKUP(Tableau5617192223242425262827293031333432353620383961719241822254140424344104746[[#This Row],[Num Projets]],#REF!,#REF!,FALSE)</f>
        <v>#REF!</v>
      </c>
      <c r="F78" s="3" t="e">
        <f>_xlfn.XLOOKUP(Tableau5617192223242425262827293031333432353620383961719241822254140424344104746[[#This Row],[Num Projets]],#REF!,#REF!,"newavr",0)</f>
        <v>#REF!</v>
      </c>
      <c r="G78" s="3" t="s">
        <v>2</v>
      </c>
      <c r="H78" s="3" t="s">
        <v>163</v>
      </c>
      <c r="I7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8" s="4" t="e">
        <f>VLOOKUP(Tableau5617192223242425262827293031333432353620383961719241822254140424344104746[[#This Row],[Num Projets]],#REF!,36,FALSE)</f>
        <v>#REF!</v>
      </c>
      <c r="K78" s="5" t="s">
        <v>9</v>
      </c>
      <c r="L7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8" s="3" t="e">
        <f>SUBSTITUTE(_xlfn.XLOOKUP(Tableau5617192223242425262827293031333432353620383961719241822254140424344104746[[#This Row],[Num Projets]],#REF!,#REF!,FALSE)," ","")</f>
        <v>#REF!</v>
      </c>
      <c r="N78" s="7" t="e">
        <f>VLOOKUP(H78,#REF!,7,FALSE)</f>
        <v>#REF!</v>
      </c>
      <c r="O78" s="7" t="e">
        <f>IF(VLOOKUP(H78,#REF!,27,FALSE)=0,"",VLOOKUP(H78,#REF!,27,FALSE))</f>
        <v>#REF!</v>
      </c>
      <c r="P78" s="8" t="e">
        <f>VLOOKUP(H78,#REF!,2,FALSE)</f>
        <v>#REF!</v>
      </c>
      <c r="Q78" s="9" t="e">
        <f>Tableau5617192223242425262827293031333432353620383961719241822254140424344104746[[#This Row],[Total Budget
€]]-IFERROR(VLOOKUP(H78,#REF!,8,FALSE),0)</f>
        <v>#REF!</v>
      </c>
      <c r="R78" s="15">
        <f>AD78+AI78+Tableau5617192223242425262827293031333432353620383961719241822254140424344104746[[#This Row],[Int Commandé OT
€]]+AX78</f>
        <v>0</v>
      </c>
      <c r="S78" s="15">
        <f>AD78+AJ78+Tableau5617192223242425262827293031333432353620383961719241822254140424344104746[[#This Row],[Int Réalisé OT
€]]+AX78</f>
        <v>2160</v>
      </c>
      <c r="T78" s="94" t="e">
        <f t="shared" si="22"/>
        <v>#REF!</v>
      </c>
      <c r="U7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8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8" s="12">
        <f>IFERROR(VLOOKUP(H78,#REF!,2,FALSE),0)</f>
        <v>0</v>
      </c>
      <c r="X78" s="13">
        <f>IFERROR(VLOOKUP(H78,#REF!,2,FALSE),0)</f>
        <v>0</v>
      </c>
      <c r="Y78" s="13">
        <f>IFERROR(VLOOKUP(H78,#REF!,3,FALSE),0)</f>
        <v>0</v>
      </c>
      <c r="Z7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45</v>
      </c>
      <c r="AA78" s="13">
        <f>IFERROR(VLOOKUP(H78,#REF!,18,FALSE),0)</f>
        <v>0</v>
      </c>
      <c r="AB78" s="13">
        <f>SUM(X78:Y78)-IFERROR(VLOOKUP(H78,#REF!,16,FALSE),0)-IFERROR(VLOOKUP(H78,#REF!,17,FALSE),0)</f>
        <v>0</v>
      </c>
      <c r="AC78" s="15" t="e">
        <f>VLOOKUP(Tableau5617192223242425262827293031333432353620383961719241822254140424344104746[[#This Row],[Num Projets]],#REF!,2,FALSE)</f>
        <v>#REF!</v>
      </c>
      <c r="AD78" s="15">
        <f>IFERROR(VLOOKUP(Tableau5617192223242425262827293031333432353620383961719241822254140424344104746[[#This Row],[Num Projets]],#REF!,2,FALSE),0)</f>
        <v>0</v>
      </c>
      <c r="AE78" s="8">
        <f t="shared" si="23"/>
        <v>2151</v>
      </c>
      <c r="AF78" s="22" t="e">
        <f t="shared" si="24"/>
        <v>#REF!</v>
      </c>
      <c r="AG78" s="8">
        <f>IFERROR(VLOOKUP(H78,#REF!,3,FALSE),0)+IFERROR(VLOOKUP(H78,#REF!,3,FALSE),0)</f>
        <v>0</v>
      </c>
      <c r="AH78" s="8">
        <f>IFERROR(VLOOKUP(Tableau5617192223242425262827293031333432353620383961719241822254140424344104746[[#This Row],[Num Projets]],#REF!,2,FALSE),0)</f>
        <v>0</v>
      </c>
      <c r="AI78" s="17">
        <f>+IFERROR(VLOOKUP(H78,#REF!,2,FALSE),0)-Tableau5617192223242425262827293031333432353620383961719241822254140424344104746[[#This Row],[Int Commandé OT
€]]</f>
        <v>0</v>
      </c>
      <c r="AJ78" s="8">
        <f>IFERROR(VLOOKUP(H78,#REF!,11,FALSE),0)-IFERROR(VLOOKUP(H78,#REF!,10,FALSE),0)+Tableau5617192223242425262827293031333432353620383961719241822254140424344104746[[#This Row],[dont FNP à date (€ HT)]]</f>
        <v>2160</v>
      </c>
      <c r="AK78" s="23">
        <f t="shared" si="30"/>
        <v>-2160</v>
      </c>
      <c r="AL7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2160</v>
      </c>
      <c r="AM78" s="19">
        <f>IF(Tableau5617192223242425262827293031333432353620383961719241822254140424344104746[[#This Row],[RAF Achats M-1
€]]=0,0,AN78-AO78)</f>
        <v>0</v>
      </c>
      <c r="AN78" s="8">
        <f>IFERROR(VLOOKUP(H78,#REF!,31,FALSE),0)</f>
        <v>0</v>
      </c>
      <c r="AO78" s="8">
        <f>AI78+-IFERROR(VLOOKUP(H78,#REF!,27,FALSE),0)</f>
        <v>0</v>
      </c>
      <c r="AP78" s="20">
        <f>IFERROR(VLOOKUP(Tableau5617192223242425262827293031333432353620383961719241822254140424344104746[[#This Row],[Num Projets]],#REF!,2,FALSE),0)</f>
        <v>0</v>
      </c>
      <c r="AQ78" s="20">
        <f>_xlfn.XLOOKUP(H78,[2]Synth!$N:$N,[2]Synth!$O:$O,0,FALSE)+_xlfn.XLOOKUP(Tableau5617192223242425262827293031333432353620383961719241822254140424344104746[[#This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78" s="21">
        <v>0</v>
      </c>
      <c r="AS78" s="20">
        <f>+IFERROR(VLOOKUP(H78,#REF!,36,FALSE),0)</f>
        <v>0</v>
      </c>
      <c r="AT7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8" s="22">
        <f>IF(AG78=0,0,1-((AI78+AM78+Tableau5617192223242425262827293031333432353620383961719241822254140424344104746[[#This Row],[Int Commandé OT
€]]+Tableau5617192223242425262827293031333432353620383961719241822254140424344104746[[#This Row],[RAF Int OT
€]])/AG78))</f>
        <v>0</v>
      </c>
      <c r="AV78" s="8">
        <f>IFERROR(VLOOKUP(H78,#REF!,4,FALSE),0)+IFERROR(VLOOKUP(H78,#REF!,4,FALSE),0)</f>
        <v>0</v>
      </c>
      <c r="AW78" s="8">
        <f>IFERROR(VLOOKUP(Tableau5617192223242425262827293031333432353620383961719241822254140424344104746[[#This Row],[Num Projets]],#REF!,3,FALSE),0)</f>
        <v>0</v>
      </c>
      <c r="AX78" s="95">
        <f>IFERROR(VLOOKUP(Tableau5617192223242425262827293031333432353620383961719241822254140424344104746[[#This Row],[Num Projets]],#REF!,10,FALSE),0)</f>
        <v>0</v>
      </c>
      <c r="AY78" s="23">
        <f>Tableau5617192223242425262827293031333432353620383961719241822254140424344104746[[#This Row],[Budget Mission
 €]]/1.2-AX78</f>
        <v>0</v>
      </c>
      <c r="AZ78" s="8">
        <f>IFERROR(VLOOKUP(H78,#REF!,43,FALSE),0)</f>
        <v>0</v>
      </c>
      <c r="BA78" s="8">
        <f>AX78-IFERROR(VLOOKUP(H78,#REF!,42,FALSE),0)</f>
        <v>0</v>
      </c>
      <c r="BB78" s="47">
        <f t="shared" si="17"/>
        <v>0</v>
      </c>
      <c r="BC78" s="24">
        <f>IFERROR(VLOOKUP(H78,#REF!,47,FALSE),IFERROR(VLOOKUP(H78,#REF!,5,FALSE),0)+IFERROR(VLOOKUP(H78,#REF!,5,FALSE),0))</f>
        <v>0</v>
      </c>
      <c r="BD78" s="25">
        <f>IFERROR(VLOOKUP(H78,#REF!,2,FALSE),0)</f>
        <v>0</v>
      </c>
      <c r="BE78" s="25">
        <f>IFERROR(VLOOKUP(H78,#REF!,49,FALSE),0)</f>
        <v>0</v>
      </c>
      <c r="BF78" s="50" t="e">
        <f t="shared" si="25"/>
        <v>#REF!</v>
      </c>
      <c r="BG78" s="50">
        <f t="shared" si="26"/>
        <v>2160</v>
      </c>
      <c r="BH78" s="27">
        <f>AE78+ (AI78-AJ78+AM78+Tableau5617192223242425262827293031333432353620383961719241822254140424344104746[[#This Row],[Int Commandé OT
€]]-Tableau5617192223242425262827293031333432353620383961719241822254140424344104746[[#This Row],[Int Réalisé OT
€]]+AR78) +AY78+BC78</f>
        <v>-9</v>
      </c>
      <c r="BI78" s="47">
        <f t="shared" si="31"/>
        <v>1.00418410041841</v>
      </c>
      <c r="BJ78" s="47" t="e">
        <f t="shared" si="27"/>
        <v>#REF!</v>
      </c>
      <c r="BK78" s="27" t="e">
        <f t="shared" si="28"/>
        <v>#REF!</v>
      </c>
      <c r="BL78" s="26" t="e">
        <f t="shared" si="29"/>
        <v>#REF!</v>
      </c>
      <c r="BM78" s="96">
        <f>IFERROR(VLOOKUP(H78,'[1]2023sep'!H:CA,54,FALSE),105)</f>
        <v>105</v>
      </c>
      <c r="BN78" s="29">
        <v>1</v>
      </c>
      <c r="BO78" s="30" t="e">
        <f>P78-AC78-AG78-AV78-Tableau5617192223242425262827293031333432353620383961719241822254140424344104746[[#This Row],[Provisions pour risques]]</f>
        <v>#REF!</v>
      </c>
      <c r="BP7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2151</v>
      </c>
      <c r="BQ7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1.00418410041841</v>
      </c>
      <c r="BR78" s="97" t="e">
        <f t="shared" si="18"/>
        <v>#REF!</v>
      </c>
      <c r="BS78" s="34">
        <f>Tableau5617192223242425262827293031333432353620383961719241822254140424344104746[[#This Row],[Consommé global Enregistré à date (€ HT)]]-IFERROR(VLOOKUP(H78,#REF!,50,FALSE),0)</f>
        <v>2160</v>
      </c>
      <c r="BT78" s="35" t="e">
        <f t="shared" si="19"/>
        <v>#REF!</v>
      </c>
      <c r="BU78" s="36">
        <f>BD78-IFERROR(VLOOKUP(H78,#REF!,47,FALSE),0)</f>
        <v>0</v>
      </c>
      <c r="BV78" s="37" t="e">
        <f>+BF78+Tableau5617192223242425262827293031333432353620383961719241822254140424344104746[[#This Row],[CA fin N-1]]-IFERROR(VLOOKUP(H78,#REF!,49,FALSE),0)-IFERROR(VLOOKUP(H78,#REF!,50,FALSE),0)</f>
        <v>#REF!</v>
      </c>
      <c r="BW78" s="33">
        <f>BG78-IFERROR(VLOOKUP(H78,#REF!,51,FALSE),0)</f>
        <v>2160</v>
      </c>
      <c r="BX78" s="35" t="e">
        <f t="shared" si="20"/>
        <v>#REF!</v>
      </c>
      <c r="BY78" s="36">
        <f>BD78-IFERROR(VLOOKUP(H78,#REF!,48,FALSE),0)</f>
        <v>0</v>
      </c>
      <c r="BZ7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8" s="39" t="e">
        <f>VLOOKUP(Tableau5617192223242425262827293031333432353620383961719241822254140424344104746[[#This Row],[Num Projets]],#REF!,1,FALSE)</f>
        <v>#REF!</v>
      </c>
      <c r="CB78" s="40">
        <v>45</v>
      </c>
      <c r="CC78" s="40">
        <v>0</v>
      </c>
      <c r="CD7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-45</v>
      </c>
    </row>
    <row r="79" spans="1:82" s="258" customFormat="1" ht="13.5" customHeight="1" x14ac:dyDescent="0.25">
      <c r="A79" s="313" t="s">
        <v>164</v>
      </c>
      <c r="B79" s="1"/>
      <c r="C79" s="2" t="e">
        <f>_xlfn.XLOOKUP(Tableau5617192223242425262827293031333432353620383961719241822254140424344104746[[#This Row],[Num Projets]],#REF!,#REF!,FALSE)</f>
        <v>#REF!</v>
      </c>
      <c r="D79" s="3" t="s">
        <v>6</v>
      </c>
      <c r="E79" s="3" t="e">
        <f>_xlfn.XLOOKUP(Tableau5617192223242425262827293031333432353620383961719241822254140424344104746[[#This Row],[Num Projets]],#REF!,#REF!,FALSE)</f>
        <v>#REF!</v>
      </c>
      <c r="F79" s="3" t="s">
        <v>165</v>
      </c>
      <c r="G79" s="3" t="s">
        <v>2</v>
      </c>
      <c r="H79" s="3" t="s">
        <v>166</v>
      </c>
      <c r="I7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79" s="4" t="e">
        <f>VLOOKUP(Tableau5617192223242425262827293031333432353620383961719241822254140424344104746[[#This Row],[Num Projets]],#REF!,36,FALSE)</f>
        <v>#REF!</v>
      </c>
      <c r="K79" s="5" t="s">
        <v>21</v>
      </c>
      <c r="L7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79" s="3" t="e">
        <f>SUBSTITUTE(_xlfn.XLOOKUP(Tableau5617192223242425262827293031333432353620383961719241822254140424344104746[[#This Row],[Num Projets]],#REF!,#REF!,FALSE)," ","")</f>
        <v>#REF!</v>
      </c>
      <c r="N79" s="7" t="e">
        <f>VLOOKUP(H79,#REF!,7,FALSE)</f>
        <v>#REF!</v>
      </c>
      <c r="O79" s="7">
        <v>45808</v>
      </c>
      <c r="P79" s="8" t="e">
        <f>VLOOKUP(H79,#REF!,2,FALSE)</f>
        <v>#REF!</v>
      </c>
      <c r="Q79" s="9" t="e">
        <f>Tableau5617192223242425262827293031333432353620383961719241822254140424344104746[[#This Row],[Total Budget
€]]-IFERROR(VLOOKUP(H79,#REF!,8,FALSE),0)</f>
        <v>#REF!</v>
      </c>
      <c r="R79" s="15">
        <f>AD79+AI79+Tableau5617192223242425262827293031333432353620383961719241822254140424344104746[[#This Row],[Int Commandé OT
€]]+AX79</f>
        <v>0</v>
      </c>
      <c r="S79" s="15">
        <f>AD79+AJ79+Tableau5617192223242425262827293031333432353620383961719241822254140424344104746[[#This Row],[Int Réalisé OT
€]]+AX79</f>
        <v>24459.32</v>
      </c>
      <c r="T79" s="94" t="e">
        <f t="shared" si="22"/>
        <v>#REF!</v>
      </c>
      <c r="U7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7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79" s="12">
        <f>IFERROR(VLOOKUP(H79,#REF!,2,FALSE),0)</f>
        <v>0</v>
      </c>
      <c r="X79" s="13">
        <f>IFERROR(VLOOKUP(H79,#REF!,2,FALSE),0)</f>
        <v>0</v>
      </c>
      <c r="Y79" s="13">
        <f>IFERROR(VLOOKUP(H79,#REF!,3,FALSE),0)</f>
        <v>0</v>
      </c>
      <c r="Z7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369.25</v>
      </c>
      <c r="AA79" s="13">
        <f>IFERROR(VLOOKUP(H79,#REF!,18,FALSE),0)</f>
        <v>0</v>
      </c>
      <c r="AB79" s="13">
        <f>SUM(X79:Y79)-IFERROR(VLOOKUP(H79,#REF!,16,FALSE),0)-IFERROR(VLOOKUP(H79,#REF!,17,FALSE),0)</f>
        <v>0</v>
      </c>
      <c r="AC79" s="15" t="e">
        <f>VLOOKUP(Tableau5617192223242425262827293031333432353620383961719241822254140424344104746[[#This Row],[Num Projets]],#REF!,2,FALSE)</f>
        <v>#REF!</v>
      </c>
      <c r="AD79" s="15">
        <f>IFERROR(VLOOKUP(Tableau5617192223242425262827293031333432353620383961719241822254140424344104746[[#This Row],[Num Projets]],#REF!,2,FALSE),0)</f>
        <v>0</v>
      </c>
      <c r="AE79" s="8">
        <f t="shared" si="23"/>
        <v>17650.149999999998</v>
      </c>
      <c r="AF79" s="22" t="e">
        <f t="shared" si="24"/>
        <v>#REF!</v>
      </c>
      <c r="AG79" s="8">
        <f>IFERROR(VLOOKUP(H79,#REF!,3,FALSE),0)+IFERROR(VLOOKUP(H79,#REF!,3,FALSE),0)</f>
        <v>0</v>
      </c>
      <c r="AH79" s="8">
        <f>IFERROR(VLOOKUP(Tableau5617192223242425262827293031333432353620383961719241822254140424344104746[[#This Row],[Num Projets]],#REF!,2,FALSE),0)</f>
        <v>0</v>
      </c>
      <c r="AI79" s="17">
        <f>+IFERROR(VLOOKUP(H79,#REF!,2,FALSE),0)-Tableau5617192223242425262827293031333432353620383961719241822254140424344104746[[#This Row],[Int Commandé OT
€]]</f>
        <v>0</v>
      </c>
      <c r="AJ79" s="8">
        <f>IFERROR(VLOOKUP(H79,#REF!,11,FALSE),0)-IFERROR(VLOOKUP(H79,#REF!,10,FALSE),0)+Tableau5617192223242425262827293031333432353620383961719241822254140424344104746[[#This Row],[dont FNP à date (€ HT)]]</f>
        <v>0</v>
      </c>
      <c r="AK79" s="15">
        <f t="shared" si="30"/>
        <v>0</v>
      </c>
      <c r="AL7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79" s="19">
        <f>IF(Tableau5617192223242425262827293031333432353620383961719241822254140424344104746[[#This Row],[RAF Achats M-1
€]]=0,0,AN79-AO79)</f>
        <v>0</v>
      </c>
      <c r="AN79" s="8">
        <f>IFERROR(VLOOKUP(H79,#REF!,31,FALSE),0)</f>
        <v>0</v>
      </c>
      <c r="AO79" s="8">
        <f>AI79+-IFERROR(VLOOKUP(H79,#REF!,27,FALSE),0)</f>
        <v>0</v>
      </c>
      <c r="AP79" s="20">
        <f>IFERROR(VLOOKUP(Tableau5617192223242425262827293031333432353620383961719241822254140424344104746[[#This Row],[Num Projets]],#REF!,2,FALSE),0)</f>
        <v>0</v>
      </c>
      <c r="AQ79" s="20">
        <f>_xlfn.XLOOKUP(H79,[2]Synth!$N:$N,[2]Synth!$O:$O,0,FALSE)+_xlfn.XLOOKUP(Tableau5617192223242425262827293031333432353620383961719241822254140424344104746[[#This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24459.32</v>
      </c>
      <c r="AR79" s="21">
        <v>0</v>
      </c>
      <c r="AS79" s="20">
        <f>+IFERROR(VLOOKUP(H79,#REF!,36,FALSE),0)</f>
        <v>0</v>
      </c>
      <c r="AT7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79" s="22">
        <f>IF(AG79=0,0,1-((AI79+AM79+Tableau5617192223242425262827293031333432353620383961719241822254140424344104746[[#This Row],[Int Commandé OT
€]]+Tableau5617192223242425262827293031333432353620383961719241822254140424344104746[[#This Row],[RAF Int OT
€]])/AG79))</f>
        <v>0</v>
      </c>
      <c r="AV79" s="8">
        <f>IFERROR(VLOOKUP(H79,#REF!,4,FALSE),0)+IFERROR(VLOOKUP(H79,#REF!,4,FALSE),0)</f>
        <v>0</v>
      </c>
      <c r="AW79" s="8">
        <f>IFERROR(VLOOKUP(Tableau5617192223242425262827293031333432353620383961719241822254140424344104746[[#This Row],[Num Projets]],#REF!,3,FALSE),0)</f>
        <v>0</v>
      </c>
      <c r="AX79" s="130">
        <f>IFERROR(VLOOKUP(Tableau5617192223242425262827293031333432353620383961719241822254140424344104746[[#This Row],[Num Projets]],#REF!,10,FALSE),0)</f>
        <v>0</v>
      </c>
      <c r="AY79" s="23">
        <f>Tableau5617192223242425262827293031333432353620383961719241822254140424344104746[[#This Row],[Budget Mission
 €]]/1.2-AX79</f>
        <v>0</v>
      </c>
      <c r="AZ79" s="8">
        <f>IFERROR(VLOOKUP(H79,#REF!,43,FALSE),0)</f>
        <v>0</v>
      </c>
      <c r="BA79" s="8">
        <f>AX79-IFERROR(VLOOKUP(H79,#REF!,42,FALSE),0)</f>
        <v>0</v>
      </c>
      <c r="BB79" s="47">
        <f t="shared" si="17"/>
        <v>0</v>
      </c>
      <c r="BC79" s="24">
        <f>IFERROR(VLOOKUP(H79,#REF!,47,FALSE),IFERROR(VLOOKUP(H79,#REF!,5,FALSE),0)+IFERROR(VLOOKUP(H79,#REF!,5,FALSE),0))</f>
        <v>0</v>
      </c>
      <c r="BD79" s="25">
        <f>IFERROR(VLOOKUP(H79,#REF!,2,FALSE),0)</f>
        <v>0</v>
      </c>
      <c r="BE79" s="25">
        <f>IFERROR(VLOOKUP(H79,#REF!,49,FALSE),0)</f>
        <v>0</v>
      </c>
      <c r="BF79" s="50" t="e">
        <f t="shared" si="25"/>
        <v>#REF!</v>
      </c>
      <c r="BG79" s="50">
        <f t="shared" si="26"/>
        <v>24459.32</v>
      </c>
      <c r="BH79" s="27">
        <f>AE79+ (AI79-AJ79+AM79+Tableau5617192223242425262827293031333432353620383961719241822254140424344104746[[#This Row],[Int Commandé OT
€]]-Tableau5617192223242425262827293031333432353620383961719241822254140424344104746[[#This Row],[Int Réalisé OT
€]]+AR79) +AY79+BC79</f>
        <v>-6809.1700000000019</v>
      </c>
      <c r="BI79" s="47">
        <f t="shared" si="31"/>
        <v>1.3857853899258648</v>
      </c>
      <c r="BJ79" s="47" t="e">
        <f t="shared" si="27"/>
        <v>#REF!</v>
      </c>
      <c r="BK79" s="27" t="e">
        <f t="shared" si="28"/>
        <v>#REF!</v>
      </c>
      <c r="BL79" s="26" t="e">
        <f t="shared" si="29"/>
        <v>#REF!</v>
      </c>
      <c r="BM79" s="96">
        <f>IFERROR(VLOOKUP(H79,'[1]2023sep'!H:CA,54,FALSE),105)</f>
        <v>105</v>
      </c>
      <c r="BN79" s="29">
        <v>1</v>
      </c>
      <c r="BO79" s="30" t="e">
        <f>P79-AC79-AG79-AV79-Tableau5617192223242425262827293031333432353620383961719241822254140424344104746[[#This Row],[Provisions pour risques]]</f>
        <v>#REF!</v>
      </c>
      <c r="BP7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17650.149999999998</v>
      </c>
      <c r="BQ7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1.3857853899258648</v>
      </c>
      <c r="BR79" s="97" t="e">
        <f t="shared" si="18"/>
        <v>#REF!</v>
      </c>
      <c r="BS79" s="34">
        <f>Tableau5617192223242425262827293031333432353620383961719241822254140424344104746[[#This Row],[Consommé global Enregistré à date (€ HT)]]-IFERROR(VLOOKUP(H79,#REF!,50,FALSE),0)</f>
        <v>24459.32</v>
      </c>
      <c r="BT79" s="35" t="e">
        <f t="shared" si="19"/>
        <v>#REF!</v>
      </c>
      <c r="BU79" s="36">
        <f>BD79-IFERROR(VLOOKUP(H79,#REF!,47,FALSE),0)</f>
        <v>0</v>
      </c>
      <c r="BV79" s="37" t="e">
        <f>+BF79+Tableau5617192223242425262827293031333432353620383961719241822254140424344104746[[#This Row],[CA fin N-1]]-IFERROR(VLOOKUP(H79,#REF!,49,FALSE),0)-IFERROR(VLOOKUP(H79,#REF!,50,FALSE),0)</f>
        <v>#REF!</v>
      </c>
      <c r="BW79" s="33">
        <f>BG79-IFERROR(VLOOKUP(H79,#REF!,51,FALSE),0)</f>
        <v>24459.32</v>
      </c>
      <c r="BX79" s="35" t="e">
        <f t="shared" si="20"/>
        <v>#REF!</v>
      </c>
      <c r="BY79" s="36">
        <f>BD79-IFERROR(VLOOKUP(H79,#REF!,48,FALSE),0)</f>
        <v>0</v>
      </c>
      <c r="BZ7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79" s="39" t="e">
        <f>VLOOKUP(Tableau5617192223242425262827293031333432353620383961719241822254140424344104746[[#This Row],[Num Projets]],#REF!,1,FALSE)</f>
        <v>#REF!</v>
      </c>
      <c r="CB79" s="40">
        <v>369.25</v>
      </c>
      <c r="CC79" s="40">
        <v>0</v>
      </c>
      <c r="CD7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-369.25</v>
      </c>
    </row>
    <row r="80" spans="1:82" s="258" customFormat="1" ht="13.5" customHeight="1" x14ac:dyDescent="0.25">
      <c r="A80" s="311"/>
      <c r="B80" s="1"/>
      <c r="C80" s="2" t="e">
        <f>_xlfn.XLOOKUP(Tableau5617192223242425262827293031333432353620383961719241822254140424344104746[[#This Row],[Num Projets]],#REF!,#REF!,FALSE)</f>
        <v>#REF!</v>
      </c>
      <c r="D80" s="3" t="s">
        <v>6</v>
      </c>
      <c r="E80" s="3" t="e">
        <f>_xlfn.XLOOKUP(Tableau5617192223242425262827293031333432353620383961719241822254140424344104746[[#This Row],[Num Projets]],#REF!,#REF!,FALSE)</f>
        <v>#REF!</v>
      </c>
      <c r="F80" s="3" t="e">
        <f>_xlfn.XLOOKUP(Tableau5617192223242425262827293031333432353620383961719241822254140424344104746[[#This Row],[Num Projets]],#REF!,#REF!,"newavr",0)</f>
        <v>#REF!</v>
      </c>
      <c r="G80" s="3" t="s">
        <v>167</v>
      </c>
      <c r="H80" s="3" t="s">
        <v>168</v>
      </c>
      <c r="I8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0" s="4" t="e">
        <f>VLOOKUP(Tableau5617192223242425262827293031333432353620383961719241822254140424344104746[[#This Row],[Num Projets]],#REF!,36,FALSE)</f>
        <v>#REF!</v>
      </c>
      <c r="K80" s="5" t="s">
        <v>9</v>
      </c>
      <c r="L8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0" s="3" t="e">
        <f>SUBSTITUTE(_xlfn.XLOOKUP(Tableau5617192223242425262827293031333432353620383961719241822254140424344104746[[#This Row],[Num Projets]],#REF!,#REF!,FALSE)," ","")</f>
        <v>#REF!</v>
      </c>
      <c r="N80" s="7" t="e">
        <f>VLOOKUP(H80,#REF!,7,FALSE)</f>
        <v>#REF!</v>
      </c>
      <c r="O80" s="7" t="e">
        <f>IF(VLOOKUP(H80,#REF!,27,FALSE)=0,"",VLOOKUP(H80,#REF!,27,FALSE))</f>
        <v>#REF!</v>
      </c>
      <c r="P80" s="8" t="e">
        <f>VLOOKUP(H80,#REF!,2,FALSE)</f>
        <v>#REF!</v>
      </c>
      <c r="Q80" s="9" t="e">
        <f>Tableau5617192223242425262827293031333432353620383961719241822254140424344104746[[#This Row],[Total Budget
€]]-IFERROR(VLOOKUP(H80,#REF!,8,FALSE),0)</f>
        <v>#REF!</v>
      </c>
      <c r="R80" s="15">
        <f>AD80+AI80+Tableau5617192223242425262827293031333432353620383961719241822254140424344104746[[#This Row],[Int Commandé OT
€]]+AX80</f>
        <v>0</v>
      </c>
      <c r="S80" s="15">
        <f>AD80+AJ80+Tableau5617192223242425262827293031333432353620383961719241822254140424344104746[[#This Row],[Int Réalisé OT
€]]+AX80</f>
        <v>0</v>
      </c>
      <c r="T80" s="94" t="e">
        <f t="shared" si="22"/>
        <v>#REF!</v>
      </c>
      <c r="U8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0" s="12">
        <f>IFERROR(VLOOKUP(H80,#REF!,2,FALSE),0)</f>
        <v>0</v>
      </c>
      <c r="X80" s="13">
        <f>IFERROR(VLOOKUP(H80,#REF!,2,FALSE),0)</f>
        <v>0</v>
      </c>
      <c r="Y80" s="13">
        <f>IFERROR(VLOOKUP(H80,#REF!,3,FALSE),0)</f>
        <v>0</v>
      </c>
      <c r="Z8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28.7</v>
      </c>
      <c r="AA80" s="13">
        <f>IFERROR(VLOOKUP(H80,#REF!,18,FALSE),0)</f>
        <v>0</v>
      </c>
      <c r="AB80" s="13">
        <f>SUM(X80:Y80)-IFERROR(VLOOKUP(H80,#REF!,16,FALSE),0)-IFERROR(VLOOKUP(H80,#REF!,17,FALSE),0)</f>
        <v>0</v>
      </c>
      <c r="AC80" s="15" t="e">
        <f>VLOOKUP(Tableau5617192223242425262827293031333432353620383961719241822254140424344104746[[#This Row],[Num Projets]],#REF!,2,FALSE)</f>
        <v>#REF!</v>
      </c>
      <c r="AD80" s="15">
        <f>IFERROR(VLOOKUP(Tableau5617192223242425262827293031333432353620383961719241822254140424344104746[[#This Row],[Num Projets]],#REF!,2,FALSE),0)</f>
        <v>0</v>
      </c>
      <c r="AE80" s="8">
        <f t="shared" si="23"/>
        <v>1371.86</v>
      </c>
      <c r="AF80" s="22" t="e">
        <f t="shared" si="24"/>
        <v>#REF!</v>
      </c>
      <c r="AG80" s="8">
        <f>IFERROR(VLOOKUP(H80,#REF!,3,FALSE),0)+IFERROR(VLOOKUP(H80,#REF!,3,FALSE),0)</f>
        <v>0</v>
      </c>
      <c r="AH80" s="8">
        <f>IFERROR(VLOOKUP(Tableau5617192223242425262827293031333432353620383961719241822254140424344104746[[#This Row],[Num Projets]],#REF!,2,FALSE),0)</f>
        <v>0</v>
      </c>
      <c r="AI80" s="17">
        <f>+IFERROR(VLOOKUP(H80,#REF!,2,FALSE),0)-Tableau5617192223242425262827293031333432353620383961719241822254140424344104746[[#This Row],[Int Commandé OT
€]]</f>
        <v>0</v>
      </c>
      <c r="AJ80" s="8">
        <f>IFERROR(VLOOKUP(H80,#REF!,11,FALSE),0)-IFERROR(VLOOKUP(H80,#REF!,10,FALSE),0)+Tableau5617192223242425262827293031333432353620383961719241822254140424344104746[[#This Row],[dont FNP à date (€ HT)]]</f>
        <v>0</v>
      </c>
      <c r="AK80" s="15">
        <f t="shared" si="30"/>
        <v>0</v>
      </c>
      <c r="AL8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0" s="19">
        <f>IF(Tableau5617192223242425262827293031333432353620383961719241822254140424344104746[[#This Row],[RAF Achats M-1
€]]=0,0,AN80-AO80)</f>
        <v>0</v>
      </c>
      <c r="AN80" s="8">
        <f>IFERROR(VLOOKUP(H80,#REF!,31,FALSE),0)</f>
        <v>0</v>
      </c>
      <c r="AO80" s="8">
        <f>AI80+-IFERROR(VLOOKUP(H80,#REF!,27,FALSE),0)</f>
        <v>0</v>
      </c>
      <c r="AP80" s="20">
        <f>IFERROR(VLOOKUP(Tableau5617192223242425262827293031333432353620383961719241822254140424344104746[[#This Row],[Num Projets]],#REF!,2,FALSE),0)</f>
        <v>0</v>
      </c>
      <c r="AQ80" s="20">
        <f>_xlfn.XLOOKUP(H80,[2]Synth!$N:$N,[2]Synth!$O:$O,0,FALSE)+_xlfn.XLOOKUP(Tableau5617192223242425262827293031333432353620383961719241822254140424344104746[[#This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0" s="21">
        <v>0</v>
      </c>
      <c r="AS80" s="20">
        <f>+IFERROR(VLOOKUP(H80,#REF!,36,FALSE),0)</f>
        <v>0</v>
      </c>
      <c r="AT8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0" s="22">
        <f>IF(AG80=0,0,1-((AI80+AM80+Tableau5617192223242425262827293031333432353620383961719241822254140424344104746[[#This Row],[Int Commandé OT
€]]+Tableau5617192223242425262827293031333432353620383961719241822254140424344104746[[#This Row],[RAF Int OT
€]])/AG80))</f>
        <v>0</v>
      </c>
      <c r="AV80" s="8">
        <f>IFERROR(VLOOKUP(H80,#REF!,4,FALSE),0)+IFERROR(VLOOKUP(H80,#REF!,4,FALSE),0)</f>
        <v>0</v>
      </c>
      <c r="AW80" s="8">
        <f>IFERROR(VLOOKUP(Tableau5617192223242425262827293031333432353620383961719241822254140424344104746[[#This Row],[Num Projets]],#REF!,3,FALSE),0)</f>
        <v>0</v>
      </c>
      <c r="AX80" s="95">
        <f>IFERROR(VLOOKUP(Tableau5617192223242425262827293031333432353620383961719241822254140424344104746[[#This Row],[Num Projets]],#REF!,10,FALSE),0)</f>
        <v>0</v>
      </c>
      <c r="AY80" s="23">
        <f>Tableau5617192223242425262827293031333432353620383961719241822254140424344104746[[#This Row],[Budget Mission
 €]]/1.2-AX80</f>
        <v>0</v>
      </c>
      <c r="AZ80" s="8">
        <f>IFERROR(VLOOKUP(H80,#REF!,43,FALSE),0)</f>
        <v>0</v>
      </c>
      <c r="BA80" s="8">
        <f>AX80-IFERROR(VLOOKUP(H80,#REF!,42,FALSE),0)</f>
        <v>0</v>
      </c>
      <c r="BB80" s="47">
        <f t="shared" si="17"/>
        <v>0</v>
      </c>
      <c r="BC80" s="24">
        <f>IFERROR(VLOOKUP(H80,#REF!,47,FALSE),IFERROR(VLOOKUP(H80,#REF!,5,FALSE),0)+IFERROR(VLOOKUP(H80,#REF!,5,FALSE),0))</f>
        <v>0</v>
      </c>
      <c r="BD80" s="25">
        <f>IFERROR(VLOOKUP(H80,#REF!,2,FALSE),0)</f>
        <v>0</v>
      </c>
      <c r="BE80" s="25">
        <f>IFERROR(VLOOKUP(H80,#REF!,49,FALSE),0)</f>
        <v>0</v>
      </c>
      <c r="BF80" s="50" t="e">
        <f t="shared" si="25"/>
        <v>#REF!</v>
      </c>
      <c r="BG80" s="50">
        <f t="shared" si="26"/>
        <v>0</v>
      </c>
      <c r="BH80" s="27">
        <f>AE80+ (AI80-AJ80+AM80+Tableau5617192223242425262827293031333432353620383961719241822254140424344104746[[#This Row],[Int Commandé OT
€]]-Tableau5617192223242425262827293031333432353620383961719241822254140424344104746[[#This Row],[Int Réalisé OT
€]]+AR80) +AY80+BC80</f>
        <v>1371.86</v>
      </c>
      <c r="BI80" s="47">
        <f t="shared" si="31"/>
        <v>0</v>
      </c>
      <c r="BJ80" s="47" t="e">
        <f t="shared" si="27"/>
        <v>#REF!</v>
      </c>
      <c r="BK80" s="27" t="e">
        <f t="shared" si="28"/>
        <v>#REF!</v>
      </c>
      <c r="BL80" s="26" t="e">
        <f t="shared" si="29"/>
        <v>#REF!</v>
      </c>
      <c r="BM80" s="96">
        <f>IFERROR(VLOOKUP(H80,'[1]2023sep'!H:CA,54,FALSE),105)</f>
        <v>105</v>
      </c>
      <c r="BN80" s="29">
        <v>1</v>
      </c>
      <c r="BO80" s="30" t="e">
        <f>P80-AC80-AG80-AV80-Tableau5617192223242425262827293031333432353620383961719241822254140424344104746[[#This Row],[Provisions pour risques]]</f>
        <v>#REF!</v>
      </c>
      <c r="BP8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1371.86</v>
      </c>
      <c r="BQ8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80" s="97" t="e">
        <f t="shared" si="18"/>
        <v>#REF!</v>
      </c>
      <c r="BS80" s="34">
        <f>Tableau5617192223242425262827293031333432353620383961719241822254140424344104746[[#This Row],[Consommé global Enregistré à date (€ HT)]]-IFERROR(VLOOKUP(H80,#REF!,50,FALSE),0)</f>
        <v>0</v>
      </c>
      <c r="BT80" s="35" t="e">
        <f t="shared" si="19"/>
        <v>#REF!</v>
      </c>
      <c r="BU80" s="36">
        <f>BD80-IFERROR(VLOOKUP(H80,#REF!,47,FALSE),0)</f>
        <v>0</v>
      </c>
      <c r="BV80" s="37" t="e">
        <f>+BF80+Tableau5617192223242425262827293031333432353620383961719241822254140424344104746[[#This Row],[CA fin N-1]]-IFERROR(VLOOKUP(H80,#REF!,49,FALSE),0)-IFERROR(VLOOKUP(H80,#REF!,50,FALSE),0)</f>
        <v>#REF!</v>
      </c>
      <c r="BW80" s="33">
        <f>BG80-IFERROR(VLOOKUP(H80,#REF!,51,FALSE),0)</f>
        <v>0</v>
      </c>
      <c r="BX80" s="35" t="e">
        <f t="shared" si="20"/>
        <v>#REF!</v>
      </c>
      <c r="BY80" s="36">
        <f>BD80-IFERROR(VLOOKUP(H80,#REF!,48,FALSE),0)</f>
        <v>0</v>
      </c>
      <c r="BZ8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0" s="39" t="e">
        <f>VLOOKUP(Tableau5617192223242425262827293031333432353620383961719241822254140424344104746[[#This Row],[Num Projets]],#REF!,1,FALSE)</f>
        <v>#REF!</v>
      </c>
      <c r="CB80" s="40">
        <v>28.7</v>
      </c>
      <c r="CC80" s="40">
        <v>0</v>
      </c>
      <c r="CD8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-28.7</v>
      </c>
    </row>
    <row r="81" spans="1:82" s="258" customFormat="1" ht="13.5" customHeight="1" x14ac:dyDescent="0.25">
      <c r="A81" s="313" t="s">
        <v>169</v>
      </c>
      <c r="B81" s="1"/>
      <c r="C81" s="2" t="e">
        <f>_xlfn.XLOOKUP(Tableau5617192223242425262827293031333432353620383961719241822254140424344104746[[#This Row],[Num Projets]],#REF!,#REF!,FALSE)</f>
        <v>#REF!</v>
      </c>
      <c r="D81" s="3" t="s">
        <v>40</v>
      </c>
      <c r="E81" s="3" t="e">
        <f>_xlfn.XLOOKUP(Tableau5617192223242425262827293031333432353620383961719241822254140424344104746[[#This Row],[Num Projets]],#REF!,#REF!,FALSE)</f>
        <v>#REF!</v>
      </c>
      <c r="F81" s="3" t="e">
        <f>_xlfn.XLOOKUP(Tableau5617192223242425262827293031333432353620383961719241822254140424344104746[[#This Row],[Num Projets]],#REF!,#REF!,"newavr",0)</f>
        <v>#REF!</v>
      </c>
      <c r="G81" s="3" t="s">
        <v>2</v>
      </c>
      <c r="H81" s="3" t="s">
        <v>170</v>
      </c>
      <c r="I8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1" s="4" t="e">
        <f>VLOOKUP(Tableau5617192223242425262827293031333432353620383961719241822254140424344104746[[#This Row],[Num Projets]],#REF!,36,FALSE)</f>
        <v>#REF!</v>
      </c>
      <c r="K81" s="5" t="s">
        <v>21</v>
      </c>
      <c r="L8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1" s="3" t="e">
        <f>SUBSTITUTE(_xlfn.XLOOKUP(Tableau5617192223242425262827293031333432353620383961719241822254140424344104746[[#This Row],[Num Projets]],#REF!,#REF!,FALSE)," ","")</f>
        <v>#REF!</v>
      </c>
      <c r="N81" s="7" t="e">
        <f>VLOOKUP(H81,#REF!,7,FALSE)</f>
        <v>#REF!</v>
      </c>
      <c r="O81" s="7">
        <v>45747</v>
      </c>
      <c r="P81" s="8" t="e">
        <f>VLOOKUP(H81,#REF!,2,FALSE)</f>
        <v>#REF!</v>
      </c>
      <c r="Q81" s="9" t="e">
        <f>Tableau5617192223242425262827293031333432353620383961719241822254140424344104746[[#This Row],[Total Budget
€]]-IFERROR(VLOOKUP(H81,#REF!,8,FALSE),0)</f>
        <v>#REF!</v>
      </c>
      <c r="R81" s="15">
        <f>AD81+AI81+Tableau5617192223242425262827293031333432353620383961719241822254140424344104746[[#This Row],[Int Commandé OT
€]]+AX81</f>
        <v>503.1</v>
      </c>
      <c r="S81" s="15">
        <f>AD81+AJ81+Tableau5617192223242425262827293031333432353620383961719241822254140424344104746[[#This Row],[Int Réalisé OT
€]]+AX81</f>
        <v>13129.05</v>
      </c>
      <c r="T81" s="94" t="e">
        <f t="shared" si="22"/>
        <v>#REF!</v>
      </c>
      <c r="U8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1" s="12">
        <f>IFERROR(VLOOKUP(H81,#REF!,2,FALSE),0)</f>
        <v>0</v>
      </c>
      <c r="X81" s="13">
        <f>IFERROR(VLOOKUP(H81,#REF!,2,FALSE),0)</f>
        <v>0</v>
      </c>
      <c r="Y81" s="13">
        <f>IFERROR(VLOOKUP(H81,#REF!,3,FALSE),0)</f>
        <v>0</v>
      </c>
      <c r="Z8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202.5</v>
      </c>
      <c r="AA81" s="13">
        <f>IFERROR(VLOOKUP(H81,#REF!,18,FALSE),0)</f>
        <v>0</v>
      </c>
      <c r="AB81" s="13">
        <f>SUM(X81:Y81)-IFERROR(VLOOKUP(H81,#REF!,16,FALSE),0)-IFERROR(VLOOKUP(H81,#REF!,17,FALSE),0)</f>
        <v>0</v>
      </c>
      <c r="AC81" s="15" t="e">
        <f>VLOOKUP(Tableau5617192223242425262827293031333432353620383961719241822254140424344104746[[#This Row],[Num Projets]],#REF!,2,FALSE)</f>
        <v>#REF!</v>
      </c>
      <c r="AD81" s="15">
        <f>IFERROR(VLOOKUP(Tableau5617192223242425262827293031333432353620383961719241822254140424344104746[[#This Row],[Num Projets]],#REF!,2,FALSE),0)</f>
        <v>0</v>
      </c>
      <c r="AE81" s="8">
        <f t="shared" si="23"/>
        <v>9679.5</v>
      </c>
      <c r="AF81" s="22" t="e">
        <f t="shared" si="24"/>
        <v>#REF!</v>
      </c>
      <c r="AG81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81" s="8">
        <f>IFERROR(VLOOKUP(Tableau5617192223242425262827293031333432353620383961719241822254140424344104746[[#This Row],[Num Projets]],#REF!,2,FALSE),0)</f>
        <v>0</v>
      </c>
      <c r="AI81" s="88">
        <f>+IFERROR(VLOOKUP(H81,#REF!,2,FALSE),0)-Tableau5617192223242425262827293031333432353620383961719241822254140424344104746[[#This Row],[Int Commandé OT
€]]+503.1</f>
        <v>0</v>
      </c>
      <c r="AJ81" s="8">
        <f>IFERROR(VLOOKUP(H81,#REF!,11,FALSE),0)-IFERROR(VLOOKUP(H81,#REF!,10,FALSE),0)+Tableau5617192223242425262827293031333432353620383961719241822254140424344104746[[#This Row],[dont FNP à date (€ HT)]]</f>
        <v>0</v>
      </c>
      <c r="AK81" s="15">
        <f t="shared" si="30"/>
        <v>0</v>
      </c>
      <c r="AL8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1" s="19">
        <f>IF(Tableau5617192223242425262827293031333432353620383961719241822254140424344104746[[#This Row],[RAF Achats M-1
€]]=0,0,AN81-AO81)</f>
        <v>0</v>
      </c>
      <c r="AN81" s="8">
        <f>IFERROR(VLOOKUP(H81,#REF!,31,FALSE),0)</f>
        <v>0</v>
      </c>
      <c r="AO81" s="8">
        <f>AI81+-IFERROR(VLOOKUP(H81,#REF!,27,FALSE),0)</f>
        <v>0</v>
      </c>
      <c r="AP81" s="41">
        <f>IFERROR(VLOOKUP(Tableau5617192223242425262827293031333432353620383961719241822254140424344104746[[#This Row],[Num Projets]],#REF!,2,FALSE),0)+503.1</f>
        <v>503.1</v>
      </c>
      <c r="AQ81" s="20">
        <f>_xlfn.XLOOKUP(H81,[2]Synth!$N:$N,[2]Synth!$O:$O,0,FALSE)+_xlfn.XLOOKUP(Tableau5617192223242425262827293031333432353620383961719241822254140424344104746[[#This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13129.05</v>
      </c>
      <c r="AR81" s="21">
        <v>0</v>
      </c>
      <c r="AS81" s="20">
        <f>+IFERROR(VLOOKUP(H81,#REF!,36,FALSE),0)</f>
        <v>0</v>
      </c>
      <c r="AT8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503.1</v>
      </c>
      <c r="AU81" s="22" t="e">
        <f>IF(AG81=0,0,1-((AI81+AM81+Tableau5617192223242425262827293031333432353620383961719241822254140424344104746[[#This Row],[Int Commandé OT
€]]+Tableau5617192223242425262827293031333432353620383961719241822254140424344104746[[#This Row],[RAF Int OT
€]])/AG81))</f>
        <v>#REF!</v>
      </c>
      <c r="AV81" s="41">
        <v>1500</v>
      </c>
      <c r="AW81" s="8">
        <f>IFERROR(VLOOKUP(Tableau5617192223242425262827293031333432353620383961719241822254140424344104746[[#This Row],[Num Projets]],#REF!,3,FALSE),0)</f>
        <v>0</v>
      </c>
      <c r="AX81" s="95">
        <f>IFERROR(VLOOKUP(Tableau5617192223242425262827293031333432353620383961719241822254140424344104746[[#This Row],[Num Projets]],#REF!,10,FALSE),0)</f>
        <v>0</v>
      </c>
      <c r="AY81" s="23">
        <v>0</v>
      </c>
      <c r="AZ81" s="8">
        <f>IFERROR(VLOOKUP(H81,#REF!,43,FALSE),0)</f>
        <v>0</v>
      </c>
      <c r="BA81" s="8">
        <f>AX81-IFERROR(VLOOKUP(H81,#REF!,42,FALSE),0)</f>
        <v>0</v>
      </c>
      <c r="BB81" s="47">
        <f t="shared" si="17"/>
        <v>1</v>
      </c>
      <c r="BC81" s="24">
        <f>IFERROR(VLOOKUP(H81,#REF!,47,FALSE),IFERROR(VLOOKUP(H81,#REF!,5,FALSE),0)+IFERROR(VLOOKUP(H81,#REF!,5,FALSE),0))</f>
        <v>0</v>
      </c>
      <c r="BD81" s="25">
        <f>IFERROR(VLOOKUP(H81,#REF!,2,FALSE),0)</f>
        <v>0</v>
      </c>
      <c r="BE81" s="25">
        <f>IFERROR(VLOOKUP(H81,#REF!,49,FALSE),0)</f>
        <v>0</v>
      </c>
      <c r="BF81" s="50" t="e">
        <f t="shared" si="25"/>
        <v>#REF!</v>
      </c>
      <c r="BG81" s="50">
        <f t="shared" si="26"/>
        <v>13129.05</v>
      </c>
      <c r="BH81" s="27">
        <f>AE81+ (AI81-AJ81+AM81+Tableau5617192223242425262827293031333432353620383961719241822254140424344104746[[#This Row],[Int Commandé OT
€]]-Tableau5617192223242425262827293031333432353620383961719241822254140424344104746[[#This Row],[Int Réalisé OT
€]]+AR81) +AY81+BC81</f>
        <v>-2946.4499999999989</v>
      </c>
      <c r="BI81" s="47">
        <f t="shared" si="31"/>
        <v>1.2893612633315654</v>
      </c>
      <c r="BJ81" s="47" t="e">
        <f t="shared" si="27"/>
        <v>#REF!</v>
      </c>
      <c r="BK81" s="27" t="e">
        <f t="shared" si="28"/>
        <v>#REF!</v>
      </c>
      <c r="BL81" s="26" t="e">
        <f t="shared" si="29"/>
        <v>#REF!</v>
      </c>
      <c r="BM81" s="96">
        <f>IFERROR(VLOOKUP(H81,'[1]2023sep'!H:CA,54,FALSE),105)</f>
        <v>105</v>
      </c>
      <c r="BN81" s="29">
        <v>1</v>
      </c>
      <c r="BO81" s="30" t="e">
        <f>P81-AC81-AG81-AV81-Tableau5617192223242425262827293031333432353620383961719241822254140424344104746[[#This Row],[Provisions pour risques]]</f>
        <v>#REF!</v>
      </c>
      <c r="BP8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10182.6</v>
      </c>
      <c r="BQ8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1.2893612633315654</v>
      </c>
      <c r="BR81" s="97" t="e">
        <f t="shared" si="18"/>
        <v>#REF!</v>
      </c>
      <c r="BS81" s="34">
        <f>Tableau5617192223242425262827293031333432353620383961719241822254140424344104746[[#This Row],[Consommé global Enregistré à date (€ HT)]]-IFERROR(VLOOKUP(H81,#REF!,50,FALSE),0)</f>
        <v>13129.05</v>
      </c>
      <c r="BT81" s="35" t="e">
        <f t="shared" si="19"/>
        <v>#REF!</v>
      </c>
      <c r="BU81" s="36">
        <f>BD81-IFERROR(VLOOKUP(H81,#REF!,47,FALSE),0)</f>
        <v>0</v>
      </c>
      <c r="BV81" s="37" t="e">
        <f>+BF81+Tableau5617192223242425262827293031333432353620383961719241822254140424344104746[[#This Row],[CA fin N-1]]-IFERROR(VLOOKUP(H81,#REF!,49,FALSE),0)-IFERROR(VLOOKUP(H81,#REF!,50,FALSE),0)</f>
        <v>#REF!</v>
      </c>
      <c r="BW81" s="33">
        <f>BG81-IFERROR(VLOOKUP(H81,#REF!,51,FALSE),0)</f>
        <v>13129.05</v>
      </c>
      <c r="BX81" s="35" t="e">
        <f t="shared" si="20"/>
        <v>#REF!</v>
      </c>
      <c r="BY81" s="36">
        <f>BD81-IFERROR(VLOOKUP(H81,#REF!,48,FALSE),0)</f>
        <v>0</v>
      </c>
      <c r="BZ8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1" s="39" t="e">
        <f>VLOOKUP(Tableau5617192223242425262827293031333432353620383961719241822254140424344104746[[#This Row],[Num Projets]],#REF!,1,FALSE)</f>
        <v>#REF!</v>
      </c>
      <c r="CB81" s="40">
        <v>202.5</v>
      </c>
      <c r="CC81" s="40">
        <v>0</v>
      </c>
      <c r="CD8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-202.5</v>
      </c>
    </row>
    <row r="82" spans="1:82" s="258" customFormat="1" ht="13.5" customHeight="1" x14ac:dyDescent="0.25">
      <c r="A82" s="313" t="s">
        <v>171</v>
      </c>
      <c r="B82" s="1"/>
      <c r="C82" s="2" t="e">
        <f>_xlfn.XLOOKUP(Tableau5617192223242425262827293031333432353620383961719241822254140424344104746[[#This Row],[Num Projets]],#REF!,#REF!,FALSE)</f>
        <v>#REF!</v>
      </c>
      <c r="D82" s="3" t="s">
        <v>6</v>
      </c>
      <c r="E82" s="3" t="e">
        <f>_xlfn.XLOOKUP(Tableau5617192223242425262827293031333432353620383961719241822254140424344104746[[#This Row],[Num Projets]],#REF!,#REF!,FALSE)</f>
        <v>#REF!</v>
      </c>
      <c r="F82" s="3" t="e">
        <f>_xlfn.XLOOKUP(Tableau5617192223242425262827293031333432353620383961719241822254140424344104746[[#This Row],[Num Projets]],#REF!,#REF!,"newavr",0)</f>
        <v>#REF!</v>
      </c>
      <c r="G82" s="3" t="s">
        <v>2</v>
      </c>
      <c r="H82" s="3" t="s">
        <v>172</v>
      </c>
      <c r="I8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2" s="4" t="e">
        <f>VLOOKUP(Tableau5617192223242425262827293031333432353620383961719241822254140424344104746[[#This Row],[Num Projets]],#REF!,36,FALSE)</f>
        <v>#REF!</v>
      </c>
      <c r="K82" s="5" t="s">
        <v>21</v>
      </c>
      <c r="L8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2" s="3" t="e">
        <f>SUBSTITUTE(_xlfn.XLOOKUP(Tableau5617192223242425262827293031333432353620383961719241822254140424344104746[[#This Row],[Num Projets]],#REF!,#REF!,FALSE)," ","")</f>
        <v>#REF!</v>
      </c>
      <c r="N82" s="7" t="e">
        <f>VLOOKUP(H82,#REF!,7,FALSE)</f>
        <v>#REF!</v>
      </c>
      <c r="O82" s="7" t="e">
        <f>IF(VLOOKUP(H82,#REF!,27,FALSE)=0,"",VLOOKUP(H82,#REF!,27,FALSE))</f>
        <v>#REF!</v>
      </c>
      <c r="P82" s="8" t="e">
        <f>VLOOKUP(H82,#REF!,2,FALSE)</f>
        <v>#REF!</v>
      </c>
      <c r="Q82" s="9" t="e">
        <f>Tableau5617192223242425262827293031333432353620383961719241822254140424344104746[[#This Row],[Total Budget
€]]-IFERROR(VLOOKUP(H82,#REF!,8,FALSE),0)</f>
        <v>#REF!</v>
      </c>
      <c r="R82" s="15">
        <f>AD82+AI82+Tableau5617192223242425262827293031333432353620383961719241822254140424344104746[[#This Row],[Int Commandé OT
€]]+AX82</f>
        <v>0</v>
      </c>
      <c r="S82" s="15">
        <f>AD82+AJ82+Tableau5617192223242425262827293031333432353620383961719241822254140424344104746[[#This Row],[Int Réalisé OT
€]]+AX82</f>
        <v>630.9</v>
      </c>
      <c r="T82" s="94" t="e">
        <f t="shared" si="22"/>
        <v>#REF!</v>
      </c>
      <c r="U8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2" s="12">
        <f>IFERROR(VLOOKUP(H82,#REF!,2,FALSE),0)</f>
        <v>0</v>
      </c>
      <c r="X82" s="13">
        <f>IFERROR(VLOOKUP(H82,#REF!,2,FALSE),0)</f>
        <v>0</v>
      </c>
      <c r="Y82" s="13">
        <f>IFERROR(VLOOKUP(H82,#REF!,3,FALSE),0)</f>
        <v>0</v>
      </c>
      <c r="Z8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311</v>
      </c>
      <c r="AA82" s="13">
        <f>IFERROR(VLOOKUP(H82,#REF!,18,FALSE),0)</f>
        <v>0</v>
      </c>
      <c r="AB82" s="13">
        <f>SUM(X82:Y82)-IFERROR(VLOOKUP(H82,#REF!,16,FALSE),0)-IFERROR(VLOOKUP(H82,#REF!,17,FALSE),0)</f>
        <v>0</v>
      </c>
      <c r="AC82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82" s="15">
        <f>IFERROR(VLOOKUP(Tableau5617192223242425262827293031333432353620383961719241822254140424344104746[[#This Row],[Num Projets]],#REF!,2,FALSE),0)</f>
        <v>0</v>
      </c>
      <c r="AE82" s="8">
        <f t="shared" si="23"/>
        <v>14865.8</v>
      </c>
      <c r="AF82" s="22" t="e">
        <f t="shared" si="24"/>
        <v>#REF!</v>
      </c>
      <c r="AG82" s="8">
        <f>IFERROR(VLOOKUP(H82,#REF!,3,FALSE),0)+IFERROR(VLOOKUP(H82,#REF!,3,FALSE),0)</f>
        <v>0</v>
      </c>
      <c r="AH82" s="8">
        <f>IFERROR(VLOOKUP(Tableau5617192223242425262827293031333432353620383961719241822254140424344104746[[#This Row],[Num Projets]],#REF!,2,FALSE),0)</f>
        <v>0</v>
      </c>
      <c r="AI82" s="17">
        <f>+IFERROR(VLOOKUP(H82,#REF!,2,FALSE),0)-Tableau5617192223242425262827293031333432353620383961719241822254140424344104746[[#This Row],[Int Commandé OT
€]]</f>
        <v>0</v>
      </c>
      <c r="AJ82" s="8">
        <f>IFERROR(VLOOKUP(H82,#REF!,11,FALSE),0)-IFERROR(VLOOKUP(H82,#REF!,10,FALSE),0)+Tableau5617192223242425262827293031333432353620383961719241822254140424344104746[[#This Row],[dont FNP à date (€ HT)]]</f>
        <v>0</v>
      </c>
      <c r="AK82" s="15">
        <f t="shared" si="30"/>
        <v>0</v>
      </c>
      <c r="AL8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2" s="19">
        <f>IF(Tableau5617192223242425262827293031333432353620383961719241822254140424344104746[[#This Row],[RAF Achats M-1
€]]=0,0,AN82-AO82)</f>
        <v>0</v>
      </c>
      <c r="AN82" s="8">
        <f>IFERROR(VLOOKUP(H82,#REF!,31,FALSE),0)</f>
        <v>0</v>
      </c>
      <c r="AO82" s="8">
        <f>AI82+-IFERROR(VLOOKUP(H82,#REF!,27,FALSE),0)</f>
        <v>0</v>
      </c>
      <c r="AP82" s="20">
        <f>IFERROR(VLOOKUP(Tableau5617192223242425262827293031333432353620383961719241822254140424344104746[[#This Row],[Num Projets]],#REF!,2,FALSE),0)</f>
        <v>0</v>
      </c>
      <c r="AQ82" s="20">
        <f>_xlfn.XLOOKUP(H82,[2]Synth!$N:$N,[2]Synth!$O:$O,0,FALSE)+_xlfn.XLOOKUP(Tableau5617192223242425262827293031333432353620383961719241822254140424344104746[[#This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630.9</v>
      </c>
      <c r="AR82" s="21">
        <v>0</v>
      </c>
      <c r="AS82" s="20">
        <f>+IFERROR(VLOOKUP(H82,#REF!,36,FALSE),0)</f>
        <v>0</v>
      </c>
      <c r="AT8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2" s="22">
        <f>IF(AG82=0,0,1-((AI82+AM82+Tableau5617192223242425262827293031333432353620383961719241822254140424344104746[[#This Row],[Int Commandé OT
€]]+Tableau5617192223242425262827293031333432353620383961719241822254140424344104746[[#This Row],[RAF Int OT
€]])/AG82))</f>
        <v>0</v>
      </c>
      <c r="AV82" s="20">
        <f>IFERROR(VLOOKUP(H82,#REF!,4,FALSE),0)+IFERROR(VLOOKUP(H82,#REF!,4,FALSE),0)</f>
        <v>0</v>
      </c>
      <c r="AW82" s="8">
        <f>IFERROR(VLOOKUP(Tableau5617192223242425262827293031333432353620383961719241822254140424344104746[[#This Row],[Num Projets]],#REF!,3,FALSE),0)</f>
        <v>0</v>
      </c>
      <c r="AX82" s="95">
        <f>IFERROR(VLOOKUP(Tableau5617192223242425262827293031333432353620383961719241822254140424344104746[[#This Row],[Num Projets]],#REF!,10,FALSE),0)</f>
        <v>0</v>
      </c>
      <c r="AY82" s="23">
        <v>0</v>
      </c>
      <c r="AZ82" s="8">
        <f>IFERROR(VLOOKUP(H82,#REF!,43,FALSE),0)</f>
        <v>0</v>
      </c>
      <c r="BA82" s="8">
        <f>AX82-IFERROR(VLOOKUP(H82,#REF!,42,FALSE),0)</f>
        <v>0</v>
      </c>
      <c r="BB82" s="47">
        <f t="shared" si="17"/>
        <v>0</v>
      </c>
      <c r="BC82" s="24">
        <f>IFERROR(VLOOKUP(H82,#REF!,47,FALSE),IFERROR(VLOOKUP(H82,#REF!,5,FALSE),0)+IFERROR(VLOOKUP(H82,#REF!,5,FALSE),0))</f>
        <v>0</v>
      </c>
      <c r="BD82" s="25">
        <f>IFERROR(VLOOKUP(H82,#REF!,2,FALSE),0)</f>
        <v>0</v>
      </c>
      <c r="BE82" s="25">
        <f>IFERROR(VLOOKUP(H82,#REF!,49,FALSE),0)</f>
        <v>0</v>
      </c>
      <c r="BF82" s="50" t="e">
        <f t="shared" si="25"/>
        <v>#REF!</v>
      </c>
      <c r="BG82" s="50">
        <f t="shared" si="26"/>
        <v>630.9</v>
      </c>
      <c r="BH82" s="27">
        <f>AE82+ (AI82-AJ82+AM82+Tableau5617192223242425262827293031333432353620383961719241822254140424344104746[[#This Row],[Int Commandé OT
€]]-Tableau5617192223242425262827293031333432353620383961719241822254140424344104746[[#This Row],[Int Réalisé OT
€]]+AR82) +AY82+BC82</f>
        <v>14234.9</v>
      </c>
      <c r="BI82" s="47">
        <f t="shared" si="31"/>
        <v>4.243969379380861E-2</v>
      </c>
      <c r="BJ82" s="47" t="e">
        <f t="shared" si="27"/>
        <v>#REF!</v>
      </c>
      <c r="BK82" s="27" t="e">
        <f t="shared" si="28"/>
        <v>#REF!</v>
      </c>
      <c r="BL82" s="26" t="e">
        <f t="shared" si="29"/>
        <v>#REF!</v>
      </c>
      <c r="BM82" s="96">
        <f>IFERROR(VLOOKUP(H82,'[1]2023sep'!H:CA,54,FALSE),105)</f>
        <v>105</v>
      </c>
      <c r="BN82" s="29">
        <v>1</v>
      </c>
      <c r="BO82" s="30" t="e">
        <f>P82-AC82-AG82-AV82-Tableau5617192223242425262827293031333432353620383961719241822254140424344104746[[#This Row],[Provisions pour risques]]</f>
        <v>#REF!</v>
      </c>
      <c r="BP8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14865.8</v>
      </c>
      <c r="BQ8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4.243969379380861E-2</v>
      </c>
      <c r="BR82" s="97" t="e">
        <f t="shared" si="18"/>
        <v>#REF!</v>
      </c>
      <c r="BS82" s="34">
        <f>Tableau5617192223242425262827293031333432353620383961719241822254140424344104746[[#This Row],[Consommé global Enregistré à date (€ HT)]]-IFERROR(VLOOKUP(H82,#REF!,50,FALSE),0)</f>
        <v>630.9</v>
      </c>
      <c r="BT82" s="35" t="e">
        <f t="shared" si="19"/>
        <v>#REF!</v>
      </c>
      <c r="BU82" s="36">
        <f>BD82-IFERROR(VLOOKUP(H82,#REF!,47,FALSE),0)</f>
        <v>0</v>
      </c>
      <c r="BV82" s="37" t="e">
        <f>+BF82+Tableau5617192223242425262827293031333432353620383961719241822254140424344104746[[#This Row],[CA fin N-1]]-IFERROR(VLOOKUP(H82,#REF!,49,FALSE),0)-IFERROR(VLOOKUP(H82,#REF!,50,FALSE),0)</f>
        <v>#REF!</v>
      </c>
      <c r="BW82" s="33">
        <f>BG82-IFERROR(VLOOKUP(H82,#REF!,51,FALSE),0)</f>
        <v>630.9</v>
      </c>
      <c r="BX82" s="35" t="e">
        <f t="shared" si="20"/>
        <v>#REF!</v>
      </c>
      <c r="BY82" s="36">
        <f>BD82-IFERROR(VLOOKUP(H82,#REF!,48,FALSE),0)</f>
        <v>0</v>
      </c>
      <c r="BZ8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2" s="39" t="e">
        <f>VLOOKUP(Tableau5617192223242425262827293031333432353620383961719241822254140424344104746[[#This Row],[Num Projets]],#REF!,1,FALSE)</f>
        <v>#REF!</v>
      </c>
      <c r="CB82" s="40">
        <v>311</v>
      </c>
      <c r="CC82" s="40">
        <v>0</v>
      </c>
      <c r="CD8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-311</v>
      </c>
    </row>
    <row r="83" spans="1:82" s="258" customFormat="1" ht="13.5" customHeight="1" x14ac:dyDescent="0.25">
      <c r="A83" s="313" t="s">
        <v>173</v>
      </c>
      <c r="B83" s="1"/>
      <c r="C83" s="2" t="e">
        <f>_xlfn.XLOOKUP(Tableau5617192223242425262827293031333432353620383961719241822254140424344104746[[#This Row],[Num Projets]],#REF!,#REF!,FALSE)</f>
        <v>#REF!</v>
      </c>
      <c r="D83" s="3" t="s">
        <v>1</v>
      </c>
      <c r="E83" s="3" t="e">
        <f>_xlfn.XLOOKUP(Tableau5617192223242425262827293031333432353620383961719241822254140424344104746[[#This Row],[Num Projets]],#REF!,#REF!,FALSE)</f>
        <v>#REF!</v>
      </c>
      <c r="F83" s="3" t="e">
        <f>_xlfn.XLOOKUP(Tableau5617192223242425262827293031333432353620383961719241822254140424344104746[[#This Row],[Num Projets]],#REF!,#REF!,"newavr",0)</f>
        <v>#REF!</v>
      </c>
      <c r="G83" s="3" t="s">
        <v>2</v>
      </c>
      <c r="H83" s="3" t="s">
        <v>174</v>
      </c>
      <c r="I8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3" s="4" t="e">
        <f>VLOOKUP(Tableau5617192223242425262827293031333432353620383961719241822254140424344104746[[#This Row],[Num Projets]],#REF!,36,FALSE)</f>
        <v>#REF!</v>
      </c>
      <c r="K83" s="5" t="s">
        <v>4</v>
      </c>
      <c r="L8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3" s="3" t="e">
        <f>SUBSTITUTE(_xlfn.XLOOKUP(Tableau5617192223242425262827293031333432353620383961719241822254140424344104746[[#This Row],[Num Projets]],#REF!,#REF!,FALSE)," ","")</f>
        <v>#REF!</v>
      </c>
      <c r="N83" s="7" t="e">
        <f>VLOOKUP(H83,#REF!,7,FALSE)</f>
        <v>#REF!</v>
      </c>
      <c r="O83" s="7" t="e">
        <f>IF(VLOOKUP(H83,#REF!,27,FALSE)=0,"",VLOOKUP(H83,#REF!,27,FALSE))</f>
        <v>#REF!</v>
      </c>
      <c r="P83" s="8" t="e">
        <f>VLOOKUP(H83,#REF!,2,FALSE)</f>
        <v>#REF!</v>
      </c>
      <c r="Q83" s="9" t="e">
        <f>Tableau5617192223242425262827293031333432353620383961719241822254140424344104746[[#This Row],[Total Budget
€]]-IFERROR(VLOOKUP(H83,#REF!,8,FALSE),0)</f>
        <v>#REF!</v>
      </c>
      <c r="R83" s="15">
        <f>AD83+AI83+Tableau5617192223242425262827293031333432353620383961719241822254140424344104746[[#This Row],[Int Commandé OT
€]]+AX83</f>
        <v>0</v>
      </c>
      <c r="S83" s="15">
        <f>AD83+AJ83+Tableau5617192223242425262827293031333432353620383961719241822254140424344104746[[#This Row],[Int Réalisé OT
€]]+AX83</f>
        <v>0</v>
      </c>
      <c r="T83" s="94" t="e">
        <f t="shared" si="22"/>
        <v>#REF!</v>
      </c>
      <c r="U8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3" s="12">
        <f>IFERROR(VLOOKUP(H83,#REF!,2,FALSE),0)</f>
        <v>0</v>
      </c>
      <c r="X83" s="13">
        <f>IFERROR(VLOOKUP(H83,#REF!,2,FALSE),0)</f>
        <v>0</v>
      </c>
      <c r="Y83" s="13">
        <f>IFERROR(VLOOKUP(H83,#REF!,3,FALSE),0)</f>
        <v>0</v>
      </c>
      <c r="Z8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</v>
      </c>
      <c r="AA83" s="13">
        <f>IFERROR(VLOOKUP(H83,#REF!,18,FALSE),0)</f>
        <v>0</v>
      </c>
      <c r="AB83" s="13">
        <f>SUM(X83:Y83)-IFERROR(VLOOKUP(H83,#REF!,16,FALSE),0)-IFERROR(VLOOKUP(H83,#REF!,17,FALSE),0)</f>
        <v>0</v>
      </c>
      <c r="AC83" s="15" t="e">
        <f>VLOOKUP(Tableau5617192223242425262827293031333432353620383961719241822254140424344104746[[#This Row],[Num Projets]],#REF!,2,FALSE)</f>
        <v>#REF!</v>
      </c>
      <c r="AD83" s="15">
        <f>IFERROR(VLOOKUP(Tableau5617192223242425262827293031333432353620383961719241822254140424344104746[[#This Row],[Num Projets]],#REF!,2,FALSE),0)</f>
        <v>0</v>
      </c>
      <c r="AE83" s="8">
        <f t="shared" si="23"/>
        <v>669.19999999999993</v>
      </c>
      <c r="AF83" s="22" t="e">
        <f t="shared" si="24"/>
        <v>#REF!</v>
      </c>
      <c r="AG83" s="8">
        <f>IFERROR(VLOOKUP(H83,#REF!,3,FALSE),0)+IFERROR(VLOOKUP(H83,#REF!,3,FALSE),0)</f>
        <v>0</v>
      </c>
      <c r="AH83" s="8">
        <f>IFERROR(VLOOKUP(Tableau5617192223242425262827293031333432353620383961719241822254140424344104746[[#This Row],[Num Projets]],#REF!,2,FALSE),0)</f>
        <v>0</v>
      </c>
      <c r="AI83" s="17">
        <f>+IFERROR(VLOOKUP(H83,#REF!,2,FALSE),0)-Tableau5617192223242425262827293031333432353620383961719241822254140424344104746[[#This Row],[Int Commandé OT
€]]</f>
        <v>0</v>
      </c>
      <c r="AJ83" s="8">
        <f>IFERROR(VLOOKUP(H83,#REF!,11,FALSE),0)-IFERROR(VLOOKUP(H83,#REF!,10,FALSE),0)+Tableau5617192223242425262827293031333432353620383961719241822254140424344104746[[#This Row],[dont FNP à date (€ HT)]]</f>
        <v>0</v>
      </c>
      <c r="AK83" s="15">
        <f t="shared" si="30"/>
        <v>0</v>
      </c>
      <c r="AL8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3" s="19">
        <f>IF(Tableau5617192223242425262827293031333432353620383961719241822254140424344104746[[#This Row],[RAF Achats M-1
€]]=0,0,AN83-AO83)</f>
        <v>0</v>
      </c>
      <c r="AN83" s="8">
        <f>IFERROR(VLOOKUP(H83,#REF!,31,FALSE),0)</f>
        <v>0</v>
      </c>
      <c r="AO83" s="8">
        <f>AI83+-IFERROR(VLOOKUP(H83,#REF!,27,FALSE),0)</f>
        <v>0</v>
      </c>
      <c r="AP83" s="20">
        <f>IFERROR(VLOOKUP(Tableau5617192223242425262827293031333432353620383961719241822254140424344104746[[#This Row],[Num Projets]],#REF!,2,FALSE),0)</f>
        <v>0</v>
      </c>
      <c r="AQ83" s="20">
        <f>_xlfn.XLOOKUP(H83,[2]Synth!$N:$N,[2]Synth!$O:$O,0,FALSE)+_xlfn.XLOOKUP(Tableau5617192223242425262827293031333432353620383961719241822254140424344104746[[#This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3" s="21">
        <v>0</v>
      </c>
      <c r="AS83" s="20">
        <f>+IFERROR(VLOOKUP(H83,#REF!,36,FALSE),0)</f>
        <v>0</v>
      </c>
      <c r="AT8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3" s="22">
        <f>IF(AG83=0,0,1-((AI83+AM83+Tableau5617192223242425262827293031333432353620383961719241822254140424344104746[[#This Row],[Int Commandé OT
€]]+Tableau5617192223242425262827293031333432353620383961719241822254140424344104746[[#This Row],[RAF Int OT
€]])/AG83))</f>
        <v>0</v>
      </c>
      <c r="AV83" s="8">
        <f>IFERROR(VLOOKUP(H83,#REF!,4,FALSE),0)+IFERROR(VLOOKUP(H83,#REF!,4,FALSE),0)</f>
        <v>0</v>
      </c>
      <c r="AW83" s="8">
        <f>IFERROR(VLOOKUP(Tableau5617192223242425262827293031333432353620383961719241822254140424344104746[[#This Row],[Num Projets]],#REF!,3,FALSE),0)</f>
        <v>0</v>
      </c>
      <c r="AX83" s="95">
        <f>IFERROR(VLOOKUP(Tableau5617192223242425262827293031333432353620383961719241822254140424344104746[[#This Row],[Num Projets]],#REF!,10,FALSE),0)</f>
        <v>0</v>
      </c>
      <c r="AY83" s="23">
        <f>Tableau5617192223242425262827293031333432353620383961719241822254140424344104746[[#This Row],[Budget Mission
 €]]/1.2-AX83</f>
        <v>0</v>
      </c>
      <c r="AZ83" s="8">
        <f>IFERROR(VLOOKUP(H83,#REF!,43,FALSE),0)</f>
        <v>0</v>
      </c>
      <c r="BA83" s="8">
        <f>AX83-IFERROR(VLOOKUP(H83,#REF!,42,FALSE),0)</f>
        <v>0</v>
      </c>
      <c r="BB83" s="47">
        <f t="shared" si="17"/>
        <v>0</v>
      </c>
      <c r="BC83" s="24">
        <f>IFERROR(VLOOKUP(H83,#REF!,47,FALSE),IFERROR(VLOOKUP(H83,#REF!,5,FALSE),0)+IFERROR(VLOOKUP(H83,#REF!,5,FALSE),0))</f>
        <v>0</v>
      </c>
      <c r="BD83" s="25">
        <f>IFERROR(VLOOKUP(H83,#REF!,2,FALSE),0)</f>
        <v>0</v>
      </c>
      <c r="BE83" s="25">
        <f>IFERROR(VLOOKUP(H83,#REF!,49,FALSE),0)</f>
        <v>0</v>
      </c>
      <c r="BF83" s="50" t="e">
        <f t="shared" si="25"/>
        <v>#REF!</v>
      </c>
      <c r="BG83" s="50">
        <f t="shared" si="26"/>
        <v>0</v>
      </c>
      <c r="BH83" s="27">
        <f>AE83+ (AI83-AJ83+AM83+Tableau5617192223242425262827293031333432353620383961719241822254140424344104746[[#This Row],[Int Commandé OT
€]]-Tableau5617192223242425262827293031333432353620383961719241822254140424344104746[[#This Row],[Int Réalisé OT
€]]+AR83) +AY83+BC83</f>
        <v>669.19999999999993</v>
      </c>
      <c r="BI83" s="47">
        <f t="shared" si="31"/>
        <v>0</v>
      </c>
      <c r="BJ83" s="47" t="e">
        <f t="shared" si="27"/>
        <v>#REF!</v>
      </c>
      <c r="BK83" s="27" t="e">
        <f t="shared" si="28"/>
        <v>#REF!</v>
      </c>
      <c r="BL83" s="26" t="e">
        <f t="shared" si="29"/>
        <v>#REF!</v>
      </c>
      <c r="BM83" s="96">
        <f>IFERROR(VLOOKUP(H83,'[1]2023sep'!H:CA,54,FALSE),105)</f>
        <v>105</v>
      </c>
      <c r="BN83" s="29">
        <v>1</v>
      </c>
      <c r="BO83" s="30" t="e">
        <f>P83-AC83-AG83-AV83-Tableau5617192223242425262827293031333432353620383961719241822254140424344104746[[#This Row],[Provisions pour risques]]</f>
        <v>#REF!</v>
      </c>
      <c r="BP8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669.19999999999993</v>
      </c>
      <c r="BQ8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83" s="97" t="e">
        <f t="shared" si="18"/>
        <v>#REF!</v>
      </c>
      <c r="BS83" s="34">
        <f>Tableau5617192223242425262827293031333432353620383961719241822254140424344104746[[#This Row],[Consommé global Enregistré à date (€ HT)]]-IFERROR(VLOOKUP(H83,#REF!,50,FALSE),0)</f>
        <v>0</v>
      </c>
      <c r="BT83" s="35" t="e">
        <f t="shared" si="19"/>
        <v>#REF!</v>
      </c>
      <c r="BU83" s="36">
        <f>BD83-IFERROR(VLOOKUP(H83,#REF!,47,FALSE),0)</f>
        <v>0</v>
      </c>
      <c r="BV83" s="37" t="e">
        <f>+BF83+Tableau5617192223242425262827293031333432353620383961719241822254140424344104746[[#This Row],[CA fin N-1]]-IFERROR(VLOOKUP(H83,#REF!,49,FALSE),0)-IFERROR(VLOOKUP(H83,#REF!,50,FALSE),0)</f>
        <v>#REF!</v>
      </c>
      <c r="BW83" s="33">
        <f>BG83-IFERROR(VLOOKUP(H83,#REF!,51,FALSE),0)</f>
        <v>0</v>
      </c>
      <c r="BX83" s="35" t="e">
        <f t="shared" si="20"/>
        <v>#REF!</v>
      </c>
      <c r="BY83" s="36">
        <f>BD83-IFERROR(VLOOKUP(H83,#REF!,48,FALSE),0)</f>
        <v>0</v>
      </c>
      <c r="BZ8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3" s="39" t="e">
        <f>VLOOKUP(Tableau5617192223242425262827293031333432353620383961719241822254140424344104746[[#This Row],[Num Projets]],#REF!,1,FALSE)</f>
        <v>#REF!</v>
      </c>
      <c r="CB83" s="40">
        <v>10</v>
      </c>
      <c r="CC83" s="40">
        <v>4</v>
      </c>
      <c r="CD8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</v>
      </c>
    </row>
    <row r="84" spans="1:82" s="258" customFormat="1" ht="13.5" customHeight="1" x14ac:dyDescent="0.25">
      <c r="A84" s="311"/>
      <c r="B84" s="1"/>
      <c r="C84" s="2" t="e">
        <f>_xlfn.XLOOKUP(Tableau5617192223242425262827293031333432353620383961719241822254140424344104746[[#This Row],[Num Projets]],#REF!,#REF!,FALSE)</f>
        <v>#REF!</v>
      </c>
      <c r="D84" s="3" t="s">
        <v>6</v>
      </c>
      <c r="E84" s="3" t="e">
        <f>_xlfn.XLOOKUP(Tableau5617192223242425262827293031333432353620383961719241822254140424344104746[[#This Row],[Num Projets]],#REF!,#REF!,FALSE)</f>
        <v>#REF!</v>
      </c>
      <c r="F84" s="3" t="e">
        <f>_xlfn.XLOOKUP(Tableau5617192223242425262827293031333432353620383961719241822254140424344104746[[#This Row],[Num Projets]],#REF!,#REF!,"newavr",0)</f>
        <v>#REF!</v>
      </c>
      <c r="G84" s="3" t="s">
        <v>58</v>
      </c>
      <c r="H84" s="3" t="s">
        <v>175</v>
      </c>
      <c r="I8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4" s="4" t="e">
        <f>VLOOKUP(Tableau5617192223242425262827293031333432353620383961719241822254140424344104746[[#This Row],[Num Projets]],#REF!,36,FALSE)</f>
        <v>#REF!</v>
      </c>
      <c r="K84" s="5" t="s">
        <v>9</v>
      </c>
      <c r="L8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4" s="3" t="e">
        <f>SUBSTITUTE(_xlfn.XLOOKUP(Tableau5617192223242425262827293031333432353620383961719241822254140424344104746[[#This Row],[Num Projets]],#REF!,#REF!,FALSE)," ","")</f>
        <v>#REF!</v>
      </c>
      <c r="N84" s="7" t="e">
        <f>VLOOKUP(H84,#REF!,7,FALSE)</f>
        <v>#REF!</v>
      </c>
      <c r="O84" s="7" t="e">
        <f>IF(VLOOKUP(H84,#REF!,27,FALSE)=0,"",VLOOKUP(H84,#REF!,27,FALSE))</f>
        <v>#REF!</v>
      </c>
      <c r="P84" s="8" t="e">
        <f>VLOOKUP(H84,#REF!,2,FALSE)</f>
        <v>#REF!</v>
      </c>
      <c r="Q84" s="9" t="e">
        <f>Tableau5617192223242425262827293031333432353620383961719241822254140424344104746[[#This Row],[Total Budget
€]]-IFERROR(VLOOKUP(H84,#REF!,8,FALSE),0)</f>
        <v>#REF!</v>
      </c>
      <c r="R84" s="15">
        <f>AD84+AI84+Tableau5617192223242425262827293031333432353620383961719241822254140424344104746[[#This Row],[Int Commandé OT
€]]+AX84</f>
        <v>0</v>
      </c>
      <c r="S84" s="15">
        <f>AD84+AJ84+Tableau5617192223242425262827293031333432353620383961719241822254140424344104746[[#This Row],[Int Réalisé OT
€]]+AX84</f>
        <v>240</v>
      </c>
      <c r="T84" s="94" t="e">
        <f t="shared" si="22"/>
        <v>#REF!</v>
      </c>
      <c r="U8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4" s="12">
        <f>IFERROR(VLOOKUP(H84,#REF!,2,FALSE),0)</f>
        <v>0</v>
      </c>
      <c r="X84" s="13">
        <f>IFERROR(VLOOKUP(H84,#REF!,2,FALSE),0)</f>
        <v>0</v>
      </c>
      <c r="Y84" s="13">
        <f>IFERROR(VLOOKUP(H84,#REF!,3,FALSE),0)</f>
        <v>0</v>
      </c>
      <c r="Z8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23</v>
      </c>
      <c r="AA84" s="13">
        <f>IFERROR(VLOOKUP(H84,#REF!,18,FALSE),0)</f>
        <v>0</v>
      </c>
      <c r="AB84" s="13">
        <f>SUM(X84:Y84)-IFERROR(VLOOKUP(H84,#REF!,16,FALSE),0)-IFERROR(VLOOKUP(H84,#REF!,17,FALSE),0)</f>
        <v>0</v>
      </c>
      <c r="AC84" s="15" t="e">
        <f>VLOOKUP(Tableau5617192223242425262827293031333432353620383961719241822254140424344104746[[#This Row],[Num Projets]],#REF!,2,FALSE)</f>
        <v>#REF!</v>
      </c>
      <c r="AD84" s="15">
        <f>IFERROR(VLOOKUP(Tableau5617192223242425262827293031333432353620383961719241822254140424344104746[[#This Row],[Num Projets]],#REF!,2,FALSE),0)</f>
        <v>0</v>
      </c>
      <c r="AE84" s="8">
        <f t="shared" si="23"/>
        <v>1099.3999999999999</v>
      </c>
      <c r="AF84" s="22" t="e">
        <f t="shared" si="24"/>
        <v>#REF!</v>
      </c>
      <c r="AG84" s="8">
        <f>IFERROR(VLOOKUP(H84,#REF!,3,FALSE),0)+IFERROR(VLOOKUP(H84,#REF!,3,FALSE),0)</f>
        <v>0</v>
      </c>
      <c r="AH84" s="8">
        <f>IFERROR(VLOOKUP(Tableau5617192223242425262827293031333432353620383961719241822254140424344104746[[#This Row],[Num Projets]],#REF!,2,FALSE),0)</f>
        <v>0</v>
      </c>
      <c r="AI84" s="17">
        <f>+IFERROR(VLOOKUP(H84,#REF!,2,FALSE),0)-Tableau5617192223242425262827293031333432353620383961719241822254140424344104746[[#This Row],[Int Commandé OT
€]]</f>
        <v>0</v>
      </c>
      <c r="AJ84" s="8">
        <f>IFERROR(VLOOKUP(H84,#REF!,11,FALSE),0)-IFERROR(VLOOKUP(H84,#REF!,10,FALSE),0)+Tableau5617192223242425262827293031333432353620383961719241822254140424344104746[[#This Row],[dont FNP à date (€ HT)]]</f>
        <v>240</v>
      </c>
      <c r="AK84" s="23">
        <f t="shared" si="30"/>
        <v>-240</v>
      </c>
      <c r="AL8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240</v>
      </c>
      <c r="AM84" s="19">
        <f>IF(Tableau5617192223242425262827293031333432353620383961719241822254140424344104746[[#This Row],[RAF Achats M-1
€]]=0,0,AN84-AO84)</f>
        <v>0</v>
      </c>
      <c r="AN84" s="8">
        <f>IFERROR(VLOOKUP(H84,#REF!,31,FALSE),0)</f>
        <v>0</v>
      </c>
      <c r="AO84" s="8">
        <f>AI84+-IFERROR(VLOOKUP(H84,#REF!,27,FALSE),0)</f>
        <v>0</v>
      </c>
      <c r="AP84" s="20">
        <f>IFERROR(VLOOKUP(Tableau5617192223242425262827293031333432353620383961719241822254140424344104746[[#This Row],[Num Projets]],#REF!,2,FALSE),0)</f>
        <v>0</v>
      </c>
      <c r="AQ84" s="20">
        <f>_xlfn.XLOOKUP(H84,[2]Synth!$N:$N,[2]Synth!$O:$O,0,FALSE)+_xlfn.XLOOKUP(Tableau5617192223242425262827293031333432353620383961719241822254140424344104746[[#This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4" s="21">
        <v>0</v>
      </c>
      <c r="AS84" s="20">
        <f>+IFERROR(VLOOKUP(H84,#REF!,36,FALSE),0)</f>
        <v>0</v>
      </c>
      <c r="AT8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4" s="22">
        <f>IF(AG84=0,0,1-((AI84+AM84+Tableau5617192223242425262827293031333432353620383961719241822254140424344104746[[#This Row],[Int Commandé OT
€]]+Tableau5617192223242425262827293031333432353620383961719241822254140424344104746[[#This Row],[RAF Int OT
€]])/AG84))</f>
        <v>0</v>
      </c>
      <c r="AV84" s="8">
        <f>IFERROR(VLOOKUP(H84,#REF!,4,FALSE),0)+IFERROR(VLOOKUP(H84,#REF!,4,FALSE),0)</f>
        <v>0</v>
      </c>
      <c r="AW84" s="8">
        <f>IFERROR(VLOOKUP(Tableau5617192223242425262827293031333432353620383961719241822254140424344104746[[#This Row],[Num Projets]],#REF!,3,FALSE),0)</f>
        <v>0</v>
      </c>
      <c r="AX84" s="95">
        <f>IFERROR(VLOOKUP(Tableau5617192223242425262827293031333432353620383961719241822254140424344104746[[#This Row],[Num Projets]],#REF!,10,FALSE),0)</f>
        <v>0</v>
      </c>
      <c r="AY84" s="23">
        <f>Tableau5617192223242425262827293031333432353620383961719241822254140424344104746[[#This Row],[Budget Mission
 €]]/1.2-AX84</f>
        <v>0</v>
      </c>
      <c r="AZ84" s="8">
        <f>IFERROR(VLOOKUP(H84,#REF!,43,FALSE),0)</f>
        <v>0</v>
      </c>
      <c r="BA84" s="8">
        <f>AX84-IFERROR(VLOOKUP(H84,#REF!,42,FALSE),0)</f>
        <v>0</v>
      </c>
      <c r="BB84" s="47">
        <f t="shared" si="17"/>
        <v>0</v>
      </c>
      <c r="BC84" s="24">
        <f>IFERROR(VLOOKUP(H84,#REF!,47,FALSE),IFERROR(VLOOKUP(H84,#REF!,5,FALSE),0)+IFERROR(VLOOKUP(H84,#REF!,5,FALSE),0))</f>
        <v>0</v>
      </c>
      <c r="BD84" s="25">
        <f>IFERROR(VLOOKUP(H84,#REF!,2,FALSE),0)</f>
        <v>0</v>
      </c>
      <c r="BE84" s="25">
        <f>IFERROR(VLOOKUP(H84,#REF!,49,FALSE),0)</f>
        <v>0</v>
      </c>
      <c r="BF84" s="50" t="e">
        <f t="shared" si="25"/>
        <v>#REF!</v>
      </c>
      <c r="BG84" s="50">
        <f t="shared" si="26"/>
        <v>240</v>
      </c>
      <c r="BH84" s="27">
        <f>AE84+ (AI84-AJ84+AM84+Tableau5617192223242425262827293031333432353620383961719241822254140424344104746[[#This Row],[Int Commandé OT
€]]-Tableau5617192223242425262827293031333432353620383961719241822254140424344104746[[#This Row],[Int Réalisé OT
€]]+AR84) +AY84+BC84</f>
        <v>859.39999999999986</v>
      </c>
      <c r="BI84" s="47">
        <f t="shared" si="31"/>
        <v>0.21830089139530656</v>
      </c>
      <c r="BJ84" s="47" t="e">
        <f t="shared" si="27"/>
        <v>#REF!</v>
      </c>
      <c r="BK84" s="27" t="e">
        <f t="shared" si="28"/>
        <v>#REF!</v>
      </c>
      <c r="BL84" s="26" t="e">
        <f t="shared" si="29"/>
        <v>#REF!</v>
      </c>
      <c r="BM84" s="96">
        <f>IFERROR(VLOOKUP(H84,'[1]2023sep'!H:CA,54,FALSE),105)</f>
        <v>105</v>
      </c>
      <c r="BN84" s="29">
        <v>1</v>
      </c>
      <c r="BO84" s="30" t="e">
        <f>P84-AC84-AG84-AV84-Tableau5617192223242425262827293031333432353620383961719241822254140424344104746[[#This Row],[Provisions pour risques]]</f>
        <v>#REF!</v>
      </c>
      <c r="BP8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1099.3999999999999</v>
      </c>
      <c r="BQ8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0.21830089139530656</v>
      </c>
      <c r="BR84" s="97" t="e">
        <f t="shared" si="18"/>
        <v>#REF!</v>
      </c>
      <c r="BS84" s="34">
        <f>Tableau5617192223242425262827293031333432353620383961719241822254140424344104746[[#This Row],[Consommé global Enregistré à date (€ HT)]]-IFERROR(VLOOKUP(H84,#REF!,50,FALSE),0)</f>
        <v>240</v>
      </c>
      <c r="BT84" s="35" t="e">
        <f t="shared" si="19"/>
        <v>#REF!</v>
      </c>
      <c r="BU84" s="36">
        <f>BD84-IFERROR(VLOOKUP(H84,#REF!,47,FALSE),0)</f>
        <v>0</v>
      </c>
      <c r="BV84" s="37" t="e">
        <f>+BF84+Tableau5617192223242425262827293031333432353620383961719241822254140424344104746[[#This Row],[CA fin N-1]]-IFERROR(VLOOKUP(H84,#REF!,49,FALSE),0)-IFERROR(VLOOKUP(H84,#REF!,50,FALSE),0)</f>
        <v>#REF!</v>
      </c>
      <c r="BW84" s="33">
        <f>BG84-IFERROR(VLOOKUP(H84,#REF!,51,FALSE),0)</f>
        <v>240</v>
      </c>
      <c r="BX84" s="35" t="e">
        <f t="shared" si="20"/>
        <v>#REF!</v>
      </c>
      <c r="BY84" s="36">
        <f>BD84-IFERROR(VLOOKUP(H84,#REF!,48,FALSE),0)</f>
        <v>0</v>
      </c>
      <c r="BZ8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4" s="39" t="e">
        <f>VLOOKUP(Tableau5617192223242425262827293031333432353620383961719241822254140424344104746[[#This Row],[Num Projets]],#REF!,1,FALSE)</f>
        <v>#REF!</v>
      </c>
      <c r="CB84" s="40">
        <v>23</v>
      </c>
      <c r="CC84" s="40">
        <v>0</v>
      </c>
      <c r="CD8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-23</v>
      </c>
    </row>
    <row r="85" spans="1:82" s="258" customFormat="1" ht="13.5" customHeight="1" x14ac:dyDescent="0.25">
      <c r="A85" s="311" t="s">
        <v>176</v>
      </c>
      <c r="B85" s="1"/>
      <c r="C85" s="2" t="e">
        <f>_xlfn.XLOOKUP(Tableau5617192223242425262827293031333432353620383961719241822254140424344104746[[#This Row],[Num Projets]],#REF!,#REF!,FALSE)</f>
        <v>#REF!</v>
      </c>
      <c r="D85" s="3" t="s">
        <v>6</v>
      </c>
      <c r="E85" s="3" t="e">
        <f>_xlfn.XLOOKUP(Tableau5617192223242425262827293031333432353620383961719241822254140424344104746[[#This Row],[Num Projets]],#REF!,#REF!,FALSE)</f>
        <v>#REF!</v>
      </c>
      <c r="F85" s="3" t="e">
        <f>_xlfn.XLOOKUP(Tableau5617192223242425262827293031333432353620383961719241822254140424344104746[[#This Row],[Num Projets]],#REF!,#REF!,"newavr",0)</f>
        <v>#REF!</v>
      </c>
      <c r="G85" s="3" t="s">
        <v>2</v>
      </c>
      <c r="H85" s="3" t="s">
        <v>177</v>
      </c>
      <c r="I8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5" s="4" t="e">
        <f>VLOOKUP(Tableau5617192223242425262827293031333432353620383961719241822254140424344104746[[#This Row],[Num Projets]],#REF!,36,FALSE)</f>
        <v>#REF!</v>
      </c>
      <c r="K85" s="5" t="s">
        <v>21</v>
      </c>
      <c r="L8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5" s="3" t="e">
        <f>SUBSTITUTE(_xlfn.XLOOKUP(Tableau5617192223242425262827293031333432353620383961719241822254140424344104746[[#This Row],[Num Projets]],#REF!,#REF!,FALSE)," ","")</f>
        <v>#REF!</v>
      </c>
      <c r="N85" s="7" t="e">
        <f>VLOOKUP(H85,#REF!,7,FALSE)</f>
        <v>#REF!</v>
      </c>
      <c r="O85" s="7">
        <v>45747</v>
      </c>
      <c r="P85" s="8" t="e">
        <f>VLOOKUP(H85,#REF!,2,FALSE)</f>
        <v>#REF!</v>
      </c>
      <c r="Q85" s="9" t="e">
        <f>Tableau5617192223242425262827293031333432353620383961719241822254140424344104746[[#This Row],[Total Budget
€]]-IFERROR(VLOOKUP(H85,#REF!,8,FALSE),0)</f>
        <v>#REF!</v>
      </c>
      <c r="R85" s="15">
        <f>AD85+AI85+Tableau5617192223242425262827293031333432353620383961719241822254140424344104746[[#This Row],[Int Commandé OT
€]]+AX85</f>
        <v>0</v>
      </c>
      <c r="S85" s="15">
        <f>AD85+AJ85+Tableau5617192223242425262827293031333432353620383961719241822254140424344104746[[#This Row],[Int Réalisé OT
€]]+AX85</f>
        <v>0</v>
      </c>
      <c r="T85" s="94" t="e">
        <f t="shared" si="22"/>
        <v>#REF!</v>
      </c>
      <c r="U8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5" s="12">
        <f>IFERROR(VLOOKUP(H85,#REF!,2,FALSE),0)</f>
        <v>0</v>
      </c>
      <c r="X85" s="13">
        <f>IFERROR(VLOOKUP(H85,#REF!,2,FALSE),0)</f>
        <v>0</v>
      </c>
      <c r="Y85" s="13">
        <f>IFERROR(VLOOKUP(H85,#REF!,3,FALSE),0)</f>
        <v>0</v>
      </c>
      <c r="Z8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32.01</v>
      </c>
      <c r="AA85" s="13">
        <f>IFERROR(VLOOKUP(H85,#REF!,18,FALSE),0)</f>
        <v>0</v>
      </c>
      <c r="AB85" s="13">
        <f>SUM(X85:Y85)-IFERROR(VLOOKUP(H85,#REF!,16,FALSE),0)-IFERROR(VLOOKUP(H85,#REF!,17,FALSE),0)</f>
        <v>0</v>
      </c>
      <c r="AC85" s="15" t="e">
        <f>VLOOKUP(Tableau5617192223242425262827293031333432353620383961719241822254140424344104746[[#This Row],[Num Projets]],#REF!,2,FALSE)</f>
        <v>#REF!</v>
      </c>
      <c r="AD85" s="15">
        <f>IFERROR(VLOOKUP(Tableau5617192223242425262827293031333432353620383961719241822254140424344104746[[#This Row],[Num Projets]],#REF!,2,FALSE),0)</f>
        <v>0</v>
      </c>
      <c r="AE85" s="8">
        <f t="shared" si="23"/>
        <v>1530.0779999999997</v>
      </c>
      <c r="AF85" s="22" t="e">
        <f t="shared" si="24"/>
        <v>#REF!</v>
      </c>
      <c r="AG85" s="8">
        <f>IFERROR(VLOOKUP(H85,#REF!,3,FALSE),0)+IFERROR(VLOOKUP(H85,#REF!,3,FALSE),0)</f>
        <v>0</v>
      </c>
      <c r="AH85" s="8">
        <f>IFERROR(VLOOKUP(Tableau5617192223242425262827293031333432353620383961719241822254140424344104746[[#This Row],[Num Projets]],#REF!,2,FALSE),0)</f>
        <v>0</v>
      </c>
      <c r="AI85" s="17">
        <f>+IFERROR(VLOOKUP(H85,#REF!,2,FALSE),0)-Tableau5617192223242425262827293031333432353620383961719241822254140424344104746[[#This Row],[Int Commandé OT
€]]</f>
        <v>0</v>
      </c>
      <c r="AJ85" s="8">
        <f>IFERROR(VLOOKUP(H85,#REF!,11,FALSE),0)-IFERROR(VLOOKUP(H85,#REF!,10,FALSE),0)+Tableau5617192223242425262827293031333432353620383961719241822254140424344104746[[#This Row],[dont FNP à date (€ HT)]]</f>
        <v>0</v>
      </c>
      <c r="AK85" s="15">
        <f t="shared" si="30"/>
        <v>0</v>
      </c>
      <c r="AL8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5" s="19">
        <f>IF(Tableau5617192223242425262827293031333432353620383961719241822254140424344104746[[#This Row],[RAF Achats M-1
€]]=0,0,AN85-AO85)</f>
        <v>0</v>
      </c>
      <c r="AN85" s="8">
        <f>IFERROR(VLOOKUP(H85,#REF!,31,FALSE),0)</f>
        <v>0</v>
      </c>
      <c r="AO85" s="8">
        <f>AI85+-IFERROR(VLOOKUP(H85,#REF!,27,FALSE),0)</f>
        <v>0</v>
      </c>
      <c r="AP85" s="20">
        <f>IFERROR(VLOOKUP(Tableau5617192223242425262827293031333432353620383961719241822254140424344104746[[#This Row],[Num Projets]],#REF!,2,FALSE),0)</f>
        <v>0</v>
      </c>
      <c r="AQ85" s="20">
        <f>_xlfn.XLOOKUP(H85,[2]Synth!$N:$N,[2]Synth!$O:$O,0,FALSE)+_xlfn.XLOOKUP(Tableau5617192223242425262827293031333432353620383961719241822254140424344104746[[#This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5" s="21">
        <v>0</v>
      </c>
      <c r="AS85" s="20">
        <f>+IFERROR(VLOOKUP(H85,#REF!,36,FALSE),0)</f>
        <v>0</v>
      </c>
      <c r="AT8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5" s="22">
        <f>IF(AG85=0,0,1-((AI85+AM85+Tableau5617192223242425262827293031333432353620383961719241822254140424344104746[[#This Row],[Int Commandé OT
€]]+Tableau5617192223242425262827293031333432353620383961719241822254140424344104746[[#This Row],[RAF Int OT
€]])/AG85))</f>
        <v>0</v>
      </c>
      <c r="AV85" s="8">
        <f>IFERROR(VLOOKUP(H85,#REF!,4,FALSE),0)+IFERROR(VLOOKUP(H85,#REF!,4,FALSE),0)</f>
        <v>0</v>
      </c>
      <c r="AW85" s="8">
        <f>IFERROR(VLOOKUP(Tableau5617192223242425262827293031333432353620383961719241822254140424344104746[[#This Row],[Num Projets]],#REF!,3,FALSE),0)</f>
        <v>0</v>
      </c>
      <c r="AX85" s="95">
        <f>IFERROR(VLOOKUP(Tableau5617192223242425262827293031333432353620383961719241822254140424344104746[[#This Row],[Num Projets]],#REF!,10,FALSE),0)</f>
        <v>0</v>
      </c>
      <c r="AY85" s="23">
        <v>0</v>
      </c>
      <c r="AZ85" s="8">
        <f>IFERROR(VLOOKUP(H85,#REF!,43,FALSE),0)</f>
        <v>0</v>
      </c>
      <c r="BA85" s="8">
        <f>AX85-IFERROR(VLOOKUP(H85,#REF!,42,FALSE),0)</f>
        <v>0</v>
      </c>
      <c r="BB85" s="47">
        <f t="shared" si="17"/>
        <v>0</v>
      </c>
      <c r="BC85" s="24">
        <f>IFERROR(VLOOKUP(H85,#REF!,47,FALSE),IFERROR(VLOOKUP(H85,#REF!,5,FALSE),0)+IFERROR(VLOOKUP(H85,#REF!,5,FALSE),0))</f>
        <v>0</v>
      </c>
      <c r="BD85" s="25">
        <f>IFERROR(VLOOKUP(H85,#REF!,2,FALSE),0)</f>
        <v>0</v>
      </c>
      <c r="BE85" s="25">
        <f>IFERROR(VLOOKUP(H85,#REF!,49,FALSE),0)</f>
        <v>0</v>
      </c>
      <c r="BF85" s="50" t="e">
        <f t="shared" si="25"/>
        <v>#REF!</v>
      </c>
      <c r="BG85" s="50">
        <f t="shared" si="26"/>
        <v>0</v>
      </c>
      <c r="BH85" s="27">
        <f>AE85+ (AI85-AJ85+AM85+Tableau5617192223242425262827293031333432353620383961719241822254140424344104746[[#This Row],[Int Commandé OT
€]]-Tableau5617192223242425262827293031333432353620383961719241822254140424344104746[[#This Row],[Int Réalisé OT
€]]+AR85) +AY85+BC85</f>
        <v>1530.0779999999997</v>
      </c>
      <c r="BI85" s="47">
        <f t="shared" si="31"/>
        <v>0</v>
      </c>
      <c r="BJ85" s="47" t="e">
        <f t="shared" si="27"/>
        <v>#REF!</v>
      </c>
      <c r="BK85" s="27" t="e">
        <f t="shared" si="28"/>
        <v>#REF!</v>
      </c>
      <c r="BL85" s="26" t="e">
        <f t="shared" si="29"/>
        <v>#REF!</v>
      </c>
      <c r="BM85" s="96">
        <f>IFERROR(VLOOKUP(H85,'[1]2023sep'!H:CA,54,FALSE),105)</f>
        <v>105</v>
      </c>
      <c r="BN85" s="29">
        <v>1</v>
      </c>
      <c r="BO85" s="30" t="e">
        <f>P85-AC85-AG85-AV85-Tableau5617192223242425262827293031333432353620383961719241822254140424344104746[[#This Row],[Provisions pour risques]]</f>
        <v>#REF!</v>
      </c>
      <c r="BP8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1530.0779999999997</v>
      </c>
      <c r="BQ8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85" s="97" t="e">
        <f t="shared" si="18"/>
        <v>#REF!</v>
      </c>
      <c r="BS85" s="34">
        <f>Tableau5617192223242425262827293031333432353620383961719241822254140424344104746[[#This Row],[Consommé global Enregistré à date (€ HT)]]-IFERROR(VLOOKUP(H85,#REF!,50,FALSE),0)</f>
        <v>0</v>
      </c>
      <c r="BT85" s="35" t="e">
        <f t="shared" si="19"/>
        <v>#REF!</v>
      </c>
      <c r="BU85" s="36">
        <f>BD85-IFERROR(VLOOKUP(H85,#REF!,47,FALSE),0)</f>
        <v>0</v>
      </c>
      <c r="BV85" s="37" t="e">
        <f>+BF85+Tableau5617192223242425262827293031333432353620383961719241822254140424344104746[[#This Row],[CA fin N-1]]-IFERROR(VLOOKUP(H85,#REF!,49,FALSE),0)-IFERROR(VLOOKUP(H85,#REF!,50,FALSE),0)</f>
        <v>#REF!</v>
      </c>
      <c r="BW85" s="33">
        <f>BG85-IFERROR(VLOOKUP(H85,#REF!,51,FALSE),0)</f>
        <v>0</v>
      </c>
      <c r="BX85" s="35" t="e">
        <f t="shared" si="20"/>
        <v>#REF!</v>
      </c>
      <c r="BY85" s="36">
        <f>BD85-IFERROR(VLOOKUP(H85,#REF!,48,FALSE),0)</f>
        <v>0</v>
      </c>
      <c r="BZ8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5" s="39" t="e">
        <f>VLOOKUP(Tableau5617192223242425262827293031333432353620383961719241822254140424344104746[[#This Row],[Num Projets]],#REF!,1,FALSE)</f>
        <v>#REF!</v>
      </c>
      <c r="CB85" s="40">
        <v>32</v>
      </c>
      <c r="CC85" s="40">
        <v>9.9999999999980105E-3</v>
      </c>
      <c r="CD8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-32</v>
      </c>
    </row>
    <row r="86" spans="1:82" s="258" customFormat="1" ht="13.5" customHeight="1" x14ac:dyDescent="0.25">
      <c r="A86" s="313" t="s">
        <v>178</v>
      </c>
      <c r="B86" s="1"/>
      <c r="C86" s="2" t="e">
        <f>_xlfn.XLOOKUP(Tableau5617192223242425262827293031333432353620383961719241822254140424344104746[[#This Row],[Num Projets]],#REF!,#REF!,FALSE)</f>
        <v>#REF!</v>
      </c>
      <c r="D86" s="3" t="s">
        <v>6</v>
      </c>
      <c r="E86" s="3" t="e">
        <f>_xlfn.XLOOKUP(Tableau5617192223242425262827293031333432353620383961719241822254140424344104746[[#This Row],[Num Projets]],#REF!,#REF!,FALSE)</f>
        <v>#REF!</v>
      </c>
      <c r="F86" s="3" t="e">
        <f>_xlfn.XLOOKUP(Tableau5617192223242425262827293031333432353620383961719241822254140424344104746[[#This Row],[Num Projets]],#REF!,#REF!,"newavr",0)</f>
        <v>#REF!</v>
      </c>
      <c r="G86" s="3" t="s">
        <v>58</v>
      </c>
      <c r="H86" s="3" t="s">
        <v>179</v>
      </c>
      <c r="I8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6" s="4" t="e">
        <f>VLOOKUP(Tableau5617192223242425262827293031333432353620383961719241822254140424344104746[[#This Row],[Num Projets]],#REF!,36,FALSE)</f>
        <v>#REF!</v>
      </c>
      <c r="K86" s="5" t="s">
        <v>9</v>
      </c>
      <c r="L8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6" s="3" t="e">
        <f>SUBSTITUTE(_xlfn.XLOOKUP(Tableau5617192223242425262827293031333432353620383961719241822254140424344104746[[#This Row],[Num Projets]],#REF!,#REF!,FALSE)," ","")</f>
        <v>#REF!</v>
      </c>
      <c r="N86" s="7" t="e">
        <f>VLOOKUP(H86,#REF!,7,FALSE)</f>
        <v>#REF!</v>
      </c>
      <c r="O86" s="7" t="e">
        <f>IF(VLOOKUP(H86,#REF!,27,FALSE)=0,"",VLOOKUP(H86,#REF!,27,FALSE))</f>
        <v>#REF!</v>
      </c>
      <c r="P86" s="62" t="e">
        <f>VLOOKUP(H86,#REF!,2,FALSE)+16000*0.91</f>
        <v>#REF!</v>
      </c>
      <c r="Q86" s="9" t="e">
        <f>Tableau5617192223242425262827293031333432353620383961719241822254140424344104746[[#This Row],[Total Budget
€]]-IFERROR(VLOOKUP(H86,#REF!,8,FALSE),0)</f>
        <v>#REF!</v>
      </c>
      <c r="R86" s="15">
        <f>AD86+AI86+Tableau5617192223242425262827293031333432353620383961719241822254140424344104746[[#This Row],[Int Commandé OT
€]]+AX86</f>
        <v>0</v>
      </c>
      <c r="S86" s="15">
        <f>AD86+AJ86+Tableau5617192223242425262827293031333432353620383961719241822254140424344104746[[#This Row],[Int Réalisé OT
€]]+AX86</f>
        <v>0</v>
      </c>
      <c r="T86" s="94" t="e">
        <f t="shared" si="22"/>
        <v>#REF!</v>
      </c>
      <c r="U8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6" s="42">
        <f>IFERROR(VLOOKUP(H86,#REF!,2,FALSE),0)+16000*0.91/105</f>
        <v>138.66666666666666</v>
      </c>
      <c r="X86" s="13">
        <f>IFERROR(VLOOKUP(H86,#REF!,2,FALSE),0)</f>
        <v>0</v>
      </c>
      <c r="Y86" s="13">
        <f>IFERROR(VLOOKUP(H86,#REF!,3,FALSE),0)</f>
        <v>0</v>
      </c>
      <c r="Z86" s="14">
        <v>0</v>
      </c>
      <c r="AA86" s="13">
        <f>IFERROR(VLOOKUP(H86,#REF!,18,FALSE),0)</f>
        <v>0</v>
      </c>
      <c r="AB86" s="13">
        <f>SUM(X86:Y86)-IFERROR(VLOOKUP(H86,#REF!,16,FALSE),0)-IFERROR(VLOOKUP(H86,#REF!,17,FALSE),0)</f>
        <v>0</v>
      </c>
      <c r="AC86" s="15" t="e">
        <f>VLOOKUP(Tableau5617192223242425262827293031333432353620383961719241822254140424344104746[[#This Row],[Num Projets]],#REF!,2,FALSE)+18000*0.91</f>
        <v>#REF!</v>
      </c>
      <c r="AD86" s="15">
        <f>Tableau5617192223242425262827293031333432353620383961719241822254140424344104746[[#This Row],[Réel Heures Internes
Hrs]]*43</f>
        <v>0</v>
      </c>
      <c r="AE86" s="8">
        <f t="shared" si="23"/>
        <v>0</v>
      </c>
      <c r="AF86" s="22" t="e">
        <f t="shared" si="24"/>
        <v>#REF!</v>
      </c>
      <c r="AG86" s="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86" s="8">
        <f>IFERROR(VLOOKUP(Tableau5617192223242425262827293031333432353620383961719241822254140424344104746[[#This Row],[Num Projets]],#REF!,2,FALSE),0)</f>
        <v>0</v>
      </c>
      <c r="AI86" s="17">
        <f>+IFERROR(VLOOKUP(H86,#REF!,2,FALSE),0)-Tableau5617192223242425262827293031333432353620383961719241822254140424344104746[[#This Row],[Int Commandé OT
€]]</f>
        <v>0</v>
      </c>
      <c r="AJ86" s="8">
        <f>IFERROR(VLOOKUP(H86,#REF!,11,FALSE),0)-IFERROR(VLOOKUP(H86,#REF!,10,FALSE),0)+Tableau5617192223242425262827293031333432353620383961719241822254140424344104746[[#This Row],[dont FNP à date (€ HT)]]</f>
        <v>0</v>
      </c>
      <c r="AK86" s="23">
        <f t="shared" si="30"/>
        <v>0</v>
      </c>
      <c r="AL8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6" s="19">
        <f>IF(Tableau5617192223242425262827293031333432353620383961719241822254140424344104746[[#This Row],[RAF Achats M-1
€]]=0,0,AN86-AO86)</f>
        <v>0</v>
      </c>
      <c r="AN86" s="8">
        <f>IFERROR(VLOOKUP(H86,#REF!,31,FALSE),0)</f>
        <v>0</v>
      </c>
      <c r="AO86" s="8">
        <f>AI86+-IFERROR(VLOOKUP(H86,#REF!,27,FALSE),0)</f>
        <v>0</v>
      </c>
      <c r="AP86" s="20">
        <f>IFERROR(VLOOKUP(Tableau5617192223242425262827293031333432353620383961719241822254140424344104746[[#This Row],[Num Projets]],#REF!,2,FALSE),0)</f>
        <v>0</v>
      </c>
      <c r="AQ86" s="20">
        <f>_xlfn.XLOOKUP(H86,[2]Synth!$N:$N,[2]Synth!$O:$O,0,FALSE)+_xlfn.XLOOKUP(Tableau5617192223242425262827293031333432353620383961719241822254140424344104746[[#This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6" s="21">
        <v>0</v>
      </c>
      <c r="AS86" s="20">
        <f>+IFERROR(VLOOKUP(H86,#REF!,36,FALSE),0)</f>
        <v>0</v>
      </c>
      <c r="AT8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6" s="22" t="e">
        <f>IF(AG86=0,0,1-((AI86+AM86+Tableau5617192223242425262827293031333432353620383961719241822254140424344104746[[#This Row],[Int Commandé OT
€]]+Tableau5617192223242425262827293031333432353620383961719241822254140424344104746[[#This Row],[RAF Int OT
€]])/AG86))</f>
        <v>#REF!</v>
      </c>
      <c r="AV86" s="8">
        <f>IFERROR(VLOOKUP(H86,#REF!,4,FALSE),0)+IFERROR(VLOOKUP(H86,#REF!,4,FALSE),0)</f>
        <v>0</v>
      </c>
      <c r="AW86" s="8">
        <f>IFERROR(VLOOKUP(Tableau5617192223242425262827293031333432353620383961719241822254140424344104746[[#This Row],[Num Projets]],#REF!,3,FALSE),0)</f>
        <v>0</v>
      </c>
      <c r="AX86" s="95">
        <f>IFERROR(VLOOKUP(Tableau5617192223242425262827293031333432353620383961719241822254140424344104746[[#This Row],[Num Projets]],#REF!,10,FALSE),0)</f>
        <v>0</v>
      </c>
      <c r="AY86" s="23">
        <f>Tableau5617192223242425262827293031333432353620383961719241822254140424344104746[[#This Row],[Budget Mission
 €]]/1.2-AX86</f>
        <v>0</v>
      </c>
      <c r="AZ86" s="8">
        <f>IFERROR(VLOOKUP(H86,#REF!,43,FALSE),0)</f>
        <v>0</v>
      </c>
      <c r="BA86" s="8">
        <f>AX86-IFERROR(VLOOKUP(H86,#REF!,42,FALSE),0)</f>
        <v>0</v>
      </c>
      <c r="BB86" s="47">
        <f t="shared" si="17"/>
        <v>0</v>
      </c>
      <c r="BC86" s="24">
        <f>IFERROR(VLOOKUP(H86,#REF!,47,FALSE),IFERROR(VLOOKUP(H86,#REF!,5,FALSE),0)+IFERROR(VLOOKUP(H86,#REF!,5,FALSE),0))</f>
        <v>0</v>
      </c>
      <c r="BD86" s="25">
        <f>IFERROR(VLOOKUP(H86,#REF!,2,FALSE),0)</f>
        <v>0</v>
      </c>
      <c r="BE86" s="25">
        <f>IFERROR(VLOOKUP(H86,#REF!,49,FALSE),0)</f>
        <v>0</v>
      </c>
      <c r="BF86" s="50" t="e">
        <f t="shared" si="25"/>
        <v>#DIV/0!</v>
      </c>
      <c r="BG86" s="50">
        <f t="shared" si="26"/>
        <v>0</v>
      </c>
      <c r="BH86" s="27">
        <f>AE86+ (AI86-AJ86+AM86+Tableau5617192223242425262827293031333432353620383961719241822254140424344104746[[#This Row],[Int Commandé OT
€]]-Tableau5617192223242425262827293031333432353620383961719241822254140424344104746[[#This Row],[Int Réalisé OT
€]]+AR86) +AY86+BC86</f>
        <v>0</v>
      </c>
      <c r="BI86" s="89" t="e">
        <f>IF((BG86/(BG86+BH86))&lt;VLOOKUP(Tableau5617192223242425262827293031333432353620383961719241822254140424344104746[[#This Row],[Num Projets]],#REF!,53,FALSE),VLOOKUP(Tableau5617192223242425262827293031333432353620383961719241822254140424344104746[[#This Row],[Num Projets]],#REF!,53,FALSE),BG86/(BG86+BH86))</f>
        <v>#DIV/0!</v>
      </c>
      <c r="BJ86" s="47" t="e">
        <f t="shared" si="27"/>
        <v>#REF!</v>
      </c>
      <c r="BK86" s="27" t="e">
        <f t="shared" si="28"/>
        <v>#DIV/0!</v>
      </c>
      <c r="BL86" s="26" t="e">
        <f t="shared" si="29"/>
        <v>#DIV/0!</v>
      </c>
      <c r="BM86" s="96">
        <f>IFERROR(VLOOKUP(H86,'[1]2023sep'!H:CA,54,FALSE),105)</f>
        <v>105</v>
      </c>
      <c r="BN86" s="29">
        <v>1</v>
      </c>
      <c r="BO86" s="30" t="e">
        <f>P86-AC86-AG86-AV86-Tableau5617192223242425262827293031333432353620383961719241822254140424344104746[[#This Row],[Provisions pour risques]]</f>
        <v>#REF!</v>
      </c>
      <c r="BP8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8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#DIV/0!</v>
      </c>
      <c r="BR86" s="97" t="e">
        <f t="shared" si="18"/>
        <v>#DIV/0!</v>
      </c>
      <c r="BS86" s="34">
        <f>Tableau5617192223242425262827293031333432353620383961719241822254140424344104746[[#This Row],[Consommé global Enregistré à date (€ HT)]]-IFERROR(VLOOKUP(H86,#REF!,50,FALSE),0)</f>
        <v>0</v>
      </c>
      <c r="BT86" s="35" t="e">
        <f t="shared" si="19"/>
        <v>#DIV/0!</v>
      </c>
      <c r="BU86" s="36">
        <f>BD86-IFERROR(VLOOKUP(H86,#REF!,47,FALSE),0)</f>
        <v>0</v>
      </c>
      <c r="BV86" s="37" t="e">
        <f>+BF86+Tableau5617192223242425262827293031333432353620383961719241822254140424344104746[[#This Row],[CA fin N-1]]-IFERROR(VLOOKUP(H86,#REF!,49,FALSE),0)-IFERROR(VLOOKUP(H86,#REF!,50,FALSE),0)</f>
        <v>#DIV/0!</v>
      </c>
      <c r="BW86" s="33">
        <f>BG86-IFERROR(VLOOKUP(H86,#REF!,51,FALSE),0)</f>
        <v>0</v>
      </c>
      <c r="BX86" s="35" t="e">
        <f t="shared" si="20"/>
        <v>#DIV/0!</v>
      </c>
      <c r="BY86" s="36">
        <f>BD86-IFERROR(VLOOKUP(H86,#REF!,48,FALSE),0)</f>
        <v>0</v>
      </c>
      <c r="BZ8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6" s="39" t="e">
        <f>VLOOKUP(Tableau5617192223242425262827293031333432353620383961719241822254140424344104746[[#This Row],[Num Projets]],#REF!,1,FALSE)</f>
        <v>#REF!</v>
      </c>
      <c r="CB86" s="40">
        <v>598.29999999999995</v>
      </c>
      <c r="CC86" s="40">
        <v>0</v>
      </c>
      <c r="CD8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-598.29999999999995</v>
      </c>
    </row>
    <row r="87" spans="1:82" s="258" customFormat="1" ht="13.5" customHeight="1" x14ac:dyDescent="0.25">
      <c r="A87" s="311" t="s">
        <v>180</v>
      </c>
      <c r="B87" s="1"/>
      <c r="C87" s="2" t="e">
        <f>_xlfn.XLOOKUP(Tableau5617192223242425262827293031333432353620383961719241822254140424344104746[[#This Row],[Num Projets]],#REF!,#REF!,FALSE)</f>
        <v>#REF!</v>
      </c>
      <c r="D87" s="3" t="s">
        <v>6</v>
      </c>
      <c r="E87" s="3" t="e">
        <f>_xlfn.XLOOKUP(Tableau5617192223242425262827293031333432353620383961719241822254140424344104746[[#This Row],[Num Projets]],#REF!,#REF!,FALSE)</f>
        <v>#REF!</v>
      </c>
      <c r="F87" s="3" t="e">
        <f>_xlfn.XLOOKUP(Tableau5617192223242425262827293031333432353620383961719241822254140424344104746[[#This Row],[Num Projets]],#REF!,#REF!,"newavr",0)</f>
        <v>#REF!</v>
      </c>
      <c r="G87" s="3" t="s">
        <v>2</v>
      </c>
      <c r="H87" s="3" t="s">
        <v>181</v>
      </c>
      <c r="I8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7" s="4" t="e">
        <f>VLOOKUP(Tableau5617192223242425262827293031333432353620383961719241822254140424344104746[[#This Row],[Num Projets]],#REF!,36,FALSE)</f>
        <v>#REF!</v>
      </c>
      <c r="K87" s="5" t="s">
        <v>9</v>
      </c>
      <c r="L8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7" s="3" t="e">
        <f>SUBSTITUTE(_xlfn.XLOOKUP(Tableau5617192223242425262827293031333432353620383961719241822254140424344104746[[#This Row],[Num Projets]],#REF!,#REF!,FALSE)," ","")</f>
        <v>#REF!</v>
      </c>
      <c r="N87" s="7" t="e">
        <f>VLOOKUP(H87,#REF!,7,FALSE)</f>
        <v>#REF!</v>
      </c>
      <c r="O87" s="7" t="e">
        <f>IF(VLOOKUP(H87,#REF!,27,FALSE)=0,"",VLOOKUP(H87,#REF!,27,FALSE))</f>
        <v>#REF!</v>
      </c>
      <c r="P87" s="8" t="e">
        <f>VLOOKUP(H87,#REF!,2,FALSE)</f>
        <v>#REF!</v>
      </c>
      <c r="Q87" s="9" t="e">
        <f>Tableau5617192223242425262827293031333432353620383961719241822254140424344104746[[#This Row],[Total Budget
€]]-IFERROR(VLOOKUP(H87,#REF!,8,FALSE),0)</f>
        <v>#REF!</v>
      </c>
      <c r="R87" s="15">
        <f>AD87+AI87+Tableau5617192223242425262827293031333432353620383961719241822254140424344104746[[#This Row],[Int Commandé OT
€]]+AX87</f>
        <v>0</v>
      </c>
      <c r="S87" s="15">
        <f>AD87+AJ87+Tableau5617192223242425262827293031333432353620383961719241822254140424344104746[[#This Row],[Int Réalisé OT
€]]+AX87</f>
        <v>0</v>
      </c>
      <c r="T87" s="94" t="e">
        <f t="shared" si="22"/>
        <v>#REF!</v>
      </c>
      <c r="U8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7" s="12">
        <f>IFERROR(VLOOKUP(H87,#REF!,2,FALSE),0)</f>
        <v>0</v>
      </c>
      <c r="X87" s="13">
        <f>IFERROR(VLOOKUP(H87,#REF!,2,FALSE),0)</f>
        <v>0</v>
      </c>
      <c r="Y87" s="13">
        <f>IFERROR(VLOOKUP(H87,#REF!,3,FALSE),0)</f>
        <v>0</v>
      </c>
      <c r="Z8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187.5</v>
      </c>
      <c r="AA87" s="13">
        <f>IFERROR(VLOOKUP(H87,#REF!,18,FALSE),0)</f>
        <v>0</v>
      </c>
      <c r="AB87" s="13">
        <f>SUM(X87:Y87)-IFERROR(VLOOKUP(H87,#REF!,16,FALSE),0)-IFERROR(VLOOKUP(H87,#REF!,17,FALSE),0)</f>
        <v>0</v>
      </c>
      <c r="AC87" s="15">
        <f>Tableau5617192223242425262827293031333432353620383961719241822254140424344104746[[#This Row],[Budget Heures
Hrs]]*105+55</f>
        <v>55</v>
      </c>
      <c r="AD87" s="15">
        <f>IFERROR(VLOOKUP(Tableau5617192223242425262827293031333432353620383961719241822254140424344104746[[#This Row],[Num Projets]],#REF!,2,FALSE),0)</f>
        <v>0</v>
      </c>
      <c r="AE87" s="8">
        <f t="shared" si="23"/>
        <v>8962.5</v>
      </c>
      <c r="AF87" s="22">
        <f t="shared" si="24"/>
        <v>-161.95454545454547</v>
      </c>
      <c r="AG87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87" s="8">
        <f>IFERROR(VLOOKUP(Tableau5617192223242425262827293031333432353620383961719241822254140424344104746[[#This Row],[Num Projets]],#REF!,2,FALSE),0)</f>
        <v>0</v>
      </c>
      <c r="AI87" s="17">
        <f>+IFERROR(VLOOKUP(H87,#REF!,2,FALSE),0)-Tableau5617192223242425262827293031333432353620383961719241822254140424344104746[[#This Row],[Int Commandé OT
€]]</f>
        <v>0</v>
      </c>
      <c r="AJ87" s="8">
        <f>IFERROR(VLOOKUP(H87,#REF!,11,FALSE),0)-IFERROR(VLOOKUP(H87,#REF!,10,FALSE),0)+Tableau5617192223242425262827293031333432353620383961719241822254140424344104746[[#This Row],[dont FNP à date (€ HT)]]</f>
        <v>0</v>
      </c>
      <c r="AK87" s="15">
        <f t="shared" si="30"/>
        <v>0</v>
      </c>
      <c r="AL8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7" s="19">
        <f>IF(Tableau5617192223242425262827293031333432353620383961719241822254140424344104746[[#This Row],[RAF Achats M-1
€]]=0,0,AN87-AO87)</f>
        <v>0</v>
      </c>
      <c r="AN87" s="8">
        <f>IFERROR(VLOOKUP(H87,#REF!,31,FALSE),0)</f>
        <v>0</v>
      </c>
      <c r="AO87" s="8">
        <f>AI87+-IFERROR(VLOOKUP(H87,#REF!,27,FALSE),0)</f>
        <v>0</v>
      </c>
      <c r="AP87" s="20">
        <f>IFERROR(VLOOKUP(Tableau5617192223242425262827293031333432353620383961719241822254140424344104746[[#This Row],[Num Projets]],#REF!,2,FALSE),0)</f>
        <v>0</v>
      </c>
      <c r="AQ87" s="20">
        <f>_xlfn.XLOOKUP(H87,[2]Synth!$N:$N,[2]Synth!$O:$O,0,FALSE)+_xlfn.XLOOKUP(Tableau5617192223242425262827293031333432353620383961719241822254140424344104746[[#This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7" s="21">
        <v>0</v>
      </c>
      <c r="AS87" s="20">
        <f>+IFERROR(VLOOKUP(H87,#REF!,36,FALSE),0)</f>
        <v>0</v>
      </c>
      <c r="AT8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7" s="22" t="e">
        <f>IF(AG87=0,0,1-((AI87+AM87+Tableau5617192223242425262827293031333432353620383961719241822254140424344104746[[#This Row],[Int Commandé OT
€]]+Tableau5617192223242425262827293031333432353620383961719241822254140424344104746[[#This Row],[RAF Int OT
€]])/AG87))</f>
        <v>#REF!</v>
      </c>
      <c r="AV87" s="8">
        <f>IFERROR(VLOOKUP(H87,#REF!,4,FALSE),0)+IFERROR(VLOOKUP(H87,#REF!,4,FALSE),0)</f>
        <v>0</v>
      </c>
      <c r="AW87" s="8">
        <f>IFERROR(VLOOKUP(Tableau5617192223242425262827293031333432353620383961719241822254140424344104746[[#This Row],[Num Projets]],#REF!,3,FALSE),0)</f>
        <v>0</v>
      </c>
      <c r="AX87" s="95">
        <f>IFERROR(VLOOKUP(Tableau5617192223242425262827293031333432353620383961719241822254140424344104746[[#This Row],[Num Projets]],#REF!,10,FALSE),0)</f>
        <v>0</v>
      </c>
      <c r="AY87" s="23">
        <v>0</v>
      </c>
      <c r="AZ87" s="8">
        <f>IFERROR(VLOOKUP(H87,#REF!,43,FALSE),0)</f>
        <v>0</v>
      </c>
      <c r="BA87" s="8">
        <f>AX87-IFERROR(VLOOKUP(H87,#REF!,42,FALSE),0)</f>
        <v>0</v>
      </c>
      <c r="BB87" s="47">
        <f t="shared" si="17"/>
        <v>0</v>
      </c>
      <c r="BC87" s="24">
        <f>IFERROR(VLOOKUP(H87,#REF!,47,FALSE),IFERROR(VLOOKUP(H87,#REF!,5,FALSE),0)+IFERROR(VLOOKUP(H87,#REF!,5,FALSE),0))</f>
        <v>0</v>
      </c>
      <c r="BD87" s="25">
        <f>IFERROR(VLOOKUP(H87,#REF!,2,FALSE),0)</f>
        <v>0</v>
      </c>
      <c r="BE87" s="25">
        <f>IFERROR(VLOOKUP(H87,#REF!,49,FALSE),0)</f>
        <v>0</v>
      </c>
      <c r="BF87" s="50" t="e">
        <f t="shared" si="25"/>
        <v>#REF!</v>
      </c>
      <c r="BG87" s="50">
        <f t="shared" si="26"/>
        <v>0</v>
      </c>
      <c r="BH87" s="27">
        <f>AE87+ (AI87-AJ87+AM87+Tableau5617192223242425262827293031333432353620383961719241822254140424344104746[[#This Row],[Int Commandé OT
€]]-Tableau5617192223242425262827293031333432353620383961719241822254140424344104746[[#This Row],[Int Réalisé OT
€]]+AR87) +AY87+BC87</f>
        <v>8962.5</v>
      </c>
      <c r="BI87" s="47">
        <f t="shared" si="31"/>
        <v>0</v>
      </c>
      <c r="BJ87" s="47" t="e">
        <f t="shared" si="27"/>
        <v>#REF!</v>
      </c>
      <c r="BK87" s="27" t="e">
        <f t="shared" si="28"/>
        <v>#REF!</v>
      </c>
      <c r="BL87" s="26" t="e">
        <f t="shared" si="29"/>
        <v>#REF!</v>
      </c>
      <c r="BM87" s="96">
        <f>IFERROR(VLOOKUP(H87,'[1]2023sep'!H:CA,54,FALSE),105)</f>
        <v>105</v>
      </c>
      <c r="BN87" s="29">
        <v>1</v>
      </c>
      <c r="BO87" s="30" t="e">
        <f>P87-AC87-AG87-AV87-Tableau5617192223242425262827293031333432353620383961719241822254140424344104746[[#This Row],[Provisions pour risques]]</f>
        <v>#REF!</v>
      </c>
      <c r="BP8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8962.5</v>
      </c>
      <c r="BQ8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87" s="97" t="e">
        <f t="shared" si="18"/>
        <v>#REF!</v>
      </c>
      <c r="BS87" s="34">
        <f>Tableau5617192223242425262827293031333432353620383961719241822254140424344104746[[#This Row],[Consommé global Enregistré à date (€ HT)]]-IFERROR(VLOOKUP(H87,#REF!,50,FALSE),0)</f>
        <v>0</v>
      </c>
      <c r="BT87" s="35" t="e">
        <f t="shared" si="19"/>
        <v>#REF!</v>
      </c>
      <c r="BU87" s="36">
        <f>BD87-IFERROR(VLOOKUP(H87,#REF!,47,FALSE),0)</f>
        <v>0</v>
      </c>
      <c r="BV87" s="37" t="e">
        <f>+BF87+Tableau5617192223242425262827293031333432353620383961719241822254140424344104746[[#This Row],[CA fin N-1]]-IFERROR(VLOOKUP(H87,#REF!,49,FALSE),0)-IFERROR(VLOOKUP(H87,#REF!,50,FALSE),0)</f>
        <v>#REF!</v>
      </c>
      <c r="BW87" s="33">
        <f>BG87-IFERROR(VLOOKUP(H87,#REF!,51,FALSE),0)</f>
        <v>0</v>
      </c>
      <c r="BX87" s="35" t="e">
        <f t="shared" si="20"/>
        <v>#REF!</v>
      </c>
      <c r="BY87" s="36">
        <f>BD87-IFERROR(VLOOKUP(H87,#REF!,48,FALSE),0)</f>
        <v>0</v>
      </c>
      <c r="BZ8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7" s="39" t="e">
        <f>VLOOKUP(Tableau5617192223242425262827293031333432353620383961719241822254140424344104746[[#This Row],[Num Projets]],#REF!,1,FALSE)</f>
        <v>#REF!</v>
      </c>
      <c r="CB87" s="40">
        <v>187.5</v>
      </c>
      <c r="CC87" s="40">
        <v>0</v>
      </c>
      <c r="CD8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-187.5</v>
      </c>
    </row>
    <row r="88" spans="1:82" s="258" customFormat="1" ht="13.5" customHeight="1" x14ac:dyDescent="0.25">
      <c r="A88" s="312" t="s">
        <v>182</v>
      </c>
      <c r="B88" s="1"/>
      <c r="C88" s="2" t="e">
        <f>_xlfn.XLOOKUP(Tableau5617192223242425262827293031333432353620383961719241822254140424344104746[[#This Row],[Num Projets]],#REF!,#REF!,FALSE)</f>
        <v>#REF!</v>
      </c>
      <c r="D88" s="3" t="s">
        <v>6</v>
      </c>
      <c r="E88" s="3" t="e">
        <f>_xlfn.XLOOKUP(Tableau5617192223242425262827293031333432353620383961719241822254140424344104746[[#This Row],[Num Projets]],#REF!,#REF!,FALSE)</f>
        <v>#REF!</v>
      </c>
      <c r="F88" s="3" t="e">
        <f>_xlfn.XLOOKUP(Tableau5617192223242425262827293031333432353620383961719241822254140424344104746[[#This Row],[Num Projets]],#REF!,#REF!,"newavr",0)</f>
        <v>#REF!</v>
      </c>
      <c r="G88" s="3" t="s">
        <v>183</v>
      </c>
      <c r="H88" s="3" t="s">
        <v>184</v>
      </c>
      <c r="I8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8" s="4" t="e">
        <f>VLOOKUP(Tableau5617192223242425262827293031333432353620383961719241822254140424344104746[[#This Row],[Num Projets]],#REF!,36,FALSE)</f>
        <v>#REF!</v>
      </c>
      <c r="K88" s="45" t="s">
        <v>9</v>
      </c>
      <c r="L8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8" s="3" t="e">
        <f>SUBSTITUTE(_xlfn.XLOOKUP(Tableau5617192223242425262827293031333432353620383961719241822254140424344104746[[#This Row],[Num Projets]],#REF!,#REF!,FALSE)," ","")</f>
        <v>#REF!</v>
      </c>
      <c r="N88" s="7" t="e">
        <f>VLOOKUP(H88,#REF!,7,FALSE)</f>
        <v>#REF!</v>
      </c>
      <c r="O88" s="7" t="e">
        <f>IF(VLOOKUP(H88,#REF!,27,FALSE)=0,"",VLOOKUP(H88,#REF!,27,FALSE))</f>
        <v>#REF!</v>
      </c>
      <c r="P88" s="62">
        <f>Tableau5617192223242425262827293031333432353620383961719241822254140424344104746[[#This Row],[Budget Heures Valorisées
€]]+Tableau5617192223242425262827293031333432353620383961719241822254140424344104746[[#This Row],[Budget Mission
 €]]</f>
        <v>105230</v>
      </c>
      <c r="Q88" s="9">
        <f>Tableau5617192223242425262827293031333432353620383961719241822254140424344104746[[#This Row],[Total Budget
€]]-IFERROR(VLOOKUP(H88,#REF!,8,FALSE),0)</f>
        <v>105230</v>
      </c>
      <c r="R88" s="15">
        <f>AD88+AI88+Tableau5617192223242425262827293031333432353620383961719241822254140424344104746[[#This Row],[Int Commandé OT
€]]+AX88</f>
        <v>0</v>
      </c>
      <c r="S88" s="15">
        <f>AD88+AJ88+Tableau5617192223242425262827293031333432353620383961719241822254140424344104746[[#This Row],[Int Réalisé OT
€]]+AX88</f>
        <v>0</v>
      </c>
      <c r="T88" s="94">
        <f t="shared" si="22"/>
        <v>0.43365580157749695</v>
      </c>
      <c r="U88" s="11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0.43365580157749695</v>
      </c>
      <c r="V88" s="94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0.59</v>
      </c>
      <c r="W88" s="12">
        <f>IFERROR(VLOOKUP(H88,#REF!,2,FALSE),0)</f>
        <v>0</v>
      </c>
      <c r="X88" s="13">
        <f>IFERROR(VLOOKUP(H88,#REF!,2,FALSE),0)</f>
        <v>0</v>
      </c>
      <c r="Y88" s="13">
        <f>IFERROR(VLOOKUP(H88,#REF!,3,FALSE),0)</f>
        <v>0</v>
      </c>
      <c r="Z8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1238</v>
      </c>
      <c r="AA88" s="13">
        <f>IFERROR(VLOOKUP(H88,#REF!,18,FALSE),0)</f>
        <v>0</v>
      </c>
      <c r="AB88" s="13">
        <f>SUM(X88:Y88)-IFERROR(VLOOKUP(H88,#REF!,16,FALSE),0)-IFERROR(VLOOKUP(H88,#REF!,17,FALSE),0)</f>
        <v>0</v>
      </c>
      <c r="AC88" s="15">
        <f>1238*85</f>
        <v>105230</v>
      </c>
      <c r="AD88" s="15">
        <f>Tableau5617192223242425262827293031333432353620383961719241822254140424344104746[[#This Row],[Réel Heures Internes
Hrs]]*43</f>
        <v>0</v>
      </c>
      <c r="AE88" s="8">
        <f t="shared" si="23"/>
        <v>59176.399999999994</v>
      </c>
      <c r="AF88" s="22">
        <f t="shared" si="24"/>
        <v>0.4376470588235295</v>
      </c>
      <c r="AG88" s="8">
        <f>IFERROR(VLOOKUP(H88,#REF!,3,FALSE),0)+IFERROR(VLOOKUP(H88,#REF!,3,FALSE),0)</f>
        <v>0</v>
      </c>
      <c r="AH88" s="8">
        <f>IFERROR(VLOOKUP(Tableau5617192223242425262827293031333432353620383961719241822254140424344104746[[#This Row],[Num Projets]],#REF!,2,FALSE),0)</f>
        <v>0</v>
      </c>
      <c r="AI88" s="17">
        <f>+IFERROR(VLOOKUP(H88,#REF!,2,FALSE),0)-Tableau5617192223242425262827293031333432353620383961719241822254140424344104746[[#This Row],[Int Commandé OT
€]]</f>
        <v>0</v>
      </c>
      <c r="AJ88" s="8">
        <f>IFERROR(VLOOKUP(H88,#REF!,11,FALSE),0)-IFERROR(VLOOKUP(H88,#REF!,10,FALSE),0)+Tableau5617192223242425262827293031333432353620383961719241822254140424344104746[[#This Row],[dont FNP à date (€ HT)]]</f>
        <v>0</v>
      </c>
      <c r="AK88" s="15">
        <f t="shared" si="30"/>
        <v>0</v>
      </c>
      <c r="AL8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8" s="19">
        <f>IF(Tableau5617192223242425262827293031333432353620383961719241822254140424344104746[[#This Row],[RAF Achats M-1
€]]=0,0,AN88-AO88)</f>
        <v>0</v>
      </c>
      <c r="AN88" s="8">
        <f>IFERROR(VLOOKUP(H88,#REF!,31,FALSE),0)</f>
        <v>0</v>
      </c>
      <c r="AO88" s="8">
        <f>AI88+-IFERROR(VLOOKUP(H88,#REF!,27,FALSE),0)</f>
        <v>0</v>
      </c>
      <c r="AP88" s="20">
        <f>IFERROR(VLOOKUP(Tableau5617192223242425262827293031333432353620383961719241822254140424344104746[[#This Row],[Num Projets]],#REF!,2,FALSE),0)</f>
        <v>0</v>
      </c>
      <c r="AQ88" s="20">
        <f>_xlfn.XLOOKUP(H88,[2]Synth!$N:$N,[2]Synth!$O:$O,0,FALSE)+_xlfn.XLOOKUP(Tableau5617192223242425262827293031333432353620383961719241822254140424344104746[[#This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88" s="21">
        <v>0</v>
      </c>
      <c r="AS88" s="20">
        <f>+IFERROR(VLOOKUP(H88,#REF!,36,FALSE),0)</f>
        <v>0</v>
      </c>
      <c r="AT8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88" s="22">
        <f>IF(AG88=0,0,1-((AI88+AM88+Tableau5617192223242425262827293031333432353620383961719241822254140424344104746[[#This Row],[Int Commandé OT
€]]+Tableau5617192223242425262827293031333432353620383961719241822254140424344104746[[#This Row],[RAF Int OT
€]])/AG88))</f>
        <v>0</v>
      </c>
      <c r="AV88" s="41">
        <f>Tableau5617192223242425262827293031333432353620383961719241822254140424344104746[[#This Row],[Réel Mission
€]]*1.2</f>
        <v>0</v>
      </c>
      <c r="AW88" s="8">
        <f>IFERROR(VLOOKUP(Tableau5617192223242425262827293031333432353620383961719241822254140424344104746[[#This Row],[Num Projets]],#REF!,3,FALSE),0)</f>
        <v>0</v>
      </c>
      <c r="AX88" s="95">
        <f>IFERROR(VLOOKUP(Tableau5617192223242425262827293031333432353620383961719241822254140424344104746[[#This Row],[Num Projets]],#REF!,10,FALSE),0)</f>
        <v>0</v>
      </c>
      <c r="AY88" s="23">
        <v>420</v>
      </c>
      <c r="AZ88" s="8">
        <f>IFERROR(VLOOKUP(H88,#REF!,43,FALSE),0)</f>
        <v>0</v>
      </c>
      <c r="BA88" s="8">
        <f>AX88-IFERROR(VLOOKUP(H88,#REF!,42,FALSE),0)</f>
        <v>0</v>
      </c>
      <c r="BB88" s="47">
        <f t="shared" si="17"/>
        <v>0</v>
      </c>
      <c r="BC88" s="24">
        <f>IFERROR(VLOOKUP(H88,#REF!,47,FALSE),IFERROR(VLOOKUP(H88,#REF!,5,FALSE),0)+IFERROR(VLOOKUP(H88,#REF!,5,FALSE),0))</f>
        <v>0</v>
      </c>
      <c r="BD88" s="25">
        <f>IFERROR(VLOOKUP(H88,#REF!,2,FALSE),0)</f>
        <v>0</v>
      </c>
      <c r="BE88" s="25">
        <f>IFERROR(VLOOKUP(H88,#REF!,49,FALSE),0)</f>
        <v>0</v>
      </c>
      <c r="BF88" s="50">
        <f t="shared" si="25"/>
        <v>0</v>
      </c>
      <c r="BG88" s="50">
        <f t="shared" si="26"/>
        <v>0</v>
      </c>
      <c r="BH88" s="27">
        <f>AE88+ (AI88-AJ88+AM88+Tableau5617192223242425262827293031333432353620383961719241822254140424344104746[[#This Row],[Int Commandé OT
€]]-Tableau5617192223242425262827293031333432353620383961719241822254140424344104746[[#This Row],[Int Réalisé OT
€]]+AR88) +AY88+BC88</f>
        <v>59596.399999999994</v>
      </c>
      <c r="BI88" s="131">
        <f>Tableau5617192223242425262827293031333432353620383961719241822254140424344104746[[#This Row],[Avancement Global Facturation à date (%)]]</f>
        <v>0</v>
      </c>
      <c r="BJ88" s="47">
        <f t="shared" si="27"/>
        <v>0</v>
      </c>
      <c r="BK88" s="27">
        <f t="shared" si="28"/>
        <v>0</v>
      </c>
      <c r="BL88" s="26">
        <f t="shared" si="29"/>
        <v>0</v>
      </c>
      <c r="BM88" s="96">
        <f>IFERROR(VLOOKUP(H88,'[1]2023sep'!H:CA,54,FALSE),105)</f>
        <v>105</v>
      </c>
      <c r="BN88" s="29">
        <v>0.9</v>
      </c>
      <c r="BO88" s="30">
        <f>P88-AC88-AG88-AV88-Tableau5617192223242425262827293031333432353620383961719241822254140424344104746[[#This Row],[Provisions pour risques]]</f>
        <v>0</v>
      </c>
      <c r="BP8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59596.399999999994</v>
      </c>
      <c r="BQ8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88" s="97">
        <f t="shared" si="18"/>
        <v>0</v>
      </c>
      <c r="BS88" s="34">
        <f>Tableau5617192223242425262827293031333432353620383961719241822254140424344104746[[#This Row],[Consommé global Enregistré à date (€ HT)]]-IFERROR(VLOOKUP(H88,#REF!,50,FALSE),0)</f>
        <v>0</v>
      </c>
      <c r="BT88" s="35">
        <f t="shared" si="19"/>
        <v>0</v>
      </c>
      <c r="BU88" s="36">
        <f>BD88-IFERROR(VLOOKUP(H88,#REF!,47,FALSE),0)</f>
        <v>0</v>
      </c>
      <c r="BV88" s="37">
        <f>+BF88+Tableau5617192223242425262827293031333432353620383961719241822254140424344104746[[#This Row],[CA fin N-1]]-IFERROR(VLOOKUP(H88,#REF!,49,FALSE),0)-IFERROR(VLOOKUP(H88,#REF!,50,FALSE),0)</f>
        <v>0</v>
      </c>
      <c r="BW88" s="33">
        <f>BG88-IFERROR(VLOOKUP(H88,#REF!,51,FALSE),0)</f>
        <v>0</v>
      </c>
      <c r="BX88" s="35">
        <f t="shared" si="20"/>
        <v>0</v>
      </c>
      <c r="BY88" s="36">
        <f>BD88-IFERROR(VLOOKUP(H88,#REF!,48,FALSE),0)</f>
        <v>0</v>
      </c>
      <c r="BZ88" s="38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94707</v>
      </c>
      <c r="CA88" s="39" t="e">
        <f>VLOOKUP(Tableau5617192223242425262827293031333432353620383961719241822254140424344104746[[#This Row],[Num Projets]],#REF!,1,FALSE)</f>
        <v>#REF!</v>
      </c>
      <c r="CB88" s="40">
        <v>735</v>
      </c>
      <c r="CC88" s="40">
        <v>503</v>
      </c>
      <c r="CD8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-735</v>
      </c>
    </row>
    <row r="89" spans="1:82" s="258" customFormat="1" ht="13.5" customHeight="1" x14ac:dyDescent="0.25">
      <c r="A89" s="311" t="s">
        <v>185</v>
      </c>
      <c r="B89" s="1"/>
      <c r="C89" s="2" t="e">
        <f>_xlfn.XLOOKUP(Tableau5617192223242425262827293031333432353620383961719241822254140424344104746[[#This Row],[Num Projets]],#REF!,#REF!,FALSE)</f>
        <v>#REF!</v>
      </c>
      <c r="D89" s="3" t="s">
        <v>40</v>
      </c>
      <c r="E89" s="3" t="e">
        <f>_xlfn.XLOOKUP(Tableau5617192223242425262827293031333432353620383961719241822254140424344104746[[#This Row],[Num Projets]],#REF!,#REF!,FALSE)</f>
        <v>#REF!</v>
      </c>
      <c r="F89" s="3" t="e">
        <f>_xlfn.XLOOKUP(Tableau5617192223242425262827293031333432353620383961719241822254140424344104746[[#This Row],[Num Projets]],#REF!,#REF!,"newavr",0)</f>
        <v>#REF!</v>
      </c>
      <c r="G89" s="3" t="s">
        <v>53</v>
      </c>
      <c r="H89" s="132" t="s">
        <v>186</v>
      </c>
      <c r="I8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89" s="4" t="e">
        <f>VLOOKUP(Tableau5617192223242425262827293031333432353620383961719241822254140424344104746[[#This Row],[Num Projets]],#REF!,36,FALSE)</f>
        <v>#REF!</v>
      </c>
      <c r="K89" s="5" t="s">
        <v>55</v>
      </c>
      <c r="L8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89" s="3" t="e">
        <f>SUBSTITUTE(_xlfn.XLOOKUP(Tableau5617192223242425262827293031333432353620383961719241822254140424344104746[[#This Row],[Num Projets]],#REF!,#REF!,FALSE)," ","")</f>
        <v>#REF!</v>
      </c>
      <c r="N89" s="7" t="e">
        <f>VLOOKUP(H89,#REF!,7,FALSE)</f>
        <v>#REF!</v>
      </c>
      <c r="O89" s="7" t="e">
        <f>IF(VLOOKUP(H89,#REF!,27,FALSE)=0,"",VLOOKUP(H89,#REF!,27,FALSE))</f>
        <v>#REF!</v>
      </c>
      <c r="P89" s="8" t="e">
        <f>VLOOKUP(H89,#REF!,2,FALSE)</f>
        <v>#REF!</v>
      </c>
      <c r="Q89" s="9" t="e">
        <f>Tableau5617192223242425262827293031333432353620383961719241822254140424344104746[[#This Row],[Total Budget
€]]-IFERROR(VLOOKUP(H89,#REF!,8,FALSE),0)</f>
        <v>#REF!</v>
      </c>
      <c r="R89" s="15">
        <f>AD89+AI89+Tableau5617192223242425262827293031333432353620383961719241822254140424344104746[[#This Row],[Int Commandé OT
€]]+AX89</f>
        <v>22419</v>
      </c>
      <c r="S89" s="15">
        <f>AD89+AJ89+Tableau5617192223242425262827293031333432353620383961719241822254140424344104746[[#This Row],[Int Réalisé OT
€]]+AX89</f>
        <v>52666.91</v>
      </c>
      <c r="T89" s="94" t="e">
        <f t="shared" si="22"/>
        <v>#REF!</v>
      </c>
      <c r="U8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8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89" s="42" t="e">
        <f>Tableau5617192223242425262827293031333432353620383961719241822254140424344104746[[#This Row],[Budget Heures Valorisées
€]]/105</f>
        <v>#REF!</v>
      </c>
      <c r="X89" s="13">
        <f>IFERROR(VLOOKUP(H89,#REF!,2,FALSE),0)</f>
        <v>0</v>
      </c>
      <c r="Y89" s="13">
        <f>IFERROR(VLOOKUP(H89,#REF!,3,FALSE),0)</f>
        <v>0</v>
      </c>
      <c r="Z8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714.28571428571433</v>
      </c>
      <c r="AA89" s="13">
        <f>IFERROR(VLOOKUP(H89,#REF!,18,FALSE),0)</f>
        <v>0</v>
      </c>
      <c r="AB89" s="13">
        <f>SUM(X89:Y89)-IFERROR(VLOOKUP(H89,#REF!,16,FALSE),0)-IFERROR(VLOOKUP(H89,#REF!,17,FALSE),0)</f>
        <v>0</v>
      </c>
      <c r="AC89" s="15" t="e">
        <f>VLOOKUP(Tableau5617192223242425262827293031333432353620383961719241822254140424344104746[[#This Row],[Num Projets]],#REF!,2,FALSE)</f>
        <v>#REF!</v>
      </c>
      <c r="AD89" s="15">
        <f>IFERROR(VLOOKUP(Tableau5617192223242425262827293031333432353620383961719241822254140424344104746[[#This Row],[Num Projets]],#REF!,2,FALSE),0)</f>
        <v>0</v>
      </c>
      <c r="AE89" s="8">
        <f t="shared" si="23"/>
        <v>34142.857142857145</v>
      </c>
      <c r="AF89" s="22" t="e">
        <f t="shared" si="24"/>
        <v>#REF!</v>
      </c>
      <c r="AG89" s="41">
        <f>IFERROR(VLOOKUP(H89,#REF!,3,FALSE),0)+IFERROR(VLOOKUP(H89,#REF!,3,FALSE),0)-20000+20000</f>
        <v>0</v>
      </c>
      <c r="AH89" s="8">
        <f>IFERROR(VLOOKUP(Tableau5617192223242425262827293031333432353620383961719241822254140424344104746[[#This Row],[Num Projets]],#REF!,2,FALSE),0)</f>
        <v>0</v>
      </c>
      <c r="AI89" s="88">
        <f>+IFERROR(VLOOKUP(H89,#REF!,2,FALSE),0)-Tableau5617192223242425262827293031333432353620383961719241822254140424344104746[[#This Row],[Int Commandé OT
€]]+4600</f>
        <v>0</v>
      </c>
      <c r="AJ89" s="8">
        <f>IFERROR(VLOOKUP(H89,#REF!,11,FALSE),0)-IFERROR(VLOOKUP(H89,#REF!,10,FALSE),0)+Tableau5617192223242425262827293031333432353620383961719241822254140424344104746[[#This Row],[dont FNP à date (€ HT)]]</f>
        <v>0</v>
      </c>
      <c r="AK89" s="23">
        <f t="shared" si="30"/>
        <v>0</v>
      </c>
      <c r="AL8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89" s="62">
        <f>IF(Tableau5617192223242425262827293031333432353620383961719241822254140424344104746[[#This Row],[RAF Achats M-1
€]]=0,0,AN89-AO89)-Tableau5617192223242425262827293031333432353620383961719241822254140424344104746[[#This Row],[Ecart Int OT vs M-1
€]]</f>
        <v>-4600</v>
      </c>
      <c r="AN89" s="8">
        <f>IFERROR(VLOOKUP(H89,#REF!,31,FALSE),0)</f>
        <v>0</v>
      </c>
      <c r="AO89" s="8">
        <f>AI89+-IFERROR(VLOOKUP(H89,#REF!,27,FALSE),0)</f>
        <v>0</v>
      </c>
      <c r="AP89" s="41">
        <f>IFERROR(VLOOKUP(Tableau5617192223242425262827293031333432353620383961719241822254140424344104746[[#This Row],[Num Projets]],#REF!,2,FALSE),0)+4600</f>
        <v>4600</v>
      </c>
      <c r="AQ89" s="20">
        <f>_xlfn.XLOOKUP(H89,[2]Synth!$N:$N,[2]Synth!$O:$O,0,FALSE)+_xlfn.XLOOKUP(Tableau5617192223242425262827293031333432353620383961719241822254140424344104746[[#This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34847.910000000003</v>
      </c>
      <c r="AR89" s="21">
        <v>0</v>
      </c>
      <c r="AS89" s="20">
        <f>+IFERROR(VLOOKUP(H89,#REF!,36,FALSE),0)</f>
        <v>0</v>
      </c>
      <c r="AT8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4600</v>
      </c>
      <c r="AU89" s="22">
        <f>IF(AG89=0,0,1-((AI89+AM89+Tableau5617192223242425262827293031333432353620383961719241822254140424344104746[[#This Row],[Int Commandé OT
€]]+Tableau5617192223242425262827293031333432353620383961719241822254140424344104746[[#This Row],[RAF Int OT
€]])/AG89))</f>
        <v>0</v>
      </c>
      <c r="AV89" s="8">
        <f>IFERROR(VLOOKUP(H89,#REF!,4,FALSE),0)+IFERROR(VLOOKUP(H89,#REF!,4,FALSE),0)</f>
        <v>0</v>
      </c>
      <c r="AW89" s="8">
        <f>IFERROR(VLOOKUP(Tableau5617192223242425262827293031333432353620383961719241822254140424344104746[[#This Row],[Num Projets]],#REF!,3,FALSE),0)</f>
        <v>0</v>
      </c>
      <c r="AX89" s="133">
        <f>IFERROR(VLOOKUP(Tableau5617192223242425262827293031333432353620383961719241822254140424344104746[[#This Row],[Num Projets]],#REF!,10,FALSE),0)+17819</f>
        <v>17819</v>
      </c>
      <c r="AY89" s="23">
        <v>0</v>
      </c>
      <c r="AZ89" s="8">
        <f>IFERROR(VLOOKUP(H89,#REF!,43,FALSE),0)</f>
        <v>0</v>
      </c>
      <c r="BA89" s="8">
        <f>AX89-IFERROR(VLOOKUP(H89,#REF!,42,FALSE),0)</f>
        <v>17819</v>
      </c>
      <c r="BB89" s="47">
        <f t="shared" si="17"/>
        <v>0</v>
      </c>
      <c r="BC89" s="24">
        <f>IFERROR(VLOOKUP(H89,#REF!,47,FALSE),IFERROR(VLOOKUP(H89,#REF!,5,FALSE),0)+IFERROR(VLOOKUP(H89,#REF!,5,FALSE),0))-20000</f>
        <v>-20000</v>
      </c>
      <c r="BD89" s="25">
        <f>IFERROR(VLOOKUP(H89,#REF!,2,FALSE),0)</f>
        <v>0</v>
      </c>
      <c r="BE89" s="25">
        <f>IFERROR(VLOOKUP(H89,#REF!,49,FALSE),0)</f>
        <v>0</v>
      </c>
      <c r="BF89" s="50" t="e">
        <f t="shared" si="25"/>
        <v>#REF!</v>
      </c>
      <c r="BG89" s="50">
        <f t="shared" si="26"/>
        <v>52666.91</v>
      </c>
      <c r="BH89" s="27">
        <f>AE89+ (AI89-AJ89+AM89+Tableau5617192223242425262827293031333432353620383961719241822254140424344104746[[#This Row],[Int Commandé OT
€]]-Tableau5617192223242425262827293031333432353620383961719241822254140424344104746[[#This Row],[Int Réalisé OT
€]]+AR89) +AY89+BC89</f>
        <v>-20705.052857142859</v>
      </c>
      <c r="BI89" s="47">
        <f>IF(BG89+BH89=0,100%,BG89/(BG89+BH89))</f>
        <v>1.6478050622840619</v>
      </c>
      <c r="BJ89" s="47" t="e">
        <f t="shared" si="27"/>
        <v>#REF!</v>
      </c>
      <c r="BK89" s="27" t="e">
        <f t="shared" si="28"/>
        <v>#REF!</v>
      </c>
      <c r="BL89" s="26" t="e">
        <f t="shared" si="29"/>
        <v>#REF!</v>
      </c>
      <c r="BM89" s="96">
        <f>IFERROR(VLOOKUP(H89,'[1]2023sep'!H:CA,54,FALSE),105)</f>
        <v>105</v>
      </c>
      <c r="BN89" s="29">
        <v>0.85</v>
      </c>
      <c r="BO89" s="30" t="e">
        <f>P89-AC89-AG89-AV89-Tableau5617192223242425262827293031333432353620383961719241822254140424344104746[[#This Row],[Provisions pour risques]]</f>
        <v>#REF!</v>
      </c>
      <c r="BP8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31961.857142857145</v>
      </c>
      <c r="BQ8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1.6478050622840619</v>
      </c>
      <c r="BR89" s="97" t="e">
        <f t="shared" si="18"/>
        <v>#REF!</v>
      </c>
      <c r="BS89" s="34">
        <f>Tableau5617192223242425262827293031333432353620383961719241822254140424344104746[[#This Row],[Consommé global Enregistré à date (€ HT)]]-IFERROR(VLOOKUP(H89,#REF!,50,FALSE),0)</f>
        <v>52666.91</v>
      </c>
      <c r="BT89" s="35" t="e">
        <f t="shared" si="19"/>
        <v>#REF!</v>
      </c>
      <c r="BU89" s="36">
        <f>BD89-IFERROR(VLOOKUP(H89,#REF!,47,FALSE),0)</f>
        <v>0</v>
      </c>
      <c r="BV89" s="37" t="e">
        <f>+BF89+Tableau5617192223242425262827293031333432353620383961719241822254140424344104746[[#This Row],[CA fin N-1]]-IFERROR(VLOOKUP(H89,#REF!,49,FALSE),0)-IFERROR(VLOOKUP(H89,#REF!,50,FALSE),0)</f>
        <v>#REF!</v>
      </c>
      <c r="BW89" s="33">
        <f>BG89-IFERROR(VLOOKUP(H89,#REF!,51,FALSE),0)</f>
        <v>52666.91</v>
      </c>
      <c r="BX89" s="35" t="e">
        <f t="shared" si="20"/>
        <v>#REF!</v>
      </c>
      <c r="BY89" s="36">
        <f>BD89-IFERROR(VLOOKUP(H89,#REF!,48,FALSE),0)</f>
        <v>0</v>
      </c>
      <c r="BZ8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89" s="39" t="e">
        <f>VLOOKUP(Tableau5617192223242425262827293031333432353620383961719241822254140424344104746[[#This Row],[Num Projets]],#REF!,1,FALSE)</f>
        <v>#REF!</v>
      </c>
      <c r="CB89" s="40">
        <v>0</v>
      </c>
      <c r="CC89" s="40">
        <v>714.28571428571433</v>
      </c>
      <c r="CD8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90" spans="1:82" s="258" customFormat="1" ht="13.5" customHeight="1" x14ac:dyDescent="0.25">
      <c r="A90" s="313" t="s">
        <v>187</v>
      </c>
      <c r="B90" s="1"/>
      <c r="C90" s="2" t="e">
        <f>_xlfn.XLOOKUP(Tableau5617192223242425262827293031333432353620383961719241822254140424344104746[[#This Row],[Num Projets]],#REF!,#REF!,FALSE)</f>
        <v>#REF!</v>
      </c>
      <c r="D90" s="134" t="s">
        <v>11</v>
      </c>
      <c r="E90" s="3" t="e">
        <f>_xlfn.XLOOKUP(Tableau5617192223242425262827293031333432353620383961719241822254140424344104746[[#This Row],[Num Projets]],#REF!,#REF!,FALSE)</f>
        <v>#REF!</v>
      </c>
      <c r="F90" s="3" t="e">
        <f>_xlfn.XLOOKUP(Tableau5617192223242425262827293031333432353620383961719241822254140424344104746[[#This Row],[Num Projets]],#REF!,#REF!,"newavr",0)</f>
        <v>#REF!</v>
      </c>
      <c r="G90" s="3" t="s">
        <v>2</v>
      </c>
      <c r="H90" s="135" t="s">
        <v>188</v>
      </c>
      <c r="I9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0" s="4" t="e">
        <f>VLOOKUP(Tableau5617192223242425262827293031333432353620383961719241822254140424344104746[[#This Row],[Num Projets]],#REF!,36,FALSE)</f>
        <v>#REF!</v>
      </c>
      <c r="K90" s="5" t="s">
        <v>21</v>
      </c>
      <c r="L9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0" s="3" t="s">
        <v>189</v>
      </c>
      <c r="N90" s="7" t="e">
        <f>VLOOKUP(H90,#REF!,7,FALSE)</f>
        <v>#REF!</v>
      </c>
      <c r="O90" s="7" t="e">
        <f>IF(VLOOKUP(H90,#REF!,27,FALSE)=0,"",VLOOKUP(H90,#REF!,27,FALSE))</f>
        <v>#REF!</v>
      </c>
      <c r="P90" s="8" t="e">
        <f>VLOOKUP(H90,#REF!,2,FALSE)</f>
        <v>#REF!</v>
      </c>
      <c r="Q90" s="9" t="e">
        <f>Tableau5617192223242425262827293031333432353620383961719241822254140424344104746[[#This Row],[Total Budget
€]]-IFERROR(VLOOKUP(H90,#REF!,8,FALSE),0)</f>
        <v>#REF!</v>
      </c>
      <c r="R90" s="15">
        <f>AD90+AI90+Tableau5617192223242425262827293031333432353620383961719241822254140424344104746[[#This Row],[Int Commandé OT
€]]+AX90</f>
        <v>0</v>
      </c>
      <c r="S90" s="15">
        <f>AD90+AJ90+Tableau5617192223242425262827293031333432353620383961719241822254140424344104746[[#This Row],[Int Réalisé OT
€]]+AX90</f>
        <v>113708.151</v>
      </c>
      <c r="T90" s="94" t="e">
        <f t="shared" si="22"/>
        <v>#REF!</v>
      </c>
      <c r="U9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0" s="12">
        <f>IFERROR(VLOOKUP(H90,#REF!,2,FALSE),0)</f>
        <v>0</v>
      </c>
      <c r="X90" s="13">
        <f>IFERROR(VLOOKUP(H90,#REF!,2,FALSE),0)</f>
        <v>0</v>
      </c>
      <c r="Y90" s="13">
        <f>IFERROR(VLOOKUP(H90,#REF!,3,FALSE),0)</f>
        <v>0</v>
      </c>
      <c r="Z9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937</v>
      </c>
      <c r="AA90" s="13">
        <f>IFERROR(VLOOKUP(H90,#REF!,18,FALSE),0)</f>
        <v>0</v>
      </c>
      <c r="AB90" s="13">
        <f>SUM(X90:Y90)-IFERROR(VLOOKUP(H90,#REF!,16,FALSE),0)-IFERROR(VLOOKUP(H90,#REF!,17,FALSE),0)</f>
        <v>0</v>
      </c>
      <c r="AC90" s="15" t="e">
        <f>VLOOKUP(Tableau5617192223242425262827293031333432353620383961719241822254140424344104746[[#This Row],[Num Projets]],#REF!,2,FALSE)</f>
        <v>#REF!</v>
      </c>
      <c r="AD90" s="15">
        <f>IFERROR(VLOOKUP(Tableau5617192223242425262827293031333432353620383961719241822254140424344104746[[#This Row],[Num Projets]],#REF!,2,FALSE),0)</f>
        <v>0</v>
      </c>
      <c r="AE90" s="8">
        <f t="shared" si="23"/>
        <v>44788.6</v>
      </c>
      <c r="AF90" s="22" t="e">
        <f t="shared" si="24"/>
        <v>#REF!</v>
      </c>
      <c r="AG90" s="8">
        <f>IFERROR(VLOOKUP(H90,#REF!,3,FALSE),0)+IFERROR(VLOOKUP(H90,#REF!,3,FALSE),0)</f>
        <v>0</v>
      </c>
      <c r="AH90" s="8">
        <f>IFERROR(VLOOKUP(Tableau5617192223242425262827293031333432353620383961719241822254140424344104746[[#This Row],[Num Projets]],#REF!,2,FALSE),0)</f>
        <v>0</v>
      </c>
      <c r="AI90" s="17">
        <f>+IFERROR(VLOOKUP(H90,#REF!,2,FALSE),0)-Tableau5617192223242425262827293031333432353620383961719241822254140424344104746[[#This Row],[Int Commandé OT
€]]</f>
        <v>0</v>
      </c>
      <c r="AJ90" s="8">
        <f>IFERROR(VLOOKUP(H90,#REF!,11,FALSE),0)-IFERROR(VLOOKUP(H90,#REF!,10,FALSE),0)+Tableau5617192223242425262827293031333432353620383961719241822254140424344104746[[#This Row],[dont FNP à date (€ HT)]]</f>
        <v>113708.151</v>
      </c>
      <c r="AK90" s="23">
        <f t="shared" si="30"/>
        <v>-113708.151</v>
      </c>
      <c r="AL9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113708.151</v>
      </c>
      <c r="AM90" s="19">
        <f>IF(Tableau5617192223242425262827293031333432353620383961719241822254140424344104746[[#This Row],[RAF Achats M-1
€]]=0,0,AN90-AO90)</f>
        <v>0</v>
      </c>
      <c r="AN90" s="8">
        <f>IFERROR(VLOOKUP(H90,#REF!,31,FALSE),0)</f>
        <v>0</v>
      </c>
      <c r="AO90" s="8">
        <f>AI90+-IFERROR(VLOOKUP(H90,#REF!,27,FALSE),0)</f>
        <v>0</v>
      </c>
      <c r="AP90" s="20">
        <f>IFERROR(VLOOKUP(Tableau5617192223242425262827293031333432353620383961719241822254140424344104746[[#This Row],[Num Projets]],#REF!,2,FALSE),0)</f>
        <v>0</v>
      </c>
      <c r="AQ90" s="20">
        <f>_xlfn.XLOOKUP(H90,[2]Synth!$N:$N,[2]Synth!$O:$O,0,FALSE)+_xlfn.XLOOKUP(Tableau5617192223242425262827293031333432353620383961719241822254140424344104746[[#This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0" s="21">
        <v>0</v>
      </c>
      <c r="AS90" s="20">
        <f>+IFERROR(VLOOKUP(H90,#REF!,36,FALSE),0)</f>
        <v>0</v>
      </c>
      <c r="AT9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0" s="22">
        <f>IF(AG90=0,0,1-((AI90+AM90+Tableau5617192223242425262827293031333432353620383961719241822254140424344104746[[#This Row],[Int Commandé OT
€]]+Tableau5617192223242425262827293031333432353620383961719241822254140424344104746[[#This Row],[RAF Int OT
€]])/AG90))</f>
        <v>0</v>
      </c>
      <c r="AV90" s="8">
        <f>IFERROR(VLOOKUP(H90,#REF!,4,FALSE),0)+IFERROR(VLOOKUP(H90,#REF!,4,FALSE),0)</f>
        <v>0</v>
      </c>
      <c r="AW90" s="8">
        <f>IFERROR(VLOOKUP(Tableau5617192223242425262827293031333432353620383961719241822254140424344104746[[#This Row],[Num Projets]],#REF!,3,FALSE),0)</f>
        <v>0</v>
      </c>
      <c r="AX90" s="95">
        <f>IFERROR(VLOOKUP(Tableau5617192223242425262827293031333432353620383961719241822254140424344104746[[#This Row],[Num Projets]],#REF!,10,FALSE),0)</f>
        <v>0</v>
      </c>
      <c r="AY90" s="23">
        <f>Tableau5617192223242425262827293031333432353620383961719241822254140424344104746[[#This Row],[Budget Mission
 €]]/1.2-AX90</f>
        <v>0</v>
      </c>
      <c r="AZ90" s="8">
        <f>IFERROR(VLOOKUP(H90,#REF!,43,FALSE),0)</f>
        <v>0</v>
      </c>
      <c r="BA90" s="8">
        <f>AX90-IFERROR(VLOOKUP(H90,#REF!,42,FALSE),0)</f>
        <v>0</v>
      </c>
      <c r="BB90" s="47">
        <f t="shared" si="17"/>
        <v>0</v>
      </c>
      <c r="BC90" s="24">
        <f>IFERROR(VLOOKUP(H90,#REF!,47,FALSE),IFERROR(VLOOKUP(H90,#REF!,5,FALSE),0)+IFERROR(VLOOKUP(H90,#REF!,5,FALSE),0))</f>
        <v>0</v>
      </c>
      <c r="BD90" s="25">
        <f>IFERROR(VLOOKUP(H90,#REF!,2,FALSE),0)</f>
        <v>0</v>
      </c>
      <c r="BE90" s="25">
        <f>IFERROR(VLOOKUP(H90,#REF!,49,FALSE),0)</f>
        <v>0</v>
      </c>
      <c r="BF90" s="50" t="e">
        <f t="shared" si="25"/>
        <v>#REF!</v>
      </c>
      <c r="BG90" s="50">
        <f t="shared" si="26"/>
        <v>113708.151</v>
      </c>
      <c r="BH90" s="27">
        <f>AE90+ (AI90-AJ90+AM90+Tableau5617192223242425262827293031333432353620383961719241822254140424344104746[[#This Row],[Int Commandé OT
€]]-Tableau5617192223242425262827293031333432353620383961719241822254140424344104746[[#This Row],[Int Réalisé OT
€]]+AR90) +AY90+BC90</f>
        <v>-68919.551000000007</v>
      </c>
      <c r="BI90" s="47">
        <f>IF(BG90+BH90=0,100%,BG90/(BG90+BH90))</f>
        <v>2.5387743979494788</v>
      </c>
      <c r="BJ90" s="47" t="e">
        <f t="shared" si="27"/>
        <v>#REF!</v>
      </c>
      <c r="BK90" s="27" t="e">
        <f t="shared" si="28"/>
        <v>#REF!</v>
      </c>
      <c r="BL90" s="26" t="e">
        <f t="shared" si="29"/>
        <v>#REF!</v>
      </c>
      <c r="BM90" s="96">
        <f>IFERROR(VLOOKUP(H90,'[1]2023sep'!H:CA,54,FALSE),105)</f>
        <v>105</v>
      </c>
      <c r="BN90" s="29">
        <v>1</v>
      </c>
      <c r="BO90" s="30" t="e">
        <f>P90-AC90-AG90-AV90-Tableau5617192223242425262827293031333432353620383961719241822254140424344104746[[#This Row],[Provisions pour risques]]</f>
        <v>#REF!</v>
      </c>
      <c r="BP9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44788.599999999991</v>
      </c>
      <c r="BQ9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2.5387743979494788</v>
      </c>
      <c r="BR90" s="97" t="e">
        <f t="shared" si="18"/>
        <v>#REF!</v>
      </c>
      <c r="BS90" s="34">
        <f>Tableau5617192223242425262827293031333432353620383961719241822254140424344104746[[#This Row],[Consommé global Enregistré à date (€ HT)]]-IFERROR(VLOOKUP(H90,#REF!,50,FALSE),0)</f>
        <v>113708.151</v>
      </c>
      <c r="BT90" s="35" t="e">
        <f t="shared" si="19"/>
        <v>#REF!</v>
      </c>
      <c r="BU90" s="36">
        <f>BD90-IFERROR(VLOOKUP(H90,#REF!,47,FALSE),0)</f>
        <v>0</v>
      </c>
      <c r="BV90" s="37" t="e">
        <f>+BF90+Tableau5617192223242425262827293031333432353620383961719241822254140424344104746[[#This Row],[CA fin N-1]]-IFERROR(VLOOKUP(H90,#REF!,49,FALSE),0)-IFERROR(VLOOKUP(H90,#REF!,50,FALSE),0)</f>
        <v>#REF!</v>
      </c>
      <c r="BW90" s="33">
        <f>BG90-IFERROR(VLOOKUP(H90,#REF!,51,FALSE),0)</f>
        <v>113708.151</v>
      </c>
      <c r="BX90" s="35" t="e">
        <f t="shared" si="20"/>
        <v>#REF!</v>
      </c>
      <c r="BY90" s="36">
        <f>BD90-IFERROR(VLOOKUP(H90,#REF!,48,FALSE),0)</f>
        <v>0</v>
      </c>
      <c r="BZ9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0" s="39" t="e">
        <f>VLOOKUP(Tableau5617192223242425262827293031333432353620383961719241822254140424344104746[[#This Row],[Num Projets]],#REF!,1,FALSE)</f>
        <v>#REF!</v>
      </c>
      <c r="CB90" s="40">
        <v>175.5</v>
      </c>
      <c r="CC90" s="40">
        <v>761.5</v>
      </c>
      <c r="CD9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-175.5</v>
      </c>
    </row>
    <row r="91" spans="1:82" s="258" customFormat="1" ht="13.5" customHeight="1" x14ac:dyDescent="0.25">
      <c r="A91" s="311"/>
      <c r="B91" s="1"/>
      <c r="C91" s="2" t="e">
        <f>_xlfn.XLOOKUP(Tableau5617192223242425262827293031333432353620383961719241822254140424344104746[[#This Row],[Num Projets]],#REF!,#REF!,FALSE)</f>
        <v>#REF!</v>
      </c>
      <c r="D91" s="3" t="s">
        <v>1</v>
      </c>
      <c r="E91" s="3" t="e">
        <f>_xlfn.XLOOKUP(Tableau5617192223242425262827293031333432353620383961719241822254140424344104746[[#This Row],[Num Projets]],#REF!,#REF!,FALSE)</f>
        <v>#REF!</v>
      </c>
      <c r="F91" s="3" t="e">
        <f>_xlfn.XLOOKUP(Tableau5617192223242425262827293031333432353620383961719241822254140424344104746[[#This Row],[Num Projets]],#REF!,#REF!,"newavr",0)</f>
        <v>#REF!</v>
      </c>
      <c r="G91" s="3" t="s">
        <v>183</v>
      </c>
      <c r="H91" s="3" t="s">
        <v>190</v>
      </c>
      <c r="I9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1" s="4" t="e">
        <f>VLOOKUP(Tableau5617192223242425262827293031333432353620383961719241822254140424344104746[[#This Row],[Num Projets]],#REF!,36,FALSE)</f>
        <v>#REF!</v>
      </c>
      <c r="K91" s="5" t="s">
        <v>4</v>
      </c>
      <c r="L9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1" s="3" t="e">
        <f>SUBSTITUTE(_xlfn.XLOOKUP(Tableau5617192223242425262827293031333432353620383961719241822254140424344104746[[#This Row],[Num Projets]],#REF!,#REF!,FALSE)," ","")</f>
        <v>#REF!</v>
      </c>
      <c r="N91" s="7" t="e">
        <f>VLOOKUP(H91,#REF!,7,FALSE)</f>
        <v>#REF!</v>
      </c>
      <c r="O91" s="7" t="e">
        <f>IF(VLOOKUP(H91,#REF!,27,FALSE)=0,"",VLOOKUP(H91,#REF!,27,FALSE))</f>
        <v>#REF!</v>
      </c>
      <c r="P91" s="8" t="e">
        <f>VLOOKUP(H91,#REF!,2,FALSE)</f>
        <v>#REF!</v>
      </c>
      <c r="Q91" s="9" t="e">
        <f>Tableau5617192223242425262827293031333432353620383961719241822254140424344104746[[#This Row],[Total Budget
€]]-IFERROR(VLOOKUP(H91,#REF!,8,FALSE),0)</f>
        <v>#REF!</v>
      </c>
      <c r="R91" s="15">
        <f>AD91+AI91+Tableau5617192223242425262827293031333432353620383961719241822254140424344104746[[#This Row],[Int Commandé OT
€]]+AX91</f>
        <v>0</v>
      </c>
      <c r="S91" s="15">
        <f>AD91+AJ91+Tableau5617192223242425262827293031333432353620383961719241822254140424344104746[[#This Row],[Int Réalisé OT
€]]+AX91</f>
        <v>0</v>
      </c>
      <c r="T91" s="94" t="e">
        <f t="shared" si="22"/>
        <v>#REF!</v>
      </c>
      <c r="U9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1" s="12">
        <f>IFERROR(VLOOKUP(H91,#REF!,2,FALSE),0)</f>
        <v>0</v>
      </c>
      <c r="X91" s="13">
        <f>IFERROR(VLOOKUP(H91,#REF!,2,FALSE),0)</f>
        <v>0</v>
      </c>
      <c r="Y91" s="13">
        <f>IFERROR(VLOOKUP(H91,#REF!,3,FALSE),0)</f>
        <v>0</v>
      </c>
      <c r="Z9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113.4</v>
      </c>
      <c r="AA91" s="13">
        <f>IFERROR(VLOOKUP(H91,#REF!,18,FALSE),0)</f>
        <v>0</v>
      </c>
      <c r="AB91" s="13">
        <f>SUM(X91:Y91)-IFERROR(VLOOKUP(H91,#REF!,16,FALSE),0)-IFERROR(VLOOKUP(H91,#REF!,17,FALSE),0)</f>
        <v>0</v>
      </c>
      <c r="AC91" s="15" t="e">
        <f>VLOOKUP(Tableau5617192223242425262827293031333432353620383961719241822254140424344104746[[#This Row],[Num Projets]],#REF!,2,FALSE)</f>
        <v>#REF!</v>
      </c>
      <c r="AD91" s="15">
        <f>IFERROR(VLOOKUP(Tableau5617192223242425262827293031333432353620383961719241822254140424344104746[[#This Row],[Num Projets]],#REF!,2,FALSE),0)</f>
        <v>0</v>
      </c>
      <c r="AE91" s="8">
        <f t="shared" si="23"/>
        <v>5420.5199999999995</v>
      </c>
      <c r="AF91" s="22" t="e">
        <f t="shared" si="24"/>
        <v>#REF!</v>
      </c>
      <c r="AG91" s="8">
        <f>IFERROR(VLOOKUP(H91,#REF!,3,FALSE),0)+IFERROR(VLOOKUP(H91,#REF!,3,FALSE),0)</f>
        <v>0</v>
      </c>
      <c r="AH91" s="8">
        <f>IFERROR(VLOOKUP(Tableau5617192223242425262827293031333432353620383961719241822254140424344104746[[#This Row],[Num Projets]],#REF!,2,FALSE),0)</f>
        <v>0</v>
      </c>
      <c r="AI91" s="17">
        <f>+IFERROR(VLOOKUP(H91,#REF!,2,FALSE),0)-Tableau5617192223242425262827293031333432353620383961719241822254140424344104746[[#This Row],[Int Commandé OT
€]]</f>
        <v>0</v>
      </c>
      <c r="AJ91" s="8">
        <f>IFERROR(VLOOKUP(H91,#REF!,11,FALSE),0)-IFERROR(VLOOKUP(H91,#REF!,10,FALSE),0)+Tableau5617192223242425262827293031333432353620383961719241822254140424344104746[[#This Row],[dont FNP à date (€ HT)]]</f>
        <v>0</v>
      </c>
      <c r="AK91" s="15">
        <f t="shared" si="30"/>
        <v>0</v>
      </c>
      <c r="AL9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1" s="19">
        <f>IF(Tableau5617192223242425262827293031333432353620383961719241822254140424344104746[[#This Row],[RAF Achats M-1
€]]=0,0,AN91-AO91)</f>
        <v>0</v>
      </c>
      <c r="AN91" s="8">
        <f>IFERROR(VLOOKUP(H91,#REF!,31,FALSE),0)</f>
        <v>0</v>
      </c>
      <c r="AO91" s="8">
        <f>AI91+-IFERROR(VLOOKUP(H91,#REF!,27,FALSE),0)</f>
        <v>0</v>
      </c>
      <c r="AP91" s="20">
        <f>IFERROR(VLOOKUP(Tableau5617192223242425262827293031333432353620383961719241822254140424344104746[[#This Row],[Num Projets]],#REF!,2,FALSE),0)</f>
        <v>0</v>
      </c>
      <c r="AQ91" s="20">
        <f>_xlfn.XLOOKUP(H91,[2]Synth!$N:$N,[2]Synth!$O:$O,0,FALSE)+_xlfn.XLOOKUP(Tableau5617192223242425262827293031333432353620383961719241822254140424344104746[[#This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1" s="21">
        <v>0</v>
      </c>
      <c r="AS91" s="20">
        <f>+IFERROR(VLOOKUP(H91,#REF!,36,FALSE),0)</f>
        <v>0</v>
      </c>
      <c r="AT9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1" s="22">
        <f>IF(AG91=0,0,1-((AI91+AM91+Tableau5617192223242425262827293031333432353620383961719241822254140424344104746[[#This Row],[Int Commandé OT
€]]+Tableau5617192223242425262827293031333432353620383961719241822254140424344104746[[#This Row],[RAF Int OT
€]])/AG91))</f>
        <v>0</v>
      </c>
      <c r="AV91" s="8">
        <f>IFERROR(VLOOKUP(H91,#REF!,4,FALSE),0)+IFERROR(VLOOKUP(H91,#REF!,4,FALSE),0)</f>
        <v>0</v>
      </c>
      <c r="AW91" s="8">
        <f>IFERROR(VLOOKUP(Tableau5617192223242425262827293031333432353620383961719241822254140424344104746[[#This Row],[Num Projets]],#REF!,3,FALSE),0)</f>
        <v>0</v>
      </c>
      <c r="AX91" s="95">
        <f>IFERROR(VLOOKUP(Tableau5617192223242425262827293031333432353620383961719241822254140424344104746[[#This Row],[Num Projets]],#REF!,10,FALSE),0)</f>
        <v>0</v>
      </c>
      <c r="AY91" s="23">
        <f>Tableau5617192223242425262827293031333432353620383961719241822254140424344104746[[#This Row],[Budget Mission
 €]]/1.2-AX91</f>
        <v>0</v>
      </c>
      <c r="AZ91" s="8">
        <f>IFERROR(VLOOKUP(H91,#REF!,43,FALSE),0)</f>
        <v>0</v>
      </c>
      <c r="BA91" s="8">
        <f>AX91-IFERROR(VLOOKUP(H91,#REF!,42,FALSE),0)</f>
        <v>0</v>
      </c>
      <c r="BB91" s="47">
        <f t="shared" si="17"/>
        <v>0</v>
      </c>
      <c r="BC91" s="24">
        <f>IFERROR(VLOOKUP(H91,#REF!,47,FALSE),IFERROR(VLOOKUP(H91,#REF!,5,FALSE),0)+IFERROR(VLOOKUP(H91,#REF!,5,FALSE),0))</f>
        <v>0</v>
      </c>
      <c r="BD91" s="25">
        <f>IFERROR(VLOOKUP(H91,#REF!,2,FALSE),0)</f>
        <v>0</v>
      </c>
      <c r="BE91" s="25">
        <f>IFERROR(VLOOKUP(H91,#REF!,49,FALSE),0)</f>
        <v>0</v>
      </c>
      <c r="BF91" s="50" t="e">
        <f t="shared" si="25"/>
        <v>#REF!</v>
      </c>
      <c r="BG91" s="50">
        <f t="shared" si="26"/>
        <v>0</v>
      </c>
      <c r="BH91" s="27">
        <f>AE91+ (AI91-AJ91+AM91+Tableau5617192223242425262827293031333432353620383961719241822254140424344104746[[#This Row],[Int Commandé OT
€]]-Tableau5617192223242425262827293031333432353620383961719241822254140424344104746[[#This Row],[Int Réalisé OT
€]]+AR91) +AY91+BC91</f>
        <v>5420.5199999999995</v>
      </c>
      <c r="BI91" s="47">
        <f t="shared" ref="BI91:BI99" si="32">IF(BG91+BH91=0,100%,BG91/(BG91+BH91))</f>
        <v>0</v>
      </c>
      <c r="BJ91" s="47" t="e">
        <f t="shared" si="27"/>
        <v>#REF!</v>
      </c>
      <c r="BK91" s="27" t="e">
        <f t="shared" si="28"/>
        <v>#REF!</v>
      </c>
      <c r="BL91" s="26" t="e">
        <f t="shared" si="29"/>
        <v>#REF!</v>
      </c>
      <c r="BM91" s="96">
        <f>IFERROR(VLOOKUP(H91,'[1]2023sep'!H:CA,54,FALSE),105)</f>
        <v>105</v>
      </c>
      <c r="BN91" s="29">
        <v>1</v>
      </c>
      <c r="BO91" s="30" t="e">
        <f>P91-AC91-AG91-AV91-Tableau5617192223242425262827293031333432353620383961719241822254140424344104746[[#This Row],[Provisions pour risques]]</f>
        <v>#REF!</v>
      </c>
      <c r="BP9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5420.5199999999995</v>
      </c>
      <c r="BQ9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91" s="97" t="e">
        <f t="shared" si="18"/>
        <v>#REF!</v>
      </c>
      <c r="BS91" s="34">
        <f>Tableau5617192223242425262827293031333432353620383961719241822254140424344104746[[#This Row],[Consommé global Enregistré à date (€ HT)]]-IFERROR(VLOOKUP(H91,#REF!,50,FALSE),0)</f>
        <v>0</v>
      </c>
      <c r="BT91" s="35" t="e">
        <f t="shared" si="19"/>
        <v>#REF!</v>
      </c>
      <c r="BU91" s="36">
        <f>BD91-IFERROR(VLOOKUP(H91,#REF!,47,FALSE),0)</f>
        <v>0</v>
      </c>
      <c r="BV91" s="37" t="e">
        <f>+BF91+Tableau5617192223242425262827293031333432353620383961719241822254140424344104746[[#This Row],[CA fin N-1]]-IFERROR(VLOOKUP(H91,#REF!,49,FALSE),0)-IFERROR(VLOOKUP(H91,#REF!,50,FALSE),0)</f>
        <v>#REF!</v>
      </c>
      <c r="BW91" s="33">
        <f>BG91-IFERROR(VLOOKUP(H91,#REF!,51,FALSE),0)</f>
        <v>0</v>
      </c>
      <c r="BX91" s="35" t="e">
        <f t="shared" si="20"/>
        <v>#REF!</v>
      </c>
      <c r="BY91" s="36">
        <f>BD91-IFERROR(VLOOKUP(H91,#REF!,48,FALSE),0)</f>
        <v>0</v>
      </c>
      <c r="BZ9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1" s="39" t="e">
        <f>VLOOKUP(Tableau5617192223242425262827293031333432353620383961719241822254140424344104746[[#This Row],[Num Projets]],#REF!,1,FALSE)</f>
        <v>#REF!</v>
      </c>
      <c r="CB91" s="40">
        <v>113.4</v>
      </c>
      <c r="CC91" s="40">
        <v>0</v>
      </c>
      <c r="CD9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-113.4</v>
      </c>
    </row>
    <row r="92" spans="1:82" s="318" customFormat="1" ht="13.5" customHeight="1" x14ac:dyDescent="0.25">
      <c r="A92" s="314" t="s">
        <v>191</v>
      </c>
      <c r="B92" s="1"/>
      <c r="C92" s="2" t="e">
        <f>_xlfn.XLOOKUP(Tableau5617192223242425262827293031333432353620383961719241822254140424344104746[[#This Row],[Num Projets]],#REF!,#REF!,FALSE)</f>
        <v>#REF!</v>
      </c>
      <c r="D92" s="3" t="s">
        <v>192</v>
      </c>
      <c r="E92" s="65" t="e">
        <f>_xlfn.XLOOKUP(Tableau5617192223242425262827293031333432353620383961719241822254140424344104746[[#This Row],[Num Projets]],#REF!,#REF!,FALSE)</f>
        <v>#REF!</v>
      </c>
      <c r="F92" s="65" t="e">
        <f>_xlfn.XLOOKUP(Tableau5617192223242425262827293031333432353620383961719241822254140424344104746[[#This Row],[Num Projets]],#REF!,#REF!,"newavr",0)</f>
        <v>#REF!</v>
      </c>
      <c r="G92" s="65" t="s">
        <v>2</v>
      </c>
      <c r="H92" s="65" t="s">
        <v>193</v>
      </c>
      <c r="I92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2" s="4" t="e">
        <f>VLOOKUP(Tableau5617192223242425262827293031333432353620383961719241822254140424344104746[[#This Row],[Num Projets]],#REF!,36,FALSE)</f>
        <v>#REF!</v>
      </c>
      <c r="K92" s="99" t="s">
        <v>194</v>
      </c>
      <c r="L92" s="100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2" s="65" t="e">
        <f>SUBSTITUTE(_xlfn.XLOOKUP(Tableau5617192223242425262827293031333432353620383961719241822254140424344104746[[#This Row],[Num Projets]],#REF!,#REF!,FALSE)," ","")</f>
        <v>#REF!</v>
      </c>
      <c r="N92" s="67" t="e">
        <f>VLOOKUP(H92,#REF!,7,FALSE)</f>
        <v>#REF!</v>
      </c>
      <c r="O92" s="67" t="e">
        <f>IF(VLOOKUP(H92,#REF!,27,FALSE)=0,"",VLOOKUP(H92,#REF!,27,FALSE))</f>
        <v>#REF!</v>
      </c>
      <c r="P92" s="92" t="e">
        <f>VLOOKUP(H92,#REF!,2,FALSE)+(477+256)*105+251000*1.2+(67728+40796+50000+10092)*1.2</f>
        <v>#REF!</v>
      </c>
      <c r="Q92" s="102" t="e">
        <f>Tableau5617192223242425262827293031333432353620383961719241822254140424344104746[[#This Row],[Total Budget
€]]-IFERROR(VLOOKUP(H92,#REF!,8,FALSE),0)</f>
        <v>#REF!</v>
      </c>
      <c r="R92" s="68">
        <f>AD92+AI92+Tableau5617192223242425262827293031333432353620383961719241822254140424344104746[[#This Row],[Int Commandé OT
€]]+AX92</f>
        <v>0</v>
      </c>
      <c r="S92" s="68">
        <f>AD92+AJ92+Tableau5617192223242425262827293031333432353620383961719241822254140424344104746[[#This Row],[Int Réalisé OT
€]]+AX92</f>
        <v>211363.41999999993</v>
      </c>
      <c r="T92" s="104" t="e">
        <f t="shared" si="22"/>
        <v>#REF!</v>
      </c>
      <c r="U9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2" s="92">
        <f>IFERROR(VLOOKUP(H92,#REF!,2,FALSE),0)+477+256</f>
        <v>733</v>
      </c>
      <c r="X92" s="13">
        <f>IFERROR(VLOOKUP(H92,#REF!,2,FALSE),0)</f>
        <v>0</v>
      </c>
      <c r="Y92" s="68">
        <f>IFERROR(VLOOKUP(H92,#REF!,3,FALSE),0)</f>
        <v>0</v>
      </c>
      <c r="Z92" s="14">
        <v>0</v>
      </c>
      <c r="AA92" s="68">
        <f>IFERROR(VLOOKUP(H92,#REF!,18,FALSE),0)</f>
        <v>0</v>
      </c>
      <c r="AB92" s="68">
        <f>SUM(X92:Y92)-IFERROR(VLOOKUP(H92,#REF!,16,FALSE),0)-IFERROR(VLOOKUP(H92,#REF!,17,FALSE),0)</f>
        <v>0</v>
      </c>
      <c r="AC92" s="136" t="e">
        <f>VLOOKUP(Tableau5617192223242425262827293031333432353620383961719241822254140424344104746[[#This Row],[Num Projets]],#REF!,2,FALSE)+(477+256)*105</f>
        <v>#REF!</v>
      </c>
      <c r="AD92" s="68">
        <f>IFERROR(VLOOKUP(Tableau5617192223242425262827293031333432353620383961719241822254140424344104746[[#This Row],[Num Projets]],#REF!,2,FALSE),0)</f>
        <v>0</v>
      </c>
      <c r="AE92" s="107">
        <f t="shared" si="23"/>
        <v>0</v>
      </c>
      <c r="AF92" s="69" t="e">
        <f t="shared" si="24"/>
        <v>#REF!</v>
      </c>
      <c r="AG92" s="92">
        <f>IFERROR(VLOOKUP(H92,#REF!,3,FALSE),0)+IFERROR(VLOOKUP(H92,#REF!,3,FALSE),0)+251000*1.2+(67728+40796+50000+10092)*1.2</f>
        <v>503539.19999999995</v>
      </c>
      <c r="AH92" s="107">
        <f>IFERROR(VLOOKUP(Tableau5617192223242425262827293031333432353620383961719241822254140424344104746[[#This Row],[Num Projets]],#REF!,2,FALSE),0)</f>
        <v>0</v>
      </c>
      <c r="AI92" s="17">
        <f>+IFERROR(VLOOKUP(H92,#REF!,2,FALSE),0)-Tableau5617192223242425262827293031333432353620383961719241822254140424344104746[[#This Row],[Int Commandé OT
€]]</f>
        <v>0</v>
      </c>
      <c r="AJ92" s="88">
        <f>IFERROR(VLOOKUP(H92,#REF!,11,FALSE),0)-IFERROR(VLOOKUP(H92,#REF!,10,FALSE),0)+Tableau5617192223242425262827293031333432353620383961719241822254140424344104746[[#This Row],[dont FNP à date (€ HT)]]+67728</f>
        <v>211363.41999999993</v>
      </c>
      <c r="AK92" s="113">
        <f t="shared" si="30"/>
        <v>-211363.41999999993</v>
      </c>
      <c r="AL92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143635.41999999993</v>
      </c>
      <c r="AM92" s="19">
        <f>IF(Tableau5617192223242425262827293031333432353620383961719241822254140424344104746[[#This Row],[RAF Achats M-1
€]]=0,0,AN92-AO92)</f>
        <v>0</v>
      </c>
      <c r="AN92" s="107">
        <f>IFERROR(VLOOKUP(H92,#REF!,31,FALSE),0)</f>
        <v>0</v>
      </c>
      <c r="AO92" s="107">
        <f>AI92+-IFERROR(VLOOKUP(H92,#REF!,27,FALSE),0)</f>
        <v>0</v>
      </c>
      <c r="AP92" s="17">
        <f>IFERROR(VLOOKUP(Tableau5617192223242425262827293031333432353620383961719241822254140424344104746[[#This Row],[Num Projets]],#REF!,2,FALSE),0)</f>
        <v>0</v>
      </c>
      <c r="AQ92" s="20">
        <f>_xlfn.XLOOKUP(H92,[2]Synth!$N:$N,[2]Synth!$O:$O,0,FALSE)+_xlfn.XLOOKUP(Tableau5617192223242425262827293031333432353620383961719241822254140424344104746[[#This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2" s="110">
        <v>0</v>
      </c>
      <c r="AS92" s="20">
        <f>+IFERROR(VLOOKUP(H92,#REF!,36,FALSE),0)</f>
        <v>0</v>
      </c>
      <c r="AT9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2" s="69">
        <f>IF(AG92=0,0,1-((AI92+AM92+Tableau5617192223242425262827293031333432353620383961719241822254140424344104746[[#This Row],[Int Commandé OT
€]]+Tableau5617192223242425262827293031333432353620383961719241822254140424344104746[[#This Row],[RAF Int OT
€]])/AG92))</f>
        <v>1</v>
      </c>
      <c r="AV92" s="107">
        <f>IFERROR(VLOOKUP(H92,#REF!,4,FALSE),0)+IFERROR(VLOOKUP(H92,#REF!,4,FALSE),0)</f>
        <v>0</v>
      </c>
      <c r="AW92" s="46">
        <f>IFERROR(VLOOKUP(Tableau5617192223242425262827293031333432353620383961719241822254140424344104746[[#This Row],[Num Projets]],#REF!,3,FALSE),0)</f>
        <v>0</v>
      </c>
      <c r="AX92" s="112">
        <f>IFERROR(VLOOKUP(Tableau5617192223242425262827293031333432353620383961719241822254140424344104746[[#This Row],[Num Projets]],#REF!,10,FALSE),0)</f>
        <v>0</v>
      </c>
      <c r="AY92" s="23">
        <v>0</v>
      </c>
      <c r="AZ92" s="46">
        <f>IFERROR(VLOOKUP(H92,#REF!,43,FALSE),0)</f>
        <v>0</v>
      </c>
      <c r="BA92" s="46">
        <f>AX92-IFERROR(VLOOKUP(H92,#REF!,42,FALSE),0)</f>
        <v>0</v>
      </c>
      <c r="BB92" s="87">
        <f t="shared" si="17"/>
        <v>0</v>
      </c>
      <c r="BC92" s="71">
        <f>IFERROR(VLOOKUP(H92,#REF!,47,FALSE),IFERROR(VLOOKUP(H92,#REF!,5,FALSE),0)+IFERROR(VLOOKUP(H92,#REF!,5,FALSE),0))</f>
        <v>0</v>
      </c>
      <c r="BD92" s="114">
        <f>IFERROR(VLOOKUP(H92,#REF!,2,FALSE),0)</f>
        <v>0</v>
      </c>
      <c r="BE92" s="114">
        <f>IFERROR(VLOOKUP(H92,#REF!,49,FALSE),0)</f>
        <v>0</v>
      </c>
      <c r="BF92" s="72" t="e">
        <f t="shared" si="25"/>
        <v>#REF!</v>
      </c>
      <c r="BG92" s="72">
        <f t="shared" si="26"/>
        <v>211363.41999999993</v>
      </c>
      <c r="BH92" s="115">
        <f>AE92+ (AI92-AJ92+AM92+Tableau5617192223242425262827293031333432353620383961719241822254140424344104746[[#This Row],[Int Commandé OT
€]]-Tableau5617192223242425262827293031333432353620383961719241822254140424344104746[[#This Row],[Int Réalisé OT
€]]+AR92) +AY92+BC92</f>
        <v>-211363.41999999993</v>
      </c>
      <c r="BI92" s="87">
        <f t="shared" si="32"/>
        <v>1</v>
      </c>
      <c r="BJ92" s="87" t="e">
        <f t="shared" si="27"/>
        <v>#REF!</v>
      </c>
      <c r="BK92" s="52" t="e">
        <f t="shared" si="28"/>
        <v>#REF!</v>
      </c>
      <c r="BL92" s="53" t="e">
        <f t="shared" si="29"/>
        <v>#REF!</v>
      </c>
      <c r="BM92" s="137">
        <f>IFERROR(VLOOKUP(H92,'[1]2023sep'!H:CA,54,FALSE),105)</f>
        <v>105</v>
      </c>
      <c r="BN92" s="75">
        <v>1</v>
      </c>
      <c r="BO92" s="118" t="e">
        <f>P92-AC92-AG92-AV92-Tableau5617192223242425262827293031333432353620383961719241822254140424344104746[[#This Row],[Provisions pour risques]]</f>
        <v>#REF!</v>
      </c>
      <c r="BP92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92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92" s="120" t="e">
        <f t="shared" si="18"/>
        <v>#REF!</v>
      </c>
      <c r="BS92" s="79">
        <f>Tableau5617192223242425262827293031333432353620383961719241822254140424344104746[[#This Row],[Consommé global Enregistré à date (€ HT)]]-IFERROR(VLOOKUP(H92,#REF!,50,FALSE),0)</f>
        <v>211363.41999999993</v>
      </c>
      <c r="BT92" s="80" t="e">
        <f t="shared" si="19"/>
        <v>#REF!</v>
      </c>
      <c r="BU92" s="121">
        <f>BD92-IFERROR(VLOOKUP(H92,#REF!,47,FALSE),0)</f>
        <v>0</v>
      </c>
      <c r="BV92" s="122" t="e">
        <f>+BF92+Tableau5617192223242425262827293031333432353620383961719241822254140424344104746[[#This Row],[CA fin N-1]]-IFERROR(VLOOKUP(H92,#REF!,49,FALSE),0)-IFERROR(VLOOKUP(H92,#REF!,50,FALSE),0)</f>
        <v>#REF!</v>
      </c>
      <c r="BW92" s="33">
        <f>BG92-IFERROR(VLOOKUP(H92,#REF!,51,FALSE),0)</f>
        <v>211363.41999999993</v>
      </c>
      <c r="BX92" s="35" t="e">
        <f t="shared" si="20"/>
        <v>#REF!</v>
      </c>
      <c r="BY92" s="138">
        <f>BD92-IFERROR(VLOOKUP(H92,#REF!,48,FALSE),0)</f>
        <v>0</v>
      </c>
      <c r="BZ92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2" s="39" t="e">
        <f>VLOOKUP(Tableau5617192223242425262827293031333432353620383961719241822254140424344104746[[#This Row],[Num Projets]],#REF!,1,FALSE)</f>
        <v>#REF!</v>
      </c>
      <c r="CB92" s="40">
        <v>2525.5</v>
      </c>
      <c r="CC92" s="40">
        <v>0</v>
      </c>
      <c r="CD9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-2525.5</v>
      </c>
    </row>
    <row r="93" spans="1:82" s="318" customFormat="1" ht="13.5" customHeight="1" x14ac:dyDescent="0.25">
      <c r="A93" s="317" t="s">
        <v>195</v>
      </c>
      <c r="B93" s="1"/>
      <c r="C93" s="2" t="e">
        <f>_xlfn.XLOOKUP(Tableau5617192223242425262827293031333432353620383961719241822254140424344104746[[#This Row],[Num Projets]],#REF!,#REF!,FALSE)</f>
        <v>#REF!</v>
      </c>
      <c r="D93" s="3" t="s">
        <v>6</v>
      </c>
      <c r="E93" s="65" t="e">
        <f>_xlfn.XLOOKUP(Tableau5617192223242425262827293031333432353620383961719241822254140424344104746[[#This Row],[Num Projets]],#REF!,#REF!,FALSE)</f>
        <v>#REF!</v>
      </c>
      <c r="F93" s="3" t="e">
        <f>_xlfn.XLOOKUP(Tableau5617192223242425262827293031333432353620383961719241822254140424344104746[[#This Row],[Num Projets]],#REF!,#REF!,"newavr",0)</f>
        <v>#REF!</v>
      </c>
      <c r="G93" s="3" t="s">
        <v>2</v>
      </c>
      <c r="H93" s="65" t="s">
        <v>196</v>
      </c>
      <c r="I93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3" s="4" t="e">
        <f>VLOOKUP(Tableau5617192223242425262827293031333432353620383961719241822254140424344104746[[#This Row],[Num Projets]],#REF!,36,FALSE)</f>
        <v>#REF!</v>
      </c>
      <c r="K93" s="5" t="s">
        <v>21</v>
      </c>
      <c r="L9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3" s="65" t="e">
        <f>SUBSTITUTE(_xlfn.XLOOKUP(Tableau5617192223242425262827293031333432353620383961719241822254140424344104746[[#This Row],[Num Projets]],#REF!,#REF!,FALSE)," ","")</f>
        <v>#REF!</v>
      </c>
      <c r="N93" s="67" t="e">
        <f>VLOOKUP(H93,#REF!,7,FALSE)</f>
        <v>#REF!</v>
      </c>
      <c r="O93" s="67">
        <v>45747</v>
      </c>
      <c r="P93" s="107" t="e">
        <f>VLOOKUP(H93,#REF!,2,FALSE)</f>
        <v>#REF!</v>
      </c>
      <c r="Q93" s="9" t="e">
        <f>Tableau5617192223242425262827293031333432353620383961719241822254140424344104746[[#This Row],[Total Budget
€]]-IFERROR(VLOOKUP(H93,#REF!,8,FALSE),0)</f>
        <v>#REF!</v>
      </c>
      <c r="R93" s="68">
        <f>AD93+AI93+Tableau5617192223242425262827293031333432353620383961719241822254140424344104746[[#This Row],[Int Commandé OT
€]]+AX93</f>
        <v>0</v>
      </c>
      <c r="S93" s="68">
        <f>AD93+AJ93+Tableau5617192223242425262827293031333432353620383961719241822254140424344104746[[#This Row],[Int Réalisé OT
€]]+AX93</f>
        <v>5439.4654700000001</v>
      </c>
      <c r="T93" s="104" t="e">
        <f t="shared" si="22"/>
        <v>#REF!</v>
      </c>
      <c r="U9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3" s="12">
        <f>IFERROR(VLOOKUP(H93,#REF!,2,FALSE),0)</f>
        <v>0</v>
      </c>
      <c r="X93" s="13">
        <f>IFERROR(VLOOKUP(H93,#REF!,2,FALSE),0)</f>
        <v>0</v>
      </c>
      <c r="Y93" s="13">
        <f>IFERROR(VLOOKUP(H93,#REF!,3,FALSE),0)</f>
        <v>0</v>
      </c>
      <c r="Z9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137.5</v>
      </c>
      <c r="AA93" s="13">
        <f>IFERROR(VLOOKUP(H93,#REF!,18,FALSE),0)</f>
        <v>0</v>
      </c>
      <c r="AB93" s="13">
        <f>SUM(X93:Y93)-IFERROR(VLOOKUP(H93,#REF!,16,FALSE),0)-IFERROR(VLOOKUP(H93,#REF!,17,FALSE),0)</f>
        <v>0</v>
      </c>
      <c r="AC93" s="68" t="e">
        <f>VLOOKUP(Tableau5617192223242425262827293031333432353620383961719241822254140424344104746[[#This Row],[Num Projets]],#REF!,2,FALSE)</f>
        <v>#REF!</v>
      </c>
      <c r="AD93" s="68">
        <f>IFERROR(VLOOKUP(Tableau5617192223242425262827293031333432353620383961719241822254140424344104746[[#This Row],[Num Projets]],#REF!,2,FALSE),0)</f>
        <v>0</v>
      </c>
      <c r="AE93" s="107">
        <f t="shared" si="23"/>
        <v>6572.5</v>
      </c>
      <c r="AF93" s="69" t="e">
        <f t="shared" si="24"/>
        <v>#REF!</v>
      </c>
      <c r="AG93" s="88">
        <f>IFERROR(VLOOKUP(H93,#REF!,3,FALSE),0)+IFERROR(VLOOKUP(H93,#REF!,3,FALSE),0)</f>
        <v>0</v>
      </c>
      <c r="AH93" s="107">
        <f>IFERROR(VLOOKUP(Tableau5617192223242425262827293031333432353620383961719241822254140424344104746[[#This Row],[Num Projets]],#REF!,2,FALSE),0)</f>
        <v>0</v>
      </c>
      <c r="AI93" s="140">
        <f>+IFERROR(VLOOKUP(H93,#REF!,2,FALSE),0)-Tableau5617192223242425262827293031333432353620383961719241822254140424344104746[[#This Row],[Int Commandé OT
€]]</f>
        <v>0</v>
      </c>
      <c r="AJ93" s="141">
        <f>IFERROR(VLOOKUP(H93,#REF!,11,FALSE),0)-IFERROR(VLOOKUP(H93,#REF!,10,FALSE),0)+Tableau5617192223242425262827293031333432353620383961719241822254140424344104746[[#This Row],[dont FNP à date (€ HT)]]</f>
        <v>625.09547000000009</v>
      </c>
      <c r="AK93" s="113">
        <f t="shared" si="30"/>
        <v>-625.09547000000009</v>
      </c>
      <c r="AL9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625.09547000000009</v>
      </c>
      <c r="AM93" s="19">
        <f>IF(Tableau5617192223242425262827293031333432353620383961719241822254140424344104746[[#This Row],[RAF Achats M-1
€]]=0,0,AN93-AO93)</f>
        <v>0</v>
      </c>
      <c r="AN93" s="8">
        <f>IFERROR(VLOOKUP(H93,#REF!,31,FALSE),0)</f>
        <v>0</v>
      </c>
      <c r="AO93" s="8">
        <f>AI93+-IFERROR(VLOOKUP(H93,#REF!,27,FALSE),0)</f>
        <v>0</v>
      </c>
      <c r="AP93" s="17">
        <f>IFERROR(VLOOKUP(Tableau5617192223242425262827293031333432353620383961719241822254140424344104746[[#This Row],[Num Projets]],#REF!,2,FALSE),0)</f>
        <v>0</v>
      </c>
      <c r="AQ93" s="20">
        <f>_xlfn.XLOOKUP(H93,[2]Synth!$N:$N,[2]Synth!$O:$O,0,FALSE)+_xlfn.XLOOKUP(Tableau5617192223242425262827293031333432353620383961719241822254140424344104746[[#This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4814.37</v>
      </c>
      <c r="AR93" s="110">
        <v>0</v>
      </c>
      <c r="AS93" s="20">
        <f>+IFERROR(VLOOKUP(H93,#REF!,36,FALSE),0)</f>
        <v>0</v>
      </c>
      <c r="AT9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3" s="22">
        <f>IF(AG93=0,0,1-((AI93+AM93+Tableau5617192223242425262827293031333432353620383961719241822254140424344104746[[#This Row],[Int Commandé OT
€]]+Tableau5617192223242425262827293031333432353620383961719241822254140424344104746[[#This Row],[RAF Int OT
€]])/AG93))</f>
        <v>0</v>
      </c>
      <c r="AV93" s="107">
        <f>IFERROR(VLOOKUP(H93,#REF!,4,FALSE),0)+IFERROR(VLOOKUP(H93,#REF!,4,FALSE),0)</f>
        <v>0</v>
      </c>
      <c r="AW93" s="8">
        <f>IFERROR(VLOOKUP(Tableau5617192223242425262827293031333432353620383961719241822254140424344104746[[#This Row],[Num Projets]],#REF!,3,FALSE),0)</f>
        <v>0</v>
      </c>
      <c r="AX93" s="112">
        <f>IFERROR(VLOOKUP(Tableau5617192223242425262827293031333432353620383961719241822254140424344104746[[#This Row],[Num Projets]],#REF!,10,FALSE),0)</f>
        <v>0</v>
      </c>
      <c r="AY93" s="23">
        <f>Tableau5617192223242425262827293031333432353620383961719241822254140424344104746[[#This Row],[Budget Mission
 €]]/1.2-AX93</f>
        <v>0</v>
      </c>
      <c r="AZ93" s="8">
        <f>IFERROR(VLOOKUP(H93,#REF!,43,FALSE),0)</f>
        <v>0</v>
      </c>
      <c r="BA93" s="8">
        <f>AX93-IFERROR(VLOOKUP(H93,#REF!,42,FALSE),0)</f>
        <v>0</v>
      </c>
      <c r="BB93" s="87">
        <f t="shared" si="17"/>
        <v>0</v>
      </c>
      <c r="BC93" s="24">
        <f>IFERROR(VLOOKUP(H93,#REF!,47,FALSE),IFERROR(VLOOKUP(H93,#REF!,5,FALSE),0)+IFERROR(VLOOKUP(H93,#REF!,5,FALSE),0))</f>
        <v>0</v>
      </c>
      <c r="BD93" s="114">
        <f>IFERROR(VLOOKUP(H93,#REF!,2,FALSE),0)</f>
        <v>0</v>
      </c>
      <c r="BE93" s="25">
        <f>IFERROR(VLOOKUP(H93,#REF!,49,FALSE),0)</f>
        <v>0</v>
      </c>
      <c r="BF93" s="72" t="e">
        <f t="shared" si="25"/>
        <v>#REF!</v>
      </c>
      <c r="BG93" s="72">
        <f t="shared" si="26"/>
        <v>5439.4654700000001</v>
      </c>
      <c r="BH93" s="115">
        <f>AE93+ (AI93-AJ93+AM93+Tableau5617192223242425262827293031333432353620383961719241822254140424344104746[[#This Row],[Int Commandé OT
€]]-Tableau5617192223242425262827293031333432353620383961719241822254140424344104746[[#This Row],[Int Réalisé OT
€]]+AR93) +AY93+BC93</f>
        <v>1133.0345299999999</v>
      </c>
      <c r="BI93" s="87">
        <f t="shared" si="32"/>
        <v>0.82760980905287185</v>
      </c>
      <c r="BJ93" s="87" t="e">
        <f t="shared" si="27"/>
        <v>#REF!</v>
      </c>
      <c r="BK93" s="27" t="e">
        <f t="shared" si="28"/>
        <v>#REF!</v>
      </c>
      <c r="BL93" s="26" t="e">
        <f t="shared" si="29"/>
        <v>#REF!</v>
      </c>
      <c r="BM93" s="117">
        <f>IFERROR(VLOOKUP(H93,'[1]2023sep'!H:CA,54,FALSE),105)</f>
        <v>105</v>
      </c>
      <c r="BN93" s="75">
        <v>1</v>
      </c>
      <c r="BO93" s="30" t="e">
        <f>P93-AC93-AG93-AV93-Tableau5617192223242425262827293031333432353620383961719241822254140424344104746[[#This Row],[Provisions pour risques]]</f>
        <v>#REF!</v>
      </c>
      <c r="BP9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6572.5</v>
      </c>
      <c r="BQ9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0.82760980905287185</v>
      </c>
      <c r="BR93" s="120" t="e">
        <f t="shared" si="18"/>
        <v>#REF!</v>
      </c>
      <c r="BS93" s="79">
        <f>Tableau5617192223242425262827293031333432353620383961719241822254140424344104746[[#This Row],[Consommé global Enregistré à date (€ HT)]]-IFERROR(VLOOKUP(H93,#REF!,50,FALSE),0)</f>
        <v>5439.4654700000001</v>
      </c>
      <c r="BT93" s="80" t="e">
        <f t="shared" si="19"/>
        <v>#REF!</v>
      </c>
      <c r="BU93" s="121">
        <f>BD93-IFERROR(VLOOKUP(H93,#REF!,47,FALSE),0)</f>
        <v>0</v>
      </c>
      <c r="BV93" s="37" t="e">
        <f>+BF93+Tableau5617192223242425262827293031333432353620383961719241822254140424344104746[[#This Row],[CA fin N-1]]-IFERROR(VLOOKUP(H93,#REF!,49,FALSE),0)-IFERROR(VLOOKUP(H93,#REF!,50,FALSE),0)</f>
        <v>#REF!</v>
      </c>
      <c r="BW93" s="33">
        <f>BG93-IFERROR(VLOOKUP(H93,#REF!,51,FALSE),0)</f>
        <v>5439.4654700000001</v>
      </c>
      <c r="BX93" s="80" t="e">
        <f t="shared" si="20"/>
        <v>#REF!</v>
      </c>
      <c r="BY93" s="36">
        <f>BD93-IFERROR(VLOOKUP(H93,#REF!,48,FALSE),0)</f>
        <v>0</v>
      </c>
      <c r="BZ93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3" s="39" t="e">
        <f>VLOOKUP(Tableau5617192223242425262827293031333432353620383961719241822254140424344104746[[#This Row],[Num Projets]],#REF!,1,FALSE)</f>
        <v>#REF!</v>
      </c>
      <c r="CB93" s="40">
        <v>137.5</v>
      </c>
      <c r="CC93" s="40">
        <v>0</v>
      </c>
      <c r="CD9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-137.5</v>
      </c>
    </row>
    <row r="94" spans="1:82" s="258" customFormat="1" ht="13.5" customHeight="1" x14ac:dyDescent="0.25">
      <c r="A94" s="313" t="s">
        <v>197</v>
      </c>
      <c r="B94" s="1"/>
      <c r="C94" s="2" t="e">
        <f>_xlfn.XLOOKUP(Tableau5617192223242425262827293031333432353620383961719241822254140424344104746[[#This Row],[Num Projets]],#REF!,#REF!,FALSE)</f>
        <v>#REF!</v>
      </c>
      <c r="D94" s="3" t="s">
        <v>1</v>
      </c>
      <c r="E94" s="3" t="e">
        <f>_xlfn.XLOOKUP(Tableau5617192223242425262827293031333432353620383961719241822254140424344104746[[#This Row],[Num Projets]],#REF!,#REF!,FALSE)</f>
        <v>#REF!</v>
      </c>
      <c r="F94" s="3" t="e">
        <f>_xlfn.XLOOKUP(Tableau5617192223242425262827293031333432353620383961719241822254140424344104746[[#This Row],[Num Projets]],#REF!,#REF!,"newavr",0)</f>
        <v>#REF!</v>
      </c>
      <c r="G94" s="3" t="s">
        <v>31</v>
      </c>
      <c r="H94" s="3" t="s">
        <v>198</v>
      </c>
      <c r="I9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4" s="4" t="e">
        <f>VLOOKUP(Tableau5617192223242425262827293031333432353620383961719241822254140424344104746[[#This Row],[Num Projets]],#REF!,36,FALSE)</f>
        <v>#REF!</v>
      </c>
      <c r="K94" s="5" t="s">
        <v>21</v>
      </c>
      <c r="L9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4" s="3" t="e">
        <f>SUBSTITUTE(_xlfn.XLOOKUP(Tableau5617192223242425262827293031333432353620383961719241822254140424344104746[[#This Row],[Num Projets]],#REF!,#REF!,FALSE)," ","")</f>
        <v>#REF!</v>
      </c>
      <c r="N94" s="7" t="e">
        <f>VLOOKUP(H94,#REF!,7,FALSE)</f>
        <v>#REF!</v>
      </c>
      <c r="O94" s="7" t="e">
        <f>IF(VLOOKUP(H94,#REF!,27,FALSE)=0,"",VLOOKUP(H94,#REF!,27,FALSE))</f>
        <v>#REF!</v>
      </c>
      <c r="P94" s="8" t="e">
        <f>VLOOKUP(H94,#REF!,2,FALSE)</f>
        <v>#REF!</v>
      </c>
      <c r="Q94" s="9" t="e">
        <f>Tableau5617192223242425262827293031333432353620383961719241822254140424344104746[[#This Row],[Total Budget
€]]-IFERROR(VLOOKUP(H94,#REF!,8,FALSE),0)</f>
        <v>#REF!</v>
      </c>
      <c r="R94" s="15">
        <f>AD94+AI94+Tableau5617192223242425262827293031333432353620383961719241822254140424344104746[[#This Row],[Int Commandé OT
€]]+AX94</f>
        <v>0</v>
      </c>
      <c r="S94" s="15">
        <f>AD94+AJ94+Tableau5617192223242425262827293031333432353620383961719241822254140424344104746[[#This Row],[Int Réalisé OT
€]]+AX94</f>
        <v>1118.8</v>
      </c>
      <c r="T94" s="94" t="e">
        <f t="shared" si="22"/>
        <v>#REF!</v>
      </c>
      <c r="U9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4" s="12">
        <f>IFERROR(VLOOKUP(H94,#REF!,2,FALSE),0)</f>
        <v>0</v>
      </c>
      <c r="X94" s="13">
        <f>IFERROR(VLOOKUP(H94,#REF!,2,FALSE),0)</f>
        <v>0</v>
      </c>
      <c r="Y94" s="13">
        <f>IFERROR(VLOOKUP(H94,#REF!,3,FALSE),0)</f>
        <v>0</v>
      </c>
      <c r="Z9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56</v>
      </c>
      <c r="AA94" s="13">
        <f>IFERROR(VLOOKUP(H94,#REF!,18,FALSE),0)</f>
        <v>0</v>
      </c>
      <c r="AB94" s="13">
        <f>SUM(X94:Y94)-IFERROR(VLOOKUP(H94,#REF!,16,FALSE),0)-IFERROR(VLOOKUP(H94,#REF!,17,FALSE),0)</f>
        <v>0</v>
      </c>
      <c r="AC94" s="15">
        <f>Tableau5617192223242425262827293031333432353620383961719241822254140424344104746[[#This Row],[Budget Heures
Hrs]]*105</f>
        <v>0</v>
      </c>
      <c r="AD94" s="15">
        <f>IFERROR(VLOOKUP(Tableau5617192223242425262827293031333432353620383961719241822254140424344104746[[#This Row],[Num Projets]],#REF!,2,FALSE),0)</f>
        <v>0</v>
      </c>
      <c r="AE94" s="8">
        <f t="shared" si="23"/>
        <v>2676.7999999999997</v>
      </c>
      <c r="AF94" s="22">
        <f t="shared" si="24"/>
        <v>0</v>
      </c>
      <c r="AG94" s="8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94" s="8">
        <f>IFERROR(VLOOKUP(Tableau5617192223242425262827293031333432353620383961719241822254140424344104746[[#This Row],[Num Projets]],#REF!,2,FALSE),0)</f>
        <v>0</v>
      </c>
      <c r="AI94" s="17">
        <f>+IFERROR(VLOOKUP(H94,#REF!,2,FALSE),0)-Tableau5617192223242425262827293031333432353620383961719241822254140424344104746[[#This Row],[Int Commandé OT
€]]</f>
        <v>0</v>
      </c>
      <c r="AJ94" s="8">
        <f>IFERROR(VLOOKUP(H94,#REF!,11,FALSE),0)-IFERROR(VLOOKUP(H94,#REF!,10,FALSE),0)+Tableau5617192223242425262827293031333432353620383961719241822254140424344104746[[#This Row],[dont FNP à date (€ HT)]]</f>
        <v>0</v>
      </c>
      <c r="AK94" s="15">
        <f t="shared" si="30"/>
        <v>0</v>
      </c>
      <c r="AL9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4" s="19">
        <f>IF(Tableau5617192223242425262827293031333432353620383961719241822254140424344104746[[#This Row],[RAF Achats M-1
€]]=0,0,AN94-AO94)</f>
        <v>0</v>
      </c>
      <c r="AN94" s="8">
        <f>IFERROR(VLOOKUP(H94,#REF!,31,FALSE),0)</f>
        <v>0</v>
      </c>
      <c r="AO94" s="8">
        <f>AI94+-IFERROR(VLOOKUP(H94,#REF!,27,FALSE),0)</f>
        <v>0</v>
      </c>
      <c r="AP94" s="20">
        <f>IFERROR(VLOOKUP(Tableau5617192223242425262827293031333432353620383961719241822254140424344104746[[#This Row],[Num Projets]],#REF!,2,FALSE),0)</f>
        <v>0</v>
      </c>
      <c r="AQ94" s="20">
        <f>_xlfn.XLOOKUP(H94,[2]Synth!$N:$N,[2]Synth!$O:$O,0,FALSE)+_xlfn.XLOOKUP(Tableau5617192223242425262827293031333432353620383961719241822254140424344104746[[#This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1118.8</v>
      </c>
      <c r="AR94" s="21">
        <v>0</v>
      </c>
      <c r="AS94" s="20">
        <f>+IFERROR(VLOOKUP(H94,#REF!,36,FALSE),0)</f>
        <v>0</v>
      </c>
      <c r="AT9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4" s="22" t="e">
        <f>IF(AG94=0,0,1-((AI94+AM94+Tableau5617192223242425262827293031333432353620383961719241822254140424344104746[[#This Row],[Int Commandé OT
€]]+Tableau5617192223242425262827293031333432353620383961719241822254140424344104746[[#This Row],[RAF Int OT
€]])/AG94))</f>
        <v>#REF!</v>
      </c>
      <c r="AV94" s="8">
        <f>IFERROR(VLOOKUP(H94,#REF!,4,FALSE),0)+IFERROR(VLOOKUP(H94,#REF!,4,FALSE),0)</f>
        <v>0</v>
      </c>
      <c r="AW94" s="8">
        <f>IFERROR(VLOOKUP(Tableau5617192223242425262827293031333432353620383961719241822254140424344104746[[#This Row],[Num Projets]],#REF!,3,FALSE),0)</f>
        <v>0</v>
      </c>
      <c r="AX94" s="95">
        <f>IFERROR(VLOOKUP(Tableau5617192223242425262827293031333432353620383961719241822254140424344104746[[#This Row],[Num Projets]],#REF!,10,FALSE),0)</f>
        <v>0</v>
      </c>
      <c r="AY94" s="23">
        <f>Tableau5617192223242425262827293031333432353620383961719241822254140424344104746[[#This Row],[Budget Mission
 €]]/1.2-AX94</f>
        <v>0</v>
      </c>
      <c r="AZ94" s="8">
        <f>IFERROR(VLOOKUP(H94,#REF!,43,FALSE),0)</f>
        <v>0</v>
      </c>
      <c r="BA94" s="8">
        <f>AX94-IFERROR(VLOOKUP(H94,#REF!,42,FALSE),0)</f>
        <v>0</v>
      </c>
      <c r="BB94" s="47">
        <f t="shared" si="17"/>
        <v>0</v>
      </c>
      <c r="BC94" s="24">
        <f>IFERROR(VLOOKUP(H94,#REF!,47,FALSE),IFERROR(VLOOKUP(H94,#REF!,5,FALSE),0)+IFERROR(VLOOKUP(H94,#REF!,5,FALSE),0))</f>
        <v>0</v>
      </c>
      <c r="BD94" s="25">
        <f>IFERROR(VLOOKUP(H94,#REF!,2,FALSE),0)</f>
        <v>0</v>
      </c>
      <c r="BE94" s="25">
        <f>IFERROR(VLOOKUP(H94,#REF!,49,FALSE),0)</f>
        <v>0</v>
      </c>
      <c r="BF94" s="50" t="e">
        <f t="shared" si="25"/>
        <v>#REF!</v>
      </c>
      <c r="BG94" s="50">
        <f t="shared" si="26"/>
        <v>1118.8</v>
      </c>
      <c r="BH94" s="27">
        <f>AE94+ (AI94-AJ94+AM94+Tableau5617192223242425262827293031333432353620383961719241822254140424344104746[[#This Row],[Int Commandé OT
€]]-Tableau5617192223242425262827293031333432353620383961719241822254140424344104746[[#This Row],[Int Réalisé OT
€]]+AR94) +AY94+BC94</f>
        <v>1557.9999999999998</v>
      </c>
      <c r="BI94" s="47">
        <f t="shared" si="32"/>
        <v>0.41796174536760311</v>
      </c>
      <c r="BJ94" s="47" t="e">
        <f t="shared" si="27"/>
        <v>#REF!</v>
      </c>
      <c r="BK94" s="27" t="e">
        <f t="shared" si="28"/>
        <v>#REF!</v>
      </c>
      <c r="BL94" s="26" t="e">
        <f t="shared" si="29"/>
        <v>#REF!</v>
      </c>
      <c r="BM94" s="96">
        <f>IFERROR(VLOOKUP(H94,'[1]2023sep'!H:CA,54,FALSE),105)</f>
        <v>105</v>
      </c>
      <c r="BN94" s="29">
        <v>1</v>
      </c>
      <c r="BO94" s="30" t="e">
        <f>P94-AC94-AG94-AV94-Tableau5617192223242425262827293031333432353620383961719241822254140424344104746[[#This Row],[Provisions pour risques]]</f>
        <v>#REF!</v>
      </c>
      <c r="BP9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2676.7999999999997</v>
      </c>
      <c r="BQ9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0.41796174536760311</v>
      </c>
      <c r="BR94" s="97" t="e">
        <f t="shared" si="18"/>
        <v>#REF!</v>
      </c>
      <c r="BS94" s="34">
        <f>Tableau5617192223242425262827293031333432353620383961719241822254140424344104746[[#This Row],[Consommé global Enregistré à date (€ HT)]]-IFERROR(VLOOKUP(H94,#REF!,50,FALSE),0)</f>
        <v>1118.8</v>
      </c>
      <c r="BT94" s="35" t="e">
        <f t="shared" si="19"/>
        <v>#REF!</v>
      </c>
      <c r="BU94" s="36">
        <f>BD94-IFERROR(VLOOKUP(H94,#REF!,47,FALSE),0)</f>
        <v>0</v>
      </c>
      <c r="BV94" s="37" t="e">
        <f>+BF94+Tableau5617192223242425262827293031333432353620383961719241822254140424344104746[[#This Row],[CA fin N-1]]-IFERROR(VLOOKUP(H94,#REF!,49,FALSE),0)-IFERROR(VLOOKUP(H94,#REF!,50,FALSE),0)</f>
        <v>#REF!</v>
      </c>
      <c r="BW94" s="33">
        <f>BG94-IFERROR(VLOOKUP(H94,#REF!,51,FALSE),0)</f>
        <v>1118.8</v>
      </c>
      <c r="BX94" s="35" t="e">
        <f t="shared" si="20"/>
        <v>#REF!</v>
      </c>
      <c r="BY94" s="36">
        <f>BD94-IFERROR(VLOOKUP(H94,#REF!,48,FALSE),0)</f>
        <v>0</v>
      </c>
      <c r="BZ9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4" s="39" t="e">
        <f>VLOOKUP(Tableau5617192223242425262827293031333432353620383961719241822254140424344104746[[#This Row],[Num Projets]],#REF!,1,FALSE)</f>
        <v>#REF!</v>
      </c>
      <c r="CB94" s="40">
        <v>28</v>
      </c>
      <c r="CC94" s="40">
        <v>28</v>
      </c>
      <c r="CD9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</v>
      </c>
    </row>
    <row r="95" spans="1:82" s="258" customFormat="1" ht="13.5" customHeight="1" x14ac:dyDescent="0.25">
      <c r="A95" s="311" t="s">
        <v>199</v>
      </c>
      <c r="B95" s="1"/>
      <c r="C95" s="2" t="e">
        <f>_xlfn.XLOOKUP(Tableau5617192223242425262827293031333432353620383961719241822254140424344104746[[#This Row],[Num Projets]],#REF!,#REF!,FALSE)</f>
        <v>#REF!</v>
      </c>
      <c r="D95" s="3" t="s">
        <v>1</v>
      </c>
      <c r="E95" s="3" t="e">
        <f>_xlfn.XLOOKUP(Tableau5617192223242425262827293031333432353620383961719241822254140424344104746[[#This Row],[Num Projets]],#REF!,#REF!,FALSE)</f>
        <v>#REF!</v>
      </c>
      <c r="F95" s="3" t="e">
        <f>_xlfn.XLOOKUP(Tableau5617192223242425262827293031333432353620383961719241822254140424344104746[[#This Row],[Num Projets]],#REF!,#REF!,"newavr",0)</f>
        <v>#REF!</v>
      </c>
      <c r="G95" s="3" t="s">
        <v>2</v>
      </c>
      <c r="H95" s="3" t="s">
        <v>200</v>
      </c>
      <c r="I9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5" s="4" t="e">
        <f>VLOOKUP(Tableau5617192223242425262827293031333432353620383961719241822254140424344104746[[#This Row],[Num Projets]],#REF!,36,FALSE)</f>
        <v>#REF!</v>
      </c>
      <c r="K95" s="5" t="s">
        <v>4</v>
      </c>
      <c r="L9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5" s="3" t="e">
        <f>SUBSTITUTE(_xlfn.XLOOKUP(Tableau5617192223242425262827293031333432353620383961719241822254140424344104746[[#This Row],[Num Projets]],#REF!,#REF!,FALSE)," ","")</f>
        <v>#REF!</v>
      </c>
      <c r="N95" s="7" t="e">
        <f>VLOOKUP(H95,#REF!,7,FALSE)</f>
        <v>#REF!</v>
      </c>
      <c r="O95" s="7" t="e">
        <f>IF(VLOOKUP(H95,#REF!,27,FALSE)=0,"",VLOOKUP(H95,#REF!,27,FALSE))</f>
        <v>#REF!</v>
      </c>
      <c r="P95" s="8" t="e">
        <f>VLOOKUP(H95,#REF!,2,FALSE)</f>
        <v>#REF!</v>
      </c>
      <c r="Q95" s="9" t="e">
        <f>Tableau5617192223242425262827293031333432353620383961719241822254140424344104746[[#This Row],[Total Budget
€]]-IFERROR(VLOOKUP(H95,#REF!,8,FALSE),0)</f>
        <v>#REF!</v>
      </c>
      <c r="R95" s="15">
        <f>AD95+AI95+Tableau5617192223242425262827293031333432353620383961719241822254140424344104746[[#This Row],[Int Commandé OT
€]]+AX95</f>
        <v>0</v>
      </c>
      <c r="S95" s="15">
        <f>AD95+AJ95+Tableau5617192223242425262827293031333432353620383961719241822254140424344104746[[#This Row],[Int Réalisé OT
€]]+AX95</f>
        <v>0</v>
      </c>
      <c r="T95" s="94" t="e">
        <f t="shared" si="22"/>
        <v>#REF!</v>
      </c>
      <c r="U9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5" s="12">
        <f>IFERROR(VLOOKUP(H95,#REF!,2,FALSE),0)</f>
        <v>0</v>
      </c>
      <c r="X95" s="13">
        <f>IFERROR(VLOOKUP(H95,#REF!,2,FALSE),0)</f>
        <v>0</v>
      </c>
      <c r="Y95" s="13">
        <f>IFERROR(VLOOKUP(H95,#REF!,3,FALSE),0)</f>
        <v>0</v>
      </c>
      <c r="Z9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</v>
      </c>
      <c r="AA95" s="13">
        <f>IFERROR(VLOOKUP(H95,#REF!,18,FALSE),0)</f>
        <v>0</v>
      </c>
      <c r="AB95" s="13">
        <f>SUM(X95:Y95)-IFERROR(VLOOKUP(H95,#REF!,16,FALSE),0)-IFERROR(VLOOKUP(H95,#REF!,17,FALSE),0)</f>
        <v>0</v>
      </c>
      <c r="AC95" s="15" t="e">
        <f>VLOOKUP(Tableau5617192223242425262827293031333432353620383961719241822254140424344104746[[#This Row],[Num Projets]],#REF!,2,FALSE)</f>
        <v>#REF!</v>
      </c>
      <c r="AD95" s="15">
        <f>IFERROR(VLOOKUP(Tableau5617192223242425262827293031333432353620383961719241822254140424344104746[[#This Row],[Num Projets]],#REF!,2,FALSE),0)</f>
        <v>0</v>
      </c>
      <c r="AE95" s="8">
        <f t="shared" si="23"/>
        <v>1338.3999999999999</v>
      </c>
      <c r="AF95" s="22" t="e">
        <f t="shared" si="24"/>
        <v>#REF!</v>
      </c>
      <c r="AG95" s="8">
        <f>IFERROR(VLOOKUP(H95,#REF!,3,FALSE),0)+IFERROR(VLOOKUP(H95,#REF!,3,FALSE),0)</f>
        <v>0</v>
      </c>
      <c r="AH95" s="8">
        <f>IFERROR(VLOOKUP(Tableau5617192223242425262827293031333432353620383961719241822254140424344104746[[#This Row],[Num Projets]],#REF!,2,FALSE),0)</f>
        <v>0</v>
      </c>
      <c r="AI95" s="17">
        <f>+IFERROR(VLOOKUP(H95,#REF!,2,FALSE),0)-Tableau5617192223242425262827293031333432353620383961719241822254140424344104746[[#This Row],[Int Commandé OT
€]]</f>
        <v>0</v>
      </c>
      <c r="AJ95" s="8">
        <f>IFERROR(VLOOKUP(H95,#REF!,11,FALSE),0)-IFERROR(VLOOKUP(H95,#REF!,10,FALSE),0)+Tableau5617192223242425262827293031333432353620383961719241822254140424344104746[[#This Row],[dont FNP à date (€ HT)]]</f>
        <v>0</v>
      </c>
      <c r="AK95" s="15">
        <f t="shared" si="30"/>
        <v>0</v>
      </c>
      <c r="AL9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5" s="19">
        <f>IF(Tableau5617192223242425262827293031333432353620383961719241822254140424344104746[[#This Row],[RAF Achats M-1
€]]=0,0,AN95-AO95)</f>
        <v>0</v>
      </c>
      <c r="AN95" s="8">
        <f>IFERROR(VLOOKUP(H95,#REF!,31,FALSE),0)</f>
        <v>0</v>
      </c>
      <c r="AO95" s="8">
        <f>AI95+-IFERROR(VLOOKUP(H95,#REF!,27,FALSE),0)</f>
        <v>0</v>
      </c>
      <c r="AP95" s="20">
        <f>IFERROR(VLOOKUP(Tableau5617192223242425262827293031333432353620383961719241822254140424344104746[[#This Row],[Num Projets]],#REF!,2,FALSE),0)</f>
        <v>0</v>
      </c>
      <c r="AQ95" s="20">
        <f>_xlfn.XLOOKUP(H95,[2]Synth!$N:$N,[2]Synth!$O:$O,0,FALSE)+_xlfn.XLOOKUP(Tableau5617192223242425262827293031333432353620383961719241822254140424344104746[[#This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5" s="21">
        <v>0</v>
      </c>
      <c r="AS95" s="20">
        <f>+IFERROR(VLOOKUP(H95,#REF!,36,FALSE),0)</f>
        <v>0</v>
      </c>
      <c r="AT9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5" s="22">
        <f>IF(AG95=0,0,1-((AI95+AM95+Tableau5617192223242425262827293031333432353620383961719241822254140424344104746[[#This Row],[Int Commandé OT
€]]+Tableau5617192223242425262827293031333432353620383961719241822254140424344104746[[#This Row],[RAF Int OT
€]])/AG95))</f>
        <v>0</v>
      </c>
      <c r="AV95" s="8">
        <f>IFERROR(VLOOKUP(H95,#REF!,4,FALSE),0)+IFERROR(VLOOKUP(H95,#REF!,4,FALSE),0)</f>
        <v>0</v>
      </c>
      <c r="AW95" s="8">
        <f>IFERROR(VLOOKUP(Tableau5617192223242425262827293031333432353620383961719241822254140424344104746[[#This Row],[Num Projets]],#REF!,3,FALSE),0)</f>
        <v>0</v>
      </c>
      <c r="AX95" s="95">
        <f>IFERROR(VLOOKUP(Tableau5617192223242425262827293031333432353620383961719241822254140424344104746[[#This Row],[Num Projets]],#REF!,10,FALSE),0)</f>
        <v>0</v>
      </c>
      <c r="AY95" s="23">
        <f>Tableau5617192223242425262827293031333432353620383961719241822254140424344104746[[#This Row],[Budget Mission
 €]]/1.2-AX95</f>
        <v>0</v>
      </c>
      <c r="AZ95" s="8">
        <f>IFERROR(VLOOKUP(H95,#REF!,43,FALSE),0)</f>
        <v>0</v>
      </c>
      <c r="BA95" s="8">
        <f>AX95-IFERROR(VLOOKUP(H95,#REF!,42,FALSE),0)</f>
        <v>0</v>
      </c>
      <c r="BB95" s="47">
        <f t="shared" si="17"/>
        <v>0</v>
      </c>
      <c r="BC95" s="24">
        <f>IFERROR(VLOOKUP(H95,#REF!,47,FALSE),IFERROR(VLOOKUP(H95,#REF!,5,FALSE),0)+IFERROR(VLOOKUP(H95,#REF!,5,FALSE),0))</f>
        <v>0</v>
      </c>
      <c r="BD95" s="25">
        <f>IFERROR(VLOOKUP(H95,#REF!,2,FALSE),0)</f>
        <v>0</v>
      </c>
      <c r="BE95" s="25">
        <f>IFERROR(VLOOKUP(H95,#REF!,49,FALSE),0)</f>
        <v>0</v>
      </c>
      <c r="BF95" s="50" t="e">
        <f t="shared" si="25"/>
        <v>#REF!</v>
      </c>
      <c r="BG95" s="50">
        <f t="shared" si="26"/>
        <v>0</v>
      </c>
      <c r="BH95" s="27">
        <f>AE95+ (AI95-AJ95+AM95+Tableau5617192223242425262827293031333432353620383961719241822254140424344104746[[#This Row],[Int Commandé OT
€]]-Tableau5617192223242425262827293031333432353620383961719241822254140424344104746[[#This Row],[Int Réalisé OT
€]]+AR95) +AY95+BC95</f>
        <v>1338.3999999999999</v>
      </c>
      <c r="BI95" s="47">
        <f t="shared" si="32"/>
        <v>0</v>
      </c>
      <c r="BJ95" s="47" t="e">
        <f t="shared" si="27"/>
        <v>#REF!</v>
      </c>
      <c r="BK95" s="27" t="e">
        <f t="shared" si="28"/>
        <v>#REF!</v>
      </c>
      <c r="BL95" s="26" t="e">
        <f t="shared" si="29"/>
        <v>#REF!</v>
      </c>
      <c r="BM95" s="96">
        <f>IFERROR(VLOOKUP(H95,'[1]2023sep'!H:CA,54,FALSE),105)</f>
        <v>105</v>
      </c>
      <c r="BN95" s="29">
        <v>1</v>
      </c>
      <c r="BO95" s="30" t="e">
        <f>P95-AC95-AG95-AV95-Tableau5617192223242425262827293031333432353620383961719241822254140424344104746[[#This Row],[Provisions pour risques]]</f>
        <v>#REF!</v>
      </c>
      <c r="BP9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1338.3999999999999</v>
      </c>
      <c r="BQ9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95" s="97" t="e">
        <f t="shared" si="18"/>
        <v>#REF!</v>
      </c>
      <c r="BS95" s="34">
        <f>Tableau5617192223242425262827293031333432353620383961719241822254140424344104746[[#This Row],[Consommé global Enregistré à date (€ HT)]]-IFERROR(VLOOKUP(H95,#REF!,50,FALSE),0)</f>
        <v>0</v>
      </c>
      <c r="BT95" s="35" t="e">
        <f t="shared" si="19"/>
        <v>#REF!</v>
      </c>
      <c r="BU95" s="36">
        <f>BD95-IFERROR(VLOOKUP(H95,#REF!,47,FALSE),0)</f>
        <v>0</v>
      </c>
      <c r="BV95" s="37" t="e">
        <f>+BF95+Tableau5617192223242425262827293031333432353620383961719241822254140424344104746[[#This Row],[CA fin N-1]]-IFERROR(VLOOKUP(H95,#REF!,49,FALSE),0)-IFERROR(VLOOKUP(H95,#REF!,50,FALSE),0)</f>
        <v>#REF!</v>
      </c>
      <c r="BW95" s="33">
        <f>BG95-IFERROR(VLOOKUP(H95,#REF!,51,FALSE),0)</f>
        <v>0</v>
      </c>
      <c r="BX95" s="35" t="e">
        <f t="shared" si="20"/>
        <v>#REF!</v>
      </c>
      <c r="BY95" s="36">
        <f>BD95-IFERROR(VLOOKUP(H95,#REF!,48,FALSE),0)</f>
        <v>0</v>
      </c>
      <c r="BZ9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5" s="39" t="e">
        <f>VLOOKUP(Tableau5617192223242425262827293031333432353620383961719241822254140424344104746[[#This Row],[Num Projets]],#REF!,1,FALSE)</f>
        <v>#REF!</v>
      </c>
      <c r="CB95" s="40">
        <v>28</v>
      </c>
      <c r="CC95" s="40">
        <v>0</v>
      </c>
      <c r="CD9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</v>
      </c>
    </row>
    <row r="96" spans="1:82" s="258" customFormat="1" ht="13.5" customHeight="1" x14ac:dyDescent="0.25">
      <c r="A96" s="313" t="s">
        <v>201</v>
      </c>
      <c r="B96" s="1"/>
      <c r="C96" s="2" t="e">
        <f>_xlfn.XLOOKUP(Tableau5617192223242425262827293031333432353620383961719241822254140424344104746[[#This Row],[Num Projets]],#REF!,#REF!,FALSE)</f>
        <v>#REF!</v>
      </c>
      <c r="D96" s="3" t="s">
        <v>6</v>
      </c>
      <c r="E96" s="3" t="e">
        <f>_xlfn.XLOOKUP(Tableau5617192223242425262827293031333432353620383961719241822254140424344104746[[#This Row],[Num Projets]],#REF!,#REF!,FALSE)</f>
        <v>#REF!</v>
      </c>
      <c r="F96" s="3" t="e">
        <f>_xlfn.XLOOKUP(Tableau5617192223242425262827293031333432353620383961719241822254140424344104746[[#This Row],[Num Projets]],#REF!,#REF!,"newavr",0)</f>
        <v>#REF!</v>
      </c>
      <c r="G96" s="3" t="s">
        <v>2</v>
      </c>
      <c r="H96" s="3" t="s">
        <v>202</v>
      </c>
      <c r="I9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6" s="4" t="e">
        <f>VLOOKUP(Tableau5617192223242425262827293031333432353620383961719241822254140424344104746[[#This Row],[Num Projets]],#REF!,36,FALSE)</f>
        <v>#REF!</v>
      </c>
      <c r="K96" s="5" t="s">
        <v>9</v>
      </c>
      <c r="L9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6" s="3" t="e">
        <f>SUBSTITUTE(_xlfn.XLOOKUP(Tableau5617192223242425262827293031333432353620383961719241822254140424344104746[[#This Row],[Num Projets]],#REF!,#REF!,FALSE)," ","")</f>
        <v>#REF!</v>
      </c>
      <c r="N96" s="7" t="e">
        <f>VLOOKUP(H96,#REF!,7,FALSE)</f>
        <v>#REF!</v>
      </c>
      <c r="O96" s="7" t="e">
        <f>IF(VLOOKUP(H96,#REF!,27,FALSE)=0,"",VLOOKUP(H96,#REF!,27,FALSE))</f>
        <v>#REF!</v>
      </c>
      <c r="P96" s="62" t="e">
        <f>VLOOKUP(H96,#REF!,2,FALSE)-21945</f>
        <v>#REF!</v>
      </c>
      <c r="Q96" s="9" t="e">
        <f>Tableau5617192223242425262827293031333432353620383961719241822254140424344104746[[#This Row],[Total Budget
€]]-IFERROR(VLOOKUP(H96,#REF!,8,FALSE),0)</f>
        <v>#REF!</v>
      </c>
      <c r="R96" s="15">
        <f>AD96+AI96+Tableau5617192223242425262827293031333432353620383961719241822254140424344104746[[#This Row],[Int Commandé OT
€]]+AX96</f>
        <v>0</v>
      </c>
      <c r="S96" s="15">
        <f>AD96+AJ96+Tableau5617192223242425262827293031333432353620383961719241822254140424344104746[[#This Row],[Int Réalisé OT
€]]+AX96</f>
        <v>0</v>
      </c>
      <c r="T96" s="94" t="e">
        <f t="shared" si="22"/>
        <v>#REF!</v>
      </c>
      <c r="U9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6" s="12">
        <f>IFERROR(VLOOKUP(H96,#REF!,2,FALSE),0)</f>
        <v>0</v>
      </c>
      <c r="X96" s="13">
        <f>IFERROR(VLOOKUP(H96,#REF!,2,FALSE),0)</f>
        <v>0</v>
      </c>
      <c r="Y96" s="13">
        <f>IFERROR(VLOOKUP(H96,#REF!,3,FALSE),0)</f>
        <v>0</v>
      </c>
      <c r="Z96" s="14">
        <v>0</v>
      </c>
      <c r="AA96" s="13">
        <f>IFERROR(VLOOKUP(H96,#REF!,18,FALSE),0)</f>
        <v>0</v>
      </c>
      <c r="AB96" s="13">
        <f>SUM(X96:Y96)-IFERROR(VLOOKUP(H96,#REF!,16,FALSE),0)-IFERROR(VLOOKUP(H96,#REF!,17,FALSE),0)</f>
        <v>0</v>
      </c>
      <c r="AC96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</f>
        <v>#REF!</v>
      </c>
      <c r="AD96" s="15">
        <f>IFERROR(VLOOKUP(Tableau5617192223242425262827293031333432353620383961719241822254140424344104746[[#This Row],[Num Projets]],#REF!,2,FALSE),0)</f>
        <v>0</v>
      </c>
      <c r="AE96" s="8">
        <f t="shared" si="23"/>
        <v>0</v>
      </c>
      <c r="AF96" s="22" t="e">
        <f t="shared" si="24"/>
        <v>#REF!</v>
      </c>
      <c r="AG96" s="41">
        <v>8000</v>
      </c>
      <c r="AH96" s="8">
        <f>IFERROR(VLOOKUP(Tableau5617192223242425262827293031333432353620383961719241822254140424344104746[[#This Row],[Num Projets]],#REF!,2,FALSE),0)</f>
        <v>0</v>
      </c>
      <c r="AI96" s="17">
        <f>+IFERROR(VLOOKUP(H96,#REF!,2,FALSE),0)-Tableau5617192223242425262827293031333432353620383961719241822254140424344104746[[#This Row],[Int Commandé OT
€]]</f>
        <v>0</v>
      </c>
      <c r="AJ96" s="8">
        <f>IFERROR(VLOOKUP(H96,#REF!,11,FALSE),0)-IFERROR(VLOOKUP(H96,#REF!,10,FALSE),0)+Tableau5617192223242425262827293031333432353620383961719241822254140424344104746[[#This Row],[dont FNP à date (€ HT)]]</f>
        <v>0</v>
      </c>
      <c r="AK96" s="15">
        <f t="shared" si="30"/>
        <v>0</v>
      </c>
      <c r="AL9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6" s="19">
        <f>IF(Tableau5617192223242425262827293031333432353620383961719241822254140424344104746[[#This Row],[RAF Achats M-1
€]]=0,0,AN96-AO96)</f>
        <v>0</v>
      </c>
      <c r="AN96" s="8">
        <f>IFERROR(VLOOKUP(H96,#REF!,31,FALSE),0)</f>
        <v>0</v>
      </c>
      <c r="AO96" s="8">
        <f>AI96+-IFERROR(VLOOKUP(H96,#REF!,27,FALSE),0)</f>
        <v>0</v>
      </c>
      <c r="AP96" s="20">
        <f>IFERROR(VLOOKUP(Tableau5617192223242425262827293031333432353620383961719241822254140424344104746[[#This Row],[Num Projets]],#REF!,2,FALSE),0)</f>
        <v>0</v>
      </c>
      <c r="AQ96" s="20">
        <f>_xlfn.XLOOKUP(H96,[2]Synth!$N:$N,[2]Synth!$O:$O,0,FALSE)+_xlfn.XLOOKUP(Tableau5617192223242425262827293031333432353620383961719241822254140424344104746[[#This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6" s="21">
        <v>0</v>
      </c>
      <c r="AS96" s="20">
        <f>+IFERROR(VLOOKUP(H96,#REF!,36,FALSE),0)</f>
        <v>0</v>
      </c>
      <c r="AT9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6" s="22">
        <f>IF(AG96=0,0,1-((AI96+AM96+Tableau5617192223242425262827293031333432353620383961719241822254140424344104746[[#This Row],[Int Commandé OT
€]]+Tableau5617192223242425262827293031333432353620383961719241822254140424344104746[[#This Row],[RAF Int OT
€]])/AG96))</f>
        <v>1</v>
      </c>
      <c r="AV96" s="8">
        <f>IFERROR(VLOOKUP(H96,#REF!,4,FALSE),0)+IFERROR(VLOOKUP(H96,#REF!,4,FALSE),0)</f>
        <v>0</v>
      </c>
      <c r="AW96" s="8">
        <f>IFERROR(VLOOKUP(Tableau5617192223242425262827293031333432353620383961719241822254140424344104746[[#This Row],[Num Projets]],#REF!,3,FALSE),0)</f>
        <v>0</v>
      </c>
      <c r="AX96" s="95">
        <f>IFERROR(VLOOKUP(Tableau5617192223242425262827293031333432353620383961719241822254140424344104746[[#This Row],[Num Projets]],#REF!,10,FALSE),0)</f>
        <v>0</v>
      </c>
      <c r="AY96" s="23">
        <f>Tableau5617192223242425262827293031333432353620383961719241822254140424344104746[[#This Row],[Budget Mission
 €]]/1.2-AX96</f>
        <v>0</v>
      </c>
      <c r="AZ96" s="8">
        <f>IFERROR(VLOOKUP(H96,#REF!,43,FALSE),0)</f>
        <v>0</v>
      </c>
      <c r="BA96" s="8">
        <f>AX96-IFERROR(VLOOKUP(H96,#REF!,42,FALSE),0)</f>
        <v>0</v>
      </c>
      <c r="BB96" s="47">
        <f t="shared" si="17"/>
        <v>0</v>
      </c>
      <c r="BC96" s="24">
        <f>IFERROR(VLOOKUP(H96,#REF!,47,FALSE),IFERROR(VLOOKUP(H96,#REF!,5,FALSE),0)+IFERROR(VLOOKUP(H96,#REF!,5,FALSE),0))</f>
        <v>0</v>
      </c>
      <c r="BD96" s="25">
        <f>IFERROR(VLOOKUP(H96,#REF!,2,FALSE),0)</f>
        <v>0</v>
      </c>
      <c r="BE96" s="25">
        <f>IFERROR(VLOOKUP(H96,#REF!,49,FALSE),0)</f>
        <v>0</v>
      </c>
      <c r="BF96" s="50" t="e">
        <f t="shared" si="25"/>
        <v>#REF!</v>
      </c>
      <c r="BG96" s="50">
        <f t="shared" si="26"/>
        <v>0</v>
      </c>
      <c r="BH96" s="27">
        <f>AE96+ (AI96-AJ96+AM96+Tableau5617192223242425262827293031333432353620383961719241822254140424344104746[[#This Row],[Int Commandé OT
€]]-Tableau5617192223242425262827293031333432353620383961719241822254140424344104746[[#This Row],[Int Réalisé OT
€]]+AR96) +AY96+BC96</f>
        <v>0</v>
      </c>
      <c r="BI96" s="47">
        <f t="shared" si="32"/>
        <v>1</v>
      </c>
      <c r="BJ96" s="47" t="e">
        <f t="shared" si="27"/>
        <v>#REF!</v>
      </c>
      <c r="BK96" s="27" t="e">
        <f t="shared" si="28"/>
        <v>#REF!</v>
      </c>
      <c r="BL96" s="26" t="e">
        <f t="shared" si="29"/>
        <v>#REF!</v>
      </c>
      <c r="BM96" s="96">
        <f>IFERROR(VLOOKUP(H96,'[1]2023sep'!H:CA,54,FALSE),105)</f>
        <v>105</v>
      </c>
      <c r="BN96" s="29">
        <v>1</v>
      </c>
      <c r="BO96" s="30" t="e">
        <f>P96-AC96-AG96-AV96-Tableau5617192223242425262827293031333432353620383961719241822254140424344104746[[#This Row],[Provisions pour risques]]</f>
        <v>#REF!</v>
      </c>
      <c r="BP9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9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96" s="97" t="e">
        <f t="shared" si="18"/>
        <v>#REF!</v>
      </c>
      <c r="BS96" s="34">
        <f>Tableau5617192223242425262827293031333432353620383961719241822254140424344104746[[#This Row],[Consommé global Enregistré à date (€ HT)]]-IFERROR(VLOOKUP(H96,#REF!,50,FALSE),0)</f>
        <v>0</v>
      </c>
      <c r="BT96" s="35" t="e">
        <f t="shared" si="19"/>
        <v>#REF!</v>
      </c>
      <c r="BU96" s="36">
        <f>BD96-IFERROR(VLOOKUP(H96,#REF!,47,FALSE),0)</f>
        <v>0</v>
      </c>
      <c r="BV96" s="37" t="e">
        <f>+BF96+Tableau5617192223242425262827293031333432353620383961719241822254140424344104746[[#This Row],[CA fin N-1]]-IFERROR(VLOOKUP(H96,#REF!,49,FALSE),0)-IFERROR(VLOOKUP(H96,#REF!,50,FALSE),0)</f>
        <v>#REF!</v>
      </c>
      <c r="BW96" s="33">
        <f>BG96-IFERROR(VLOOKUP(H96,#REF!,51,FALSE),0)</f>
        <v>0</v>
      </c>
      <c r="BX96" s="35" t="e">
        <f t="shared" si="20"/>
        <v>#REF!</v>
      </c>
      <c r="BY96" s="36">
        <f>BD96-IFERROR(VLOOKUP(H96,#REF!,48,FALSE),0)</f>
        <v>0</v>
      </c>
      <c r="BZ9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6" s="39" t="e">
        <f>VLOOKUP(Tableau5617192223242425262827293031333432353620383961719241822254140424344104746[[#This Row],[Num Projets]],#REF!,1,FALSE)</f>
        <v>#REF!</v>
      </c>
      <c r="CB96" s="40">
        <v>337.5</v>
      </c>
      <c r="CC96" s="40">
        <v>39</v>
      </c>
      <c r="CD9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-337.5</v>
      </c>
    </row>
    <row r="97" spans="1:82" s="258" customFormat="1" ht="13.5" customHeight="1" x14ac:dyDescent="0.25">
      <c r="A97" s="313" t="s">
        <v>203</v>
      </c>
      <c r="B97" s="1"/>
      <c r="C97" s="2" t="e">
        <f>_xlfn.XLOOKUP(Tableau5617192223242425262827293031333432353620383961719241822254140424344104746[[#This Row],[Num Projets]],#REF!,#REF!,FALSE)</f>
        <v>#REF!</v>
      </c>
      <c r="D97" s="3" t="s">
        <v>6</v>
      </c>
      <c r="E97" s="3" t="e">
        <f>_xlfn.XLOOKUP(Tableau5617192223242425262827293031333432353620383961719241822254140424344104746[[#This Row],[Num Projets]],#REF!,#REF!,FALSE)</f>
        <v>#REF!</v>
      </c>
      <c r="F97" s="3" t="e">
        <f>_xlfn.XLOOKUP(Tableau5617192223242425262827293031333432353620383961719241822254140424344104746[[#This Row],[Num Projets]],#REF!,#REF!,"newavr",0)</f>
        <v>#REF!</v>
      </c>
      <c r="G97" s="3" t="s">
        <v>167</v>
      </c>
      <c r="H97" s="3" t="s">
        <v>204</v>
      </c>
      <c r="I9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7" s="4" t="e">
        <f>VLOOKUP(Tableau5617192223242425262827293031333432353620383961719241822254140424344104746[[#This Row],[Num Projets]],#REF!,36,FALSE)</f>
        <v>#REF!</v>
      </c>
      <c r="K97" s="5" t="s">
        <v>9</v>
      </c>
      <c r="L9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7" s="3" t="e">
        <f>SUBSTITUTE(_xlfn.XLOOKUP(Tableau5617192223242425262827293031333432353620383961719241822254140424344104746[[#This Row],[Num Projets]],#REF!,#REF!,FALSE)," ","")</f>
        <v>#REF!</v>
      </c>
      <c r="N97" s="7" t="e">
        <f>VLOOKUP(H97,#REF!,7,FALSE)</f>
        <v>#REF!</v>
      </c>
      <c r="O97" s="7" t="e">
        <f>IF(VLOOKUP(H97,#REF!,27,FALSE)=0,"",VLOOKUP(H97,#REF!,27,FALSE))</f>
        <v>#REF!</v>
      </c>
      <c r="P97" s="15" t="e">
        <f>VLOOKUP(H97,#REF!,2,FALSE)</f>
        <v>#REF!</v>
      </c>
      <c r="Q97" s="9" t="e">
        <f>Tableau5617192223242425262827293031333432353620383961719241822254140424344104746[[#This Row],[Total Budget
€]]-IFERROR(VLOOKUP(H97,#REF!,8,FALSE),0)</f>
        <v>#REF!</v>
      </c>
      <c r="R97" s="15">
        <f>AD97+AI97+Tableau5617192223242425262827293031333432353620383961719241822254140424344104746[[#This Row],[Int Commandé OT
€]]+AX97</f>
        <v>0</v>
      </c>
      <c r="S97" s="15">
        <f>AD97+AJ97+Tableau5617192223242425262827293031333432353620383961719241822254140424344104746[[#This Row],[Int Réalisé OT
€]]+AX97</f>
        <v>0</v>
      </c>
      <c r="T97" s="94" t="e">
        <f t="shared" si="22"/>
        <v>#REF!</v>
      </c>
      <c r="U9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7" s="42" t="e">
        <f>Tableau5617192223242425262827293031333432353620383961719241822254140424344104746[[#This Row],[Budget Heures Valorisées
€]]/105</f>
        <v>#REF!</v>
      </c>
      <c r="X97" s="13">
        <f>IFERROR(VLOOKUP(H97,#REF!,2,FALSE),0)</f>
        <v>0</v>
      </c>
      <c r="Y97" s="13">
        <f>IFERROR(VLOOKUP(H97,#REF!,3,FALSE),0)</f>
        <v>0</v>
      </c>
      <c r="Z97" s="14">
        <v>0</v>
      </c>
      <c r="AA97" s="13">
        <f>IFERROR(VLOOKUP(H97,#REF!,18,FALSE),0)</f>
        <v>0</v>
      </c>
      <c r="AB97" s="13">
        <f>SUM(X97:Y97)-IFERROR(VLOOKUP(H97,#REF!,16,FALSE),0)-IFERROR(VLOOKUP(H97,#REF!,17,FALSE),0)</f>
        <v>0</v>
      </c>
      <c r="AC97" s="15" t="e">
        <f>VLOOKUP(Tableau5617192223242425262827293031333432353620383961719241822254140424344104746[[#This Row],[Num Projets]],#REF!,2,FALSE)</f>
        <v>#REF!</v>
      </c>
      <c r="AD97" s="15">
        <f>IFERROR(VLOOKUP(Tableau5617192223242425262827293031333432353620383961719241822254140424344104746[[#This Row],[Num Projets]],#REF!,2,FALSE),0)</f>
        <v>0</v>
      </c>
      <c r="AE97" s="8">
        <f t="shared" si="23"/>
        <v>0</v>
      </c>
      <c r="AF97" s="22" t="e">
        <f t="shared" si="24"/>
        <v>#REF!</v>
      </c>
      <c r="AG97" s="8">
        <f>IFERROR(VLOOKUP(H97,#REF!,3,FALSE),0)+IFERROR(VLOOKUP(H97,#REF!,3,FALSE),0)</f>
        <v>0</v>
      </c>
      <c r="AH97" s="8">
        <f>IFERROR(VLOOKUP(Tableau5617192223242425262827293031333432353620383961719241822254140424344104746[[#This Row],[Num Projets]],#REF!,2,FALSE),0)</f>
        <v>0</v>
      </c>
      <c r="AI97" s="17">
        <f>+IFERROR(VLOOKUP(H97,#REF!,2,FALSE),0)-Tableau5617192223242425262827293031333432353620383961719241822254140424344104746[[#This Row],[Int Commandé OT
€]]</f>
        <v>0</v>
      </c>
      <c r="AJ97" s="8">
        <f>IFERROR(VLOOKUP(H97,#REF!,11,FALSE),0)-IFERROR(VLOOKUP(H97,#REF!,10,FALSE),0)+Tableau5617192223242425262827293031333432353620383961719241822254140424344104746[[#This Row],[dont FNP à date (€ HT)]]</f>
        <v>0</v>
      </c>
      <c r="AK97" s="15">
        <f t="shared" si="30"/>
        <v>0</v>
      </c>
      <c r="AL9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7" s="19">
        <f>IF(Tableau5617192223242425262827293031333432353620383961719241822254140424344104746[[#This Row],[RAF Achats M-1
€]]=0,0,AN97-AO97)</f>
        <v>0</v>
      </c>
      <c r="AN97" s="8">
        <f>IFERROR(VLOOKUP(H97,#REF!,31,FALSE),0)</f>
        <v>0</v>
      </c>
      <c r="AO97" s="8">
        <f>AI97+-IFERROR(VLOOKUP(H97,#REF!,27,FALSE),0)</f>
        <v>0</v>
      </c>
      <c r="AP97" s="20">
        <f>IFERROR(VLOOKUP(Tableau5617192223242425262827293031333432353620383961719241822254140424344104746[[#This Row],[Num Projets]],#REF!,2,FALSE),0)</f>
        <v>0</v>
      </c>
      <c r="AQ97" s="20">
        <f>_xlfn.XLOOKUP(H97,[2]Synth!$N:$N,[2]Synth!$O:$O,0,FALSE)+_xlfn.XLOOKUP(Tableau5617192223242425262827293031333432353620383961719241822254140424344104746[[#This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7" s="21">
        <v>0</v>
      </c>
      <c r="AS97" s="20">
        <f>+IFERROR(VLOOKUP(H97,#REF!,36,FALSE),0)</f>
        <v>0</v>
      </c>
      <c r="AT9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7" s="22">
        <f>IF(AG97=0,0,1-((AI97+AM97+Tableau5617192223242425262827293031333432353620383961719241822254140424344104746[[#This Row],[Int Commandé OT
€]]+Tableau5617192223242425262827293031333432353620383961719241822254140424344104746[[#This Row],[RAF Int OT
€]])/AG97))</f>
        <v>0</v>
      </c>
      <c r="AV97" s="8">
        <f>IFERROR(VLOOKUP(H97,#REF!,4,FALSE),0)+IFERROR(VLOOKUP(H97,#REF!,4,FALSE),0)</f>
        <v>0</v>
      </c>
      <c r="AW97" s="8">
        <f>IFERROR(VLOOKUP(Tableau5617192223242425262827293031333432353620383961719241822254140424344104746[[#This Row],[Num Projets]],#REF!,3,FALSE),0)</f>
        <v>0</v>
      </c>
      <c r="AX97" s="95">
        <f>IFERROR(VLOOKUP(Tableau5617192223242425262827293031333432353620383961719241822254140424344104746[[#This Row],[Num Projets]],#REF!,10,FALSE),0)</f>
        <v>0</v>
      </c>
      <c r="AY97" s="23">
        <f>Tableau5617192223242425262827293031333432353620383961719241822254140424344104746[[#This Row],[Budget Mission
 €]]/1.2-AX97</f>
        <v>0</v>
      </c>
      <c r="AZ97" s="8">
        <f>IFERROR(VLOOKUP(H97,#REF!,43,FALSE),0)</f>
        <v>0</v>
      </c>
      <c r="BA97" s="8">
        <f>AX97-IFERROR(VLOOKUP(H97,#REF!,42,FALSE),0)</f>
        <v>0</v>
      </c>
      <c r="BB97" s="47">
        <f t="shared" si="17"/>
        <v>0</v>
      </c>
      <c r="BC97" s="24">
        <f>IFERROR(VLOOKUP(H97,#REF!,47,FALSE),IFERROR(VLOOKUP(H97,#REF!,5,FALSE),0)+IFERROR(VLOOKUP(H97,#REF!,5,FALSE),0))</f>
        <v>0</v>
      </c>
      <c r="BD97" s="25">
        <f>IFERROR(VLOOKUP(H97,#REF!,2,FALSE),0)</f>
        <v>0</v>
      </c>
      <c r="BE97" s="25">
        <f>IFERROR(VLOOKUP(H97,#REF!,49,FALSE),0)</f>
        <v>0</v>
      </c>
      <c r="BF97" s="50" t="e">
        <f t="shared" si="25"/>
        <v>#REF!</v>
      </c>
      <c r="BG97" s="50">
        <f t="shared" si="26"/>
        <v>0</v>
      </c>
      <c r="BH97" s="27">
        <f>AE97+ (AI97-AJ97+AM97+Tableau5617192223242425262827293031333432353620383961719241822254140424344104746[[#This Row],[Int Commandé OT
€]]-Tableau5617192223242425262827293031333432353620383961719241822254140424344104746[[#This Row],[Int Réalisé OT
€]]+AR97) +AY97+BC97</f>
        <v>0</v>
      </c>
      <c r="BI97" s="47">
        <f t="shared" si="32"/>
        <v>1</v>
      </c>
      <c r="BJ97" s="47" t="e">
        <f t="shared" si="27"/>
        <v>#REF!</v>
      </c>
      <c r="BK97" s="27" t="e">
        <f t="shared" si="28"/>
        <v>#REF!</v>
      </c>
      <c r="BL97" s="26" t="e">
        <f t="shared" si="29"/>
        <v>#REF!</v>
      </c>
      <c r="BM97" s="96">
        <f>IFERROR(VLOOKUP(H97,'[1]2023sep'!H:CA,54,FALSE),105)</f>
        <v>105</v>
      </c>
      <c r="BN97" s="29">
        <v>1</v>
      </c>
      <c r="BO97" s="30" t="e">
        <f>P97-AC97-AG97-AV97-Tableau5617192223242425262827293031333432353620383961719241822254140424344104746[[#This Row],[Provisions pour risques]]</f>
        <v>#REF!</v>
      </c>
      <c r="BP9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9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97" s="97" t="e">
        <f t="shared" si="18"/>
        <v>#REF!</v>
      </c>
      <c r="BS97" s="34">
        <f>Tableau5617192223242425262827293031333432353620383961719241822254140424344104746[[#This Row],[Consommé global Enregistré à date (€ HT)]]-IFERROR(VLOOKUP(H97,#REF!,50,FALSE),0)</f>
        <v>0</v>
      </c>
      <c r="BT97" s="35" t="e">
        <f t="shared" si="19"/>
        <v>#REF!</v>
      </c>
      <c r="BU97" s="36">
        <f>BD97-IFERROR(VLOOKUP(H97,#REF!,47,FALSE),0)</f>
        <v>0</v>
      </c>
      <c r="BV97" s="37" t="e">
        <f>+BF97+Tableau5617192223242425262827293031333432353620383961719241822254140424344104746[[#This Row],[CA fin N-1]]-IFERROR(VLOOKUP(H97,#REF!,49,FALSE),0)-IFERROR(VLOOKUP(H97,#REF!,50,FALSE),0)</f>
        <v>#REF!</v>
      </c>
      <c r="BW97" s="33">
        <f>BG97-IFERROR(VLOOKUP(H97,#REF!,51,FALSE),0)</f>
        <v>0</v>
      </c>
      <c r="BX97" s="35" t="e">
        <f t="shared" si="20"/>
        <v>#REF!</v>
      </c>
      <c r="BY97" s="36">
        <f>BD97-IFERROR(VLOOKUP(H97,#REF!,48,FALSE),0)</f>
        <v>0</v>
      </c>
      <c r="BZ9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7" s="39" t="e">
        <f>VLOOKUP(Tableau5617192223242425262827293031333432353620383961719241822254140424344104746[[#This Row],[Num Projets]],#REF!,1,FALSE)</f>
        <v>#REF!</v>
      </c>
      <c r="CB97" s="40">
        <v>73.5</v>
      </c>
      <c r="CC97" s="40">
        <v>0</v>
      </c>
      <c r="CD9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-73.5</v>
      </c>
    </row>
    <row r="98" spans="1:82" s="318" customFormat="1" ht="13.5" customHeight="1" x14ac:dyDescent="0.25">
      <c r="A98" s="317" t="s">
        <v>205</v>
      </c>
      <c r="B98" s="64"/>
      <c r="C98" s="142" t="e">
        <f>_xlfn.XLOOKUP(Tableau5617192223242425262827293031333432353620383961719241822254140424344104746[[#This Row],[Num Projets]],#REF!,#REF!,FALSE)</f>
        <v>#REF!</v>
      </c>
      <c r="D98" s="65" t="s">
        <v>1</v>
      </c>
      <c r="E98" s="65" t="e">
        <f>_xlfn.XLOOKUP(Tableau5617192223242425262827293031333432353620383961719241822254140424344104746[[#This Row],[Num Projets]],#REF!,#REF!,FALSE)</f>
        <v>#REF!</v>
      </c>
      <c r="F98" s="3" t="e">
        <f>_xlfn.XLOOKUP(Tableau5617192223242425262827293031333432353620383961719241822254140424344104746[[#This Row],[Num Projets]],#REF!,#REF!,"newavr",0)</f>
        <v>#REF!</v>
      </c>
      <c r="G98" s="3" t="s">
        <v>2</v>
      </c>
      <c r="H98" s="65" t="s">
        <v>206</v>
      </c>
      <c r="I98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8" s="4" t="e">
        <f>VLOOKUP(Tableau5617192223242425262827293031333432353620383961719241822254140424344104746[[#This Row],[Num Projets]],#REF!,36,FALSE)</f>
        <v>#REF!</v>
      </c>
      <c r="K98" s="5" t="s">
        <v>207</v>
      </c>
      <c r="L9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8" s="65" t="e">
        <f>SUBSTITUTE(_xlfn.XLOOKUP(Tableau5617192223242425262827293031333432353620383961719241822254140424344104746[[#This Row],[Num Projets]],#REF!,#REF!,FALSE)," ","")</f>
        <v>#REF!</v>
      </c>
      <c r="N98" s="67" t="e">
        <f>VLOOKUP(H98,#REF!,7,FALSE)</f>
        <v>#REF!</v>
      </c>
      <c r="O98" s="67" t="e">
        <f>IF(VLOOKUP(H98,#REF!,27,FALSE)=0,"",VLOOKUP(H98,#REF!,27,FALSE))</f>
        <v>#REF!</v>
      </c>
      <c r="P98" s="107" t="e">
        <f>VLOOKUP(H98,#REF!,2,FALSE)</f>
        <v>#REF!</v>
      </c>
      <c r="Q98" s="9" t="e">
        <f>Tableau5617192223242425262827293031333432353620383961719241822254140424344104746[[#This Row],[Total Budget
€]]-IFERROR(VLOOKUP(H98,#REF!,8,FALSE),0)</f>
        <v>#REF!</v>
      </c>
      <c r="R98" s="68">
        <f>AD98+AI98+Tableau5617192223242425262827293031333432353620383961719241822254140424344104746[[#This Row],[Int Commandé OT
€]]+AX98</f>
        <v>0</v>
      </c>
      <c r="S98" s="68">
        <f>AD98+AJ98+Tableau5617192223242425262827293031333432353620383961719241822254140424344104746[[#This Row],[Int Réalisé OT
€]]+AX98</f>
        <v>0</v>
      </c>
      <c r="T98" s="104" t="e">
        <f t="shared" si="22"/>
        <v>#REF!</v>
      </c>
      <c r="U9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8" s="10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8" s="42" t="e">
        <f>Tableau5617192223242425262827293031333432353620383961719241822254140424344104746[[#This Row],[Budget Heures Valorisées
€]]/105</f>
        <v>#REF!</v>
      </c>
      <c r="X98" s="13">
        <f>IFERROR(VLOOKUP(H98,#REF!,2,FALSE),0)</f>
        <v>0</v>
      </c>
      <c r="Y98" s="13">
        <f>IFERROR(VLOOKUP(H98,#REF!,3,FALSE),0)</f>
        <v>0</v>
      </c>
      <c r="Z9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20</v>
      </c>
      <c r="AA98" s="13">
        <f>IFERROR(VLOOKUP(H98,#REF!,18,FALSE),0)</f>
        <v>0</v>
      </c>
      <c r="AB98" s="13">
        <f>SUM(X98:Y98)-IFERROR(VLOOKUP(H98,#REF!,16,FALSE),0)-IFERROR(VLOOKUP(H98,#REF!,17,FALSE),0)</f>
        <v>0</v>
      </c>
      <c r="AC98" s="68" t="e">
        <f>VLOOKUP(Tableau5617192223242425262827293031333432353620383961719241822254140424344104746[[#This Row],[Num Projets]],#REF!,2,FALSE)</f>
        <v>#REF!</v>
      </c>
      <c r="AD98" s="68">
        <f>IFERROR(VLOOKUP(Tableau5617192223242425262827293031333432353620383961719241822254140424344104746[[#This Row],[Num Projets]],#REF!,2,FALSE),0)</f>
        <v>0</v>
      </c>
      <c r="AE98" s="107">
        <f t="shared" si="23"/>
        <v>956</v>
      </c>
      <c r="AF98" s="69" t="e">
        <f t="shared" si="24"/>
        <v>#REF!</v>
      </c>
      <c r="AG98" s="107">
        <f>IFERROR(VLOOKUP(H98,#REF!,3,FALSE),0)+IFERROR(VLOOKUP(H98,#REF!,3,FALSE),0)</f>
        <v>0</v>
      </c>
      <c r="AH98" s="107">
        <f>IFERROR(VLOOKUP(Tableau5617192223242425262827293031333432353620383961719241822254140424344104746[[#This Row],[Num Projets]],#REF!,2,FALSE),0)</f>
        <v>0</v>
      </c>
      <c r="AI98" s="17">
        <f>+IFERROR(VLOOKUP(H98,#REF!,2,FALSE),0)-Tableau5617192223242425262827293031333432353620383961719241822254140424344104746[[#This Row],[Int Commandé OT
€]]</f>
        <v>0</v>
      </c>
      <c r="AJ98" s="107">
        <f>IFERROR(VLOOKUP(H98,#REF!,11,FALSE),0)-IFERROR(VLOOKUP(H98,#REF!,10,FALSE),0)+Tableau5617192223242425262827293031333432353620383961719241822254140424344104746[[#This Row],[dont FNP à date (€ HT)]]</f>
        <v>0</v>
      </c>
      <c r="AK98" s="68">
        <f t="shared" si="30"/>
        <v>0</v>
      </c>
      <c r="AL9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8" s="19">
        <f>IF(Tableau5617192223242425262827293031333432353620383961719241822254140424344104746[[#This Row],[RAF Achats M-1
€]]=0,0,AN98-AO98)</f>
        <v>0</v>
      </c>
      <c r="AN98" s="8">
        <f>IFERROR(VLOOKUP(H98,#REF!,31,FALSE),0)</f>
        <v>0</v>
      </c>
      <c r="AO98" s="8">
        <f>AI98+-IFERROR(VLOOKUP(H98,#REF!,27,FALSE),0)</f>
        <v>0</v>
      </c>
      <c r="AP98" s="17">
        <f>IFERROR(VLOOKUP(Tableau5617192223242425262827293031333432353620383961719241822254140424344104746[[#This Row],[Num Projets]],#REF!,2,FALSE),0)</f>
        <v>0</v>
      </c>
      <c r="AQ98" s="20">
        <f>_xlfn.XLOOKUP(H98,[2]Synth!$N:$N,[2]Synth!$O:$O,0,FALSE)+_xlfn.XLOOKUP(Tableau5617192223242425262827293031333432353620383961719241822254140424344104746[[#This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8" s="110">
        <v>0</v>
      </c>
      <c r="AS98" s="20">
        <f>+IFERROR(VLOOKUP(H98,#REF!,36,FALSE),0)</f>
        <v>0</v>
      </c>
      <c r="AT9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8" s="22">
        <f>IF(AG98=0,0,1-((AI98+AM98+Tableau5617192223242425262827293031333432353620383961719241822254140424344104746[[#This Row],[Int Commandé OT
€]]+Tableau5617192223242425262827293031333432353620383961719241822254140424344104746[[#This Row],[RAF Int OT
€]])/AG98))</f>
        <v>0</v>
      </c>
      <c r="AV98" s="107">
        <f>IFERROR(VLOOKUP(H98,#REF!,4,FALSE),0)+IFERROR(VLOOKUP(H98,#REF!,4,FALSE),0)</f>
        <v>0</v>
      </c>
      <c r="AW98" s="107">
        <f>IFERROR(VLOOKUP(Tableau5617192223242425262827293031333432353620383961719241822254140424344104746[[#This Row],[Num Projets]],#REF!,3,FALSE),0)</f>
        <v>0</v>
      </c>
      <c r="AX98" s="112">
        <f>IFERROR(VLOOKUP(Tableau5617192223242425262827293031333432353620383961719241822254140424344104746[[#This Row],[Num Projets]],#REF!,10,FALSE),0)</f>
        <v>0</v>
      </c>
      <c r="AY98" s="23">
        <f>Tableau5617192223242425262827293031333432353620383961719241822254140424344104746[[#This Row],[Budget Mission
 €]]/1.2-AX98</f>
        <v>0</v>
      </c>
      <c r="AZ98" s="8">
        <f>IFERROR(VLOOKUP(H98,#REF!,43,FALSE),0)</f>
        <v>0</v>
      </c>
      <c r="BA98" s="8">
        <f>AX98-IFERROR(VLOOKUP(H98,#REF!,42,FALSE),0)</f>
        <v>0</v>
      </c>
      <c r="BB98" s="87">
        <f t="shared" si="17"/>
        <v>0</v>
      </c>
      <c r="BC98" s="24">
        <f>IFERROR(VLOOKUP(H98,#REF!,47,FALSE),IFERROR(VLOOKUP(H98,#REF!,5,FALSE),0)+IFERROR(VLOOKUP(H98,#REF!,5,FALSE),0))</f>
        <v>0</v>
      </c>
      <c r="BD98" s="114">
        <f>IFERROR(VLOOKUP(H98,#REF!,2,FALSE),0)</f>
        <v>0</v>
      </c>
      <c r="BE98" s="25">
        <f>IFERROR(VLOOKUP(H98,#REF!,49,FALSE),0)</f>
        <v>0</v>
      </c>
      <c r="BF98" s="72" t="e">
        <f t="shared" si="25"/>
        <v>#REF!</v>
      </c>
      <c r="BG98" s="72">
        <f t="shared" si="26"/>
        <v>0</v>
      </c>
      <c r="BH98" s="115">
        <f>AE98+ (AI98-AJ98+AM98+Tableau5617192223242425262827293031333432353620383961719241822254140424344104746[[#This Row],[Int Commandé OT
€]]-Tableau5617192223242425262827293031333432353620383961719241822254140424344104746[[#This Row],[Int Réalisé OT
€]]+AR98) +AY98+BC98</f>
        <v>956</v>
      </c>
      <c r="BI98" s="87">
        <f t="shared" si="32"/>
        <v>0</v>
      </c>
      <c r="BJ98" s="87" t="e">
        <f t="shared" si="27"/>
        <v>#REF!</v>
      </c>
      <c r="BK98" s="27" t="e">
        <f t="shared" si="28"/>
        <v>#REF!</v>
      </c>
      <c r="BL98" s="26" t="e">
        <f t="shared" si="29"/>
        <v>#REF!</v>
      </c>
      <c r="BM98" s="117">
        <f>IFERROR(VLOOKUP(H98,'[1]2023sep'!H:CA,54,FALSE),105)</f>
        <v>105</v>
      </c>
      <c r="BN98" s="75">
        <v>1</v>
      </c>
      <c r="BO98" s="30" t="e">
        <f>P98-AC98-AG98-AV98-Tableau5617192223242425262827293031333432353620383961719241822254140424344104746[[#This Row],[Provisions pour risques]]</f>
        <v>#REF!</v>
      </c>
      <c r="BP9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956</v>
      </c>
      <c r="BQ9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98" s="120" t="e">
        <f t="shared" si="18"/>
        <v>#REF!</v>
      </c>
      <c r="BS98" s="79">
        <f>Tableau5617192223242425262827293031333432353620383961719241822254140424344104746[[#This Row],[Consommé global Enregistré à date (€ HT)]]-IFERROR(VLOOKUP(H98,#REF!,50,FALSE),0)</f>
        <v>0</v>
      </c>
      <c r="BT98" s="80" t="e">
        <f t="shared" si="19"/>
        <v>#REF!</v>
      </c>
      <c r="BU98" s="121">
        <f>BD98-IFERROR(VLOOKUP(H98,#REF!,47,FALSE),0)</f>
        <v>0</v>
      </c>
      <c r="BV98" s="37" t="e">
        <f>+BF98+Tableau5617192223242425262827293031333432353620383961719241822254140424344104746[[#This Row],[CA fin N-1]]-IFERROR(VLOOKUP(H98,#REF!,49,FALSE),0)-IFERROR(VLOOKUP(H98,#REF!,50,FALSE),0)</f>
        <v>#REF!</v>
      </c>
      <c r="BW98" s="33">
        <f>BG98-IFERROR(VLOOKUP(H98,#REF!,51,FALSE),0)</f>
        <v>0</v>
      </c>
      <c r="BX98" s="80" t="e">
        <f t="shared" si="20"/>
        <v>#REF!</v>
      </c>
      <c r="BY98" s="36">
        <f>BD98-IFERROR(VLOOKUP(H98,#REF!,48,FALSE),0)</f>
        <v>0</v>
      </c>
      <c r="BZ98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8" s="39" t="e">
        <f>VLOOKUP(Tableau5617192223242425262827293031333432353620383961719241822254140424344104746[[#This Row],[Num Projets]],#REF!,1,FALSE)</f>
        <v>#REF!</v>
      </c>
      <c r="CB98" s="40">
        <v>0</v>
      </c>
      <c r="CC98" s="40">
        <v>20</v>
      </c>
      <c r="CD9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99" spans="1:82" s="258" customFormat="1" ht="13.5" customHeight="1" x14ac:dyDescent="0.25">
      <c r="A99" s="311" t="s">
        <v>208</v>
      </c>
      <c r="B99" s="1"/>
      <c r="C99" s="2" t="e">
        <f>_xlfn.XLOOKUP(Tableau5617192223242425262827293031333432353620383961719241822254140424344104746[[#This Row],[Num Projets]],#REF!,#REF!,FALSE)</f>
        <v>#REF!</v>
      </c>
      <c r="D99" s="3" t="s">
        <v>1</v>
      </c>
      <c r="E99" s="3" t="e">
        <f>_xlfn.XLOOKUP(Tableau5617192223242425262827293031333432353620383961719241822254140424344104746[[#This Row],[Num Projets]],#REF!,#REF!,FALSE)</f>
        <v>#REF!</v>
      </c>
      <c r="F99" s="3" t="e">
        <f>_xlfn.XLOOKUP(Tableau5617192223242425262827293031333432353620383961719241822254140424344104746[[#This Row],[Num Projets]],#REF!,#REF!,"newavr",0)</f>
        <v>#REF!</v>
      </c>
      <c r="G99" s="3" t="s">
        <v>2</v>
      </c>
      <c r="H99" s="3" t="s">
        <v>209</v>
      </c>
      <c r="I9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99" s="4" t="e">
        <f>VLOOKUP(Tableau5617192223242425262827293031333432353620383961719241822254140424344104746[[#This Row],[Num Projets]],#REF!,36,FALSE)</f>
        <v>#REF!</v>
      </c>
      <c r="K99" s="5" t="s">
        <v>4</v>
      </c>
      <c r="L9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99" s="3" t="e">
        <f>SUBSTITUTE(_xlfn.XLOOKUP(Tableau5617192223242425262827293031333432353620383961719241822254140424344104746[[#This Row],[Num Projets]],#REF!,#REF!,FALSE)," ","")</f>
        <v>#REF!</v>
      </c>
      <c r="N99" s="7" t="e">
        <f>VLOOKUP(H99,#REF!,7,FALSE)</f>
        <v>#REF!</v>
      </c>
      <c r="O99" s="7" t="e">
        <f>IF(VLOOKUP(H99,#REF!,27,FALSE)=0,"",VLOOKUP(H99,#REF!,27,FALSE))</f>
        <v>#REF!</v>
      </c>
      <c r="P99" s="8" t="e">
        <f>VLOOKUP(H99,#REF!,2,FALSE)</f>
        <v>#REF!</v>
      </c>
      <c r="Q99" s="9" t="e">
        <f>Tableau5617192223242425262827293031333432353620383961719241822254140424344104746[[#This Row],[Total Budget
€]]-IFERROR(VLOOKUP(H99,#REF!,8,FALSE),0)</f>
        <v>#REF!</v>
      </c>
      <c r="R99" s="15">
        <f>AD99+AI99+Tableau5617192223242425262827293031333432353620383961719241822254140424344104746[[#This Row],[Int Commandé OT
€]]+AX99</f>
        <v>0</v>
      </c>
      <c r="S99" s="15">
        <f>AD99+AJ99+Tableau5617192223242425262827293031333432353620383961719241822254140424344104746[[#This Row],[Int Réalisé OT
€]]+AX99</f>
        <v>0</v>
      </c>
      <c r="T99" s="94" t="e">
        <f t="shared" si="22"/>
        <v>#REF!</v>
      </c>
      <c r="U9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9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99" s="12">
        <f>IFERROR(VLOOKUP(H99,#REF!,2,FALSE),0)</f>
        <v>0</v>
      </c>
      <c r="X99" s="13">
        <f>IFERROR(VLOOKUP(H99,#REF!,2,FALSE),0)</f>
        <v>0</v>
      </c>
      <c r="Y99" s="13">
        <f>IFERROR(VLOOKUP(H99,#REF!,3,FALSE),0)</f>
        <v>0</v>
      </c>
      <c r="Z9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</v>
      </c>
      <c r="AA99" s="13">
        <f>IFERROR(VLOOKUP(H99,#REF!,18,FALSE),0)</f>
        <v>0</v>
      </c>
      <c r="AB99" s="13">
        <f>SUM(X99:Y99)-IFERROR(VLOOKUP(H99,#REF!,16,FALSE),0)-IFERROR(VLOOKUP(H99,#REF!,17,FALSE),0)</f>
        <v>0</v>
      </c>
      <c r="AC99" s="15">
        <f>23*105</f>
        <v>2415</v>
      </c>
      <c r="AD99" s="15">
        <f>IFERROR(VLOOKUP(Tableau5617192223242425262827293031333432353620383961719241822254140424344104746[[#This Row],[Num Projets]],#REF!,2,FALSE),0)</f>
        <v>0</v>
      </c>
      <c r="AE99" s="8">
        <f t="shared" si="23"/>
        <v>1529.6</v>
      </c>
      <c r="AF99" s="22">
        <f t="shared" si="24"/>
        <v>0.36662525879917185</v>
      </c>
      <c r="AG99" s="8">
        <f>IFERROR(VLOOKUP(H99,#REF!,3,FALSE),0)+IFERROR(VLOOKUP(H99,#REF!,3,FALSE),0)</f>
        <v>0</v>
      </c>
      <c r="AH99" s="8">
        <f>IFERROR(VLOOKUP(Tableau5617192223242425262827293031333432353620383961719241822254140424344104746[[#This Row],[Num Projets]],#REF!,2,FALSE),0)</f>
        <v>0</v>
      </c>
      <c r="AI99" s="17">
        <f>+IFERROR(VLOOKUP(H99,#REF!,2,FALSE),0)-Tableau5617192223242425262827293031333432353620383961719241822254140424344104746[[#This Row],[Int Commandé OT
€]]</f>
        <v>0</v>
      </c>
      <c r="AJ99" s="8">
        <f>IFERROR(VLOOKUP(H99,#REF!,11,FALSE),0)-IFERROR(VLOOKUP(H99,#REF!,10,FALSE),0)+Tableau5617192223242425262827293031333432353620383961719241822254140424344104746[[#This Row],[dont FNP à date (€ HT)]]</f>
        <v>0</v>
      </c>
      <c r="AK99" s="15">
        <f t="shared" si="30"/>
        <v>0</v>
      </c>
      <c r="AL9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99" s="19">
        <f>IF(Tableau5617192223242425262827293031333432353620383961719241822254140424344104746[[#This Row],[RAF Achats M-1
€]]=0,0,AN99-AO99)</f>
        <v>0</v>
      </c>
      <c r="AN99" s="8">
        <f>IFERROR(VLOOKUP(H99,#REF!,31,FALSE),0)</f>
        <v>0</v>
      </c>
      <c r="AO99" s="8">
        <f>AI99+-IFERROR(VLOOKUP(H99,#REF!,27,FALSE),0)</f>
        <v>0</v>
      </c>
      <c r="AP99" s="20">
        <f>IFERROR(VLOOKUP(Tableau5617192223242425262827293031333432353620383961719241822254140424344104746[[#This Row],[Num Projets]],#REF!,2,FALSE),0)</f>
        <v>0</v>
      </c>
      <c r="AQ99" s="20">
        <f>_xlfn.XLOOKUP(H99,[2]Synth!$N:$N,[2]Synth!$O:$O,0,FALSE)+_xlfn.XLOOKUP(Tableau5617192223242425262827293031333432353620383961719241822254140424344104746[[#This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99" s="21">
        <v>0</v>
      </c>
      <c r="AS99" s="20">
        <f>+IFERROR(VLOOKUP(H99,#REF!,36,FALSE),0)</f>
        <v>0</v>
      </c>
      <c r="AT9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99" s="22">
        <f>IF(AG99=0,0,1-((AI99+AM99+Tableau5617192223242425262827293031333432353620383961719241822254140424344104746[[#This Row],[Int Commandé OT
€]]+Tableau5617192223242425262827293031333432353620383961719241822254140424344104746[[#This Row],[RAF Int OT
€]])/AG99))</f>
        <v>0</v>
      </c>
      <c r="AV99" s="41" t="e">
        <f>Tableau5617192223242425262827293031333432353620383961719241822254140424344104746[[#This Row],[Total Budget
€]]-Tableau5617192223242425262827293031333432353620383961719241822254140424344104746[[#This Row],[Budget Heures Valorisées
€]]</f>
        <v>#REF!</v>
      </c>
      <c r="AW99" s="8">
        <f>IFERROR(VLOOKUP(Tableau5617192223242425262827293031333432353620383961719241822254140424344104746[[#This Row],[Num Projets]],#REF!,3,FALSE),0)</f>
        <v>0</v>
      </c>
      <c r="AX99" s="95">
        <f>IFERROR(VLOOKUP(Tableau5617192223242425262827293031333432353620383961719241822254140424344104746[[#This Row],[Num Projets]],#REF!,10,FALSE),0)</f>
        <v>0</v>
      </c>
      <c r="AY99" s="23">
        <v>0</v>
      </c>
      <c r="AZ99" s="8">
        <f>IFERROR(VLOOKUP(H99,#REF!,43,FALSE),0)</f>
        <v>0</v>
      </c>
      <c r="BA99" s="8">
        <f>AX99-IFERROR(VLOOKUP(H99,#REF!,42,FALSE),0)</f>
        <v>0</v>
      </c>
      <c r="BB99" s="47" t="e">
        <f t="shared" ref="BB99:BB151" si="33">IF(AV99=0,0,(1-((AX99+AY99)/AV99)))</f>
        <v>#REF!</v>
      </c>
      <c r="BC99" s="24">
        <f>IFERROR(VLOOKUP(H99,#REF!,47,FALSE),IFERROR(VLOOKUP(H99,#REF!,5,FALSE),0)+IFERROR(VLOOKUP(H99,#REF!,5,FALSE),0))</f>
        <v>0</v>
      </c>
      <c r="BD99" s="25">
        <f>IFERROR(VLOOKUP(H99,#REF!,2,FALSE),0)</f>
        <v>0</v>
      </c>
      <c r="BE99" s="25">
        <f>IFERROR(VLOOKUP(H99,#REF!,49,FALSE),0)</f>
        <v>0</v>
      </c>
      <c r="BF99" s="50" t="e">
        <f t="shared" si="25"/>
        <v>#REF!</v>
      </c>
      <c r="BG99" s="50">
        <f t="shared" si="26"/>
        <v>0</v>
      </c>
      <c r="BH99" s="27">
        <f>AE99+ (AI99-AJ99+AM99+Tableau5617192223242425262827293031333432353620383961719241822254140424344104746[[#This Row],[Int Commandé OT
€]]-Tableau5617192223242425262827293031333432353620383961719241822254140424344104746[[#This Row],[Int Réalisé OT
€]]+AR99) +AY99+BC99</f>
        <v>1529.6</v>
      </c>
      <c r="BI99" s="47">
        <f t="shared" si="32"/>
        <v>0</v>
      </c>
      <c r="BJ99" s="47" t="e">
        <f t="shared" si="27"/>
        <v>#REF!</v>
      </c>
      <c r="BK99" s="27" t="e">
        <f t="shared" si="28"/>
        <v>#REF!</v>
      </c>
      <c r="BL99" s="26" t="e">
        <f t="shared" si="29"/>
        <v>#REF!</v>
      </c>
      <c r="BM99" s="96">
        <f>IFERROR(VLOOKUP(H99,'[1]2023sep'!H:CA,54,FALSE),105)</f>
        <v>105</v>
      </c>
      <c r="BN99" s="29">
        <v>1</v>
      </c>
      <c r="BO99" s="30" t="e">
        <f>P99-AC99-AG99-AV99-Tableau5617192223242425262827293031333432353620383961719241822254140424344104746[[#This Row],[Provisions pour risques]]</f>
        <v>#REF!</v>
      </c>
      <c r="BP9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1529.6</v>
      </c>
      <c r="BQ9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99" s="97" t="e">
        <f t="shared" ref="BR99:BR151" si="34">BF99</f>
        <v>#REF!</v>
      </c>
      <c r="BS99" s="34">
        <f>Tableau5617192223242425262827293031333432353620383961719241822254140424344104746[[#This Row],[Consommé global Enregistré à date (€ HT)]]-IFERROR(VLOOKUP(H99,#REF!,50,FALSE),0)</f>
        <v>0</v>
      </c>
      <c r="BT99" s="35" t="e">
        <f t="shared" ref="BT99:BT151" si="35">BR99-BS99</f>
        <v>#REF!</v>
      </c>
      <c r="BU99" s="36">
        <f>BD99-IFERROR(VLOOKUP(H99,#REF!,47,FALSE),0)</f>
        <v>0</v>
      </c>
      <c r="BV99" s="37" t="e">
        <f>+BF99+Tableau5617192223242425262827293031333432353620383961719241822254140424344104746[[#This Row],[CA fin N-1]]-IFERROR(VLOOKUP(H99,#REF!,49,FALSE),0)-IFERROR(VLOOKUP(H99,#REF!,50,FALSE),0)</f>
        <v>#REF!</v>
      </c>
      <c r="BW99" s="33">
        <f>BG99-IFERROR(VLOOKUP(H99,#REF!,51,FALSE),0)</f>
        <v>0</v>
      </c>
      <c r="BX99" s="35" t="e">
        <f t="shared" ref="BX99:BX151" si="36">BV99-BW99</f>
        <v>#REF!</v>
      </c>
      <c r="BY99" s="36">
        <f>BD99-IFERROR(VLOOKUP(H99,#REF!,48,FALSE),0)</f>
        <v>0</v>
      </c>
      <c r="BZ9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99" s="39" t="e">
        <f>VLOOKUP(Tableau5617192223242425262827293031333432353620383961719241822254140424344104746[[#This Row],[Num Projets]],#REF!,1,FALSE)</f>
        <v>#REF!</v>
      </c>
      <c r="CB99" s="40">
        <v>32</v>
      </c>
      <c r="CC99" s="40">
        <v>0</v>
      </c>
      <c r="CD9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-32</v>
      </c>
    </row>
    <row r="100" spans="1:82" s="258" customFormat="1" ht="13.5" customHeight="1" x14ac:dyDescent="0.25">
      <c r="A100" s="311"/>
      <c r="B100" s="1"/>
      <c r="C100" s="2" t="e">
        <f>_xlfn.XLOOKUP(Tableau5617192223242425262827293031333432353620383961719241822254140424344104746[[#This Row],[Num Projets]],#REF!,#REF!,FALSE)</f>
        <v>#REF!</v>
      </c>
      <c r="D100" s="3" t="s">
        <v>1</v>
      </c>
      <c r="E100" s="3" t="e">
        <f>_xlfn.XLOOKUP(Tableau5617192223242425262827293031333432353620383961719241822254140424344104746[[#This Row],[Num Projets]],#REF!,#REF!,FALSE)</f>
        <v>#REF!</v>
      </c>
      <c r="F100" s="3" t="e">
        <f>_xlfn.XLOOKUP(Tableau5617192223242425262827293031333432353620383961719241822254140424344104746[[#This Row],[Num Projets]],#REF!,#REF!,"newavr",0)</f>
        <v>#REF!</v>
      </c>
      <c r="G100" s="3" t="s">
        <v>2</v>
      </c>
      <c r="H100" s="3" t="s">
        <v>210</v>
      </c>
      <c r="I10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0" s="4" t="e">
        <f>VLOOKUP(Tableau5617192223242425262827293031333432353620383961719241822254140424344104746[[#This Row],[Num Projets]],#REF!,36,FALSE)</f>
        <v>#REF!</v>
      </c>
      <c r="K100" s="5" t="s">
        <v>4</v>
      </c>
      <c r="L10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0" s="3" t="e">
        <f>SUBSTITUTE(_xlfn.XLOOKUP(Tableau5617192223242425262827293031333432353620383961719241822254140424344104746[[#This Row],[Num Projets]],#REF!,#REF!,FALSE)," ","")</f>
        <v>#REF!</v>
      </c>
      <c r="N100" s="7" t="e">
        <f>VLOOKUP(H100,#REF!,7,FALSE)</f>
        <v>#REF!</v>
      </c>
      <c r="O100" s="7" t="e">
        <f>IF(VLOOKUP(H100,#REF!,27,FALSE)=0,"",VLOOKUP(H100,#REF!,27,FALSE))</f>
        <v>#REF!</v>
      </c>
      <c r="P100" s="8" t="e">
        <f>VLOOKUP(H100,#REF!,2,FALSE)</f>
        <v>#REF!</v>
      </c>
      <c r="Q100" s="9" t="e">
        <f>Tableau5617192223242425262827293031333432353620383961719241822254140424344104746[[#This Row],[Total Budget
€]]-IFERROR(VLOOKUP(H100,#REF!,8,FALSE),0)</f>
        <v>#REF!</v>
      </c>
      <c r="R100" s="15">
        <f>AD100+AI100+Tableau5617192223242425262827293031333432353620383961719241822254140424344104746[[#This Row],[Int Commandé OT
€]]+AX100</f>
        <v>0</v>
      </c>
      <c r="S100" s="15">
        <f>AD100+AJ100+Tableau5617192223242425262827293031333432353620383961719241822254140424344104746[[#This Row],[Int Réalisé OT
€]]+AX100</f>
        <v>0</v>
      </c>
      <c r="T100" s="94" t="e">
        <f t="shared" si="22"/>
        <v>#REF!</v>
      </c>
      <c r="U10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0" s="12">
        <f>IFERROR(VLOOKUP(H100,#REF!,2,FALSE),0)</f>
        <v>0</v>
      </c>
      <c r="X100" s="13">
        <f>IFERROR(VLOOKUP(H100,#REF!,2,FALSE),0)</f>
        <v>0</v>
      </c>
      <c r="Y100" s="13">
        <f>IFERROR(VLOOKUP(H100,#REF!,3,FALSE),0)</f>
        <v>0</v>
      </c>
      <c r="Z10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40</v>
      </c>
      <c r="AA100" s="13">
        <f>IFERROR(VLOOKUP(H100,#REF!,18,FALSE),0)</f>
        <v>0</v>
      </c>
      <c r="AB100" s="13">
        <f>SUM(X100:Y100)-IFERROR(VLOOKUP(H100,#REF!,16,FALSE),0)-IFERROR(VLOOKUP(H100,#REF!,17,FALSE),0)</f>
        <v>0</v>
      </c>
      <c r="AC100" s="15" t="e">
        <f>VLOOKUP(Tableau5617192223242425262827293031333432353620383961719241822254140424344104746[[#This Row],[Num Projets]],#REF!,2,FALSE)</f>
        <v>#REF!</v>
      </c>
      <c r="AD100" s="15">
        <f>IFERROR(VLOOKUP(Tableau5617192223242425262827293031333432353620383961719241822254140424344104746[[#This Row],[Num Projets]],#REF!,2,FALSE),0)</f>
        <v>0</v>
      </c>
      <c r="AE100" s="8">
        <f t="shared" si="23"/>
        <v>1912</v>
      </c>
      <c r="AF100" s="22" t="e">
        <f t="shared" si="24"/>
        <v>#REF!</v>
      </c>
      <c r="AG100" s="8">
        <f>IFERROR(VLOOKUP(H100,#REF!,3,FALSE),0)+IFERROR(VLOOKUP(H100,#REF!,3,FALSE),0)</f>
        <v>0</v>
      </c>
      <c r="AH100" s="8">
        <f>IFERROR(VLOOKUP(Tableau5617192223242425262827293031333432353620383961719241822254140424344104746[[#This Row],[Num Projets]],#REF!,2,FALSE),0)</f>
        <v>0</v>
      </c>
      <c r="AI100" s="17">
        <f>+IFERROR(VLOOKUP(H100,#REF!,2,FALSE),0)-Tableau5617192223242425262827293031333432353620383961719241822254140424344104746[[#This Row],[Int Commandé OT
€]]</f>
        <v>0</v>
      </c>
      <c r="AJ100" s="8">
        <f>IFERROR(VLOOKUP(H100,#REF!,11,FALSE),0)-IFERROR(VLOOKUP(H100,#REF!,10,FALSE),0)+Tableau5617192223242425262827293031333432353620383961719241822254140424344104746[[#This Row],[dont FNP à date (€ HT)]]</f>
        <v>0</v>
      </c>
      <c r="AK100" s="15">
        <f t="shared" si="30"/>
        <v>0</v>
      </c>
      <c r="AL10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0" s="19">
        <f>IF(Tableau5617192223242425262827293031333432353620383961719241822254140424344104746[[#This Row],[RAF Achats M-1
€]]=0,0,AN100-AO100)</f>
        <v>0</v>
      </c>
      <c r="AN100" s="8">
        <f>IFERROR(VLOOKUP(H100,#REF!,31,FALSE),0)</f>
        <v>0</v>
      </c>
      <c r="AO100" s="8">
        <f>AI100+-IFERROR(VLOOKUP(H100,#REF!,27,FALSE),0)</f>
        <v>0</v>
      </c>
      <c r="AP100" s="20">
        <f>IFERROR(VLOOKUP(Tableau5617192223242425262827293031333432353620383961719241822254140424344104746[[#This Row],[Num Projets]],#REF!,2,FALSE),0)</f>
        <v>0</v>
      </c>
      <c r="AQ100" s="20">
        <f>_xlfn.XLOOKUP(H100,[2]Synth!$N:$N,[2]Synth!$O:$O,0,FALSE)+_xlfn.XLOOKUP(Tableau5617192223242425262827293031333432353620383961719241822254140424344104746[[#This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0" s="21">
        <v>0</v>
      </c>
      <c r="AS100" s="20">
        <f>+IFERROR(VLOOKUP(H100,#REF!,36,FALSE),0)</f>
        <v>0</v>
      </c>
      <c r="AT10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0" s="22">
        <f>IF(AG100=0,0,1-((AI100+AM100+Tableau5617192223242425262827293031333432353620383961719241822254140424344104746[[#This Row],[Int Commandé OT
€]]+Tableau5617192223242425262827293031333432353620383961719241822254140424344104746[[#This Row],[RAF Int OT
€]])/AG100))</f>
        <v>0</v>
      </c>
      <c r="AV100" s="8">
        <f>IFERROR(VLOOKUP(H100,#REF!,4,FALSE),0)+IFERROR(VLOOKUP(H100,#REF!,4,FALSE),0)</f>
        <v>0</v>
      </c>
      <c r="AW100" s="8">
        <f>IFERROR(VLOOKUP(Tableau5617192223242425262827293031333432353620383961719241822254140424344104746[[#This Row],[Num Projets]],#REF!,3,FALSE),0)</f>
        <v>0</v>
      </c>
      <c r="AX100" s="95">
        <f>IFERROR(VLOOKUP(Tableau5617192223242425262827293031333432353620383961719241822254140424344104746[[#This Row],[Num Projets]],#REF!,10,FALSE),0)</f>
        <v>0</v>
      </c>
      <c r="AY100" s="23">
        <f>Tableau5617192223242425262827293031333432353620383961719241822254140424344104746[[#This Row],[Budget Mission
 €]]/1.2-AX100</f>
        <v>0</v>
      </c>
      <c r="AZ100" s="8">
        <f>IFERROR(VLOOKUP(H100,#REF!,43,FALSE),0)</f>
        <v>0</v>
      </c>
      <c r="BA100" s="8">
        <f>AX100-IFERROR(VLOOKUP(H100,#REF!,42,FALSE),0)</f>
        <v>0</v>
      </c>
      <c r="BB100" s="47">
        <f t="shared" si="33"/>
        <v>0</v>
      </c>
      <c r="BC100" s="24">
        <f>IFERROR(VLOOKUP(H100,#REF!,47,FALSE),IFERROR(VLOOKUP(H100,#REF!,5,FALSE),0)+IFERROR(VLOOKUP(H100,#REF!,5,FALSE),0))</f>
        <v>0</v>
      </c>
      <c r="BD100" s="25">
        <f>IFERROR(VLOOKUP(H100,#REF!,2,FALSE),0)</f>
        <v>0</v>
      </c>
      <c r="BE100" s="25">
        <f>IFERROR(VLOOKUP(H100,#REF!,49,FALSE),0)</f>
        <v>0</v>
      </c>
      <c r="BF100" s="50" t="e">
        <f t="shared" si="25"/>
        <v>#REF!</v>
      </c>
      <c r="BG100" s="50">
        <f t="shared" si="26"/>
        <v>0</v>
      </c>
      <c r="BH100" s="27">
        <f>AE100+ (AI100-AJ100+AM100+Tableau5617192223242425262827293031333432353620383961719241822254140424344104746[[#This Row],[Int Commandé OT
€]]-Tableau5617192223242425262827293031333432353620383961719241822254140424344104746[[#This Row],[Int Réalisé OT
€]]+AR100) +AY100+BC100</f>
        <v>1912</v>
      </c>
      <c r="BI100" s="89" t="e">
        <f>IF((BG100/(BG100+BH100))&lt;VLOOKUP(Tableau5617192223242425262827293031333432353620383961719241822254140424344104746[[#This Row],[Num Projets]],#REF!,53,FALSE),VLOOKUP(Tableau5617192223242425262827293031333432353620383961719241822254140424344104746[[#This Row],[Num Projets]],#REF!,53,FALSE),BG100/(BG100+BH100))</f>
        <v>#REF!</v>
      </c>
      <c r="BJ100" s="47" t="e">
        <f t="shared" si="27"/>
        <v>#REF!</v>
      </c>
      <c r="BK100" s="27" t="e">
        <f t="shared" si="28"/>
        <v>#REF!</v>
      </c>
      <c r="BL100" s="26" t="e">
        <f t="shared" si="29"/>
        <v>#REF!</v>
      </c>
      <c r="BM100" s="96">
        <f>IFERROR(VLOOKUP(H100,'[1]2023sep'!H:CA,54,FALSE),105)</f>
        <v>105</v>
      </c>
      <c r="BN100" s="29">
        <v>1</v>
      </c>
      <c r="BO100" s="30" t="e">
        <f>P100-AC100-AG100-AV100-Tableau5617192223242425262827293031333432353620383961719241822254140424344104746[[#This Row],[Provisions pour risques]]</f>
        <v>#REF!</v>
      </c>
      <c r="BP10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1912</v>
      </c>
      <c r="BQ10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00" s="97" t="e">
        <f t="shared" si="34"/>
        <v>#REF!</v>
      </c>
      <c r="BS100" s="34">
        <f>Tableau5617192223242425262827293031333432353620383961719241822254140424344104746[[#This Row],[Consommé global Enregistré à date (€ HT)]]-IFERROR(VLOOKUP(H100,#REF!,50,FALSE),0)</f>
        <v>0</v>
      </c>
      <c r="BT100" s="35" t="e">
        <f t="shared" si="35"/>
        <v>#REF!</v>
      </c>
      <c r="BU100" s="36">
        <f>BD100-IFERROR(VLOOKUP(H100,#REF!,47,FALSE),0)</f>
        <v>0</v>
      </c>
      <c r="BV100" s="37" t="e">
        <f>+BF100+Tableau5617192223242425262827293031333432353620383961719241822254140424344104746[[#This Row],[CA fin N-1]]-IFERROR(VLOOKUP(H100,#REF!,49,FALSE),0)-IFERROR(VLOOKUP(H100,#REF!,50,FALSE),0)</f>
        <v>#REF!</v>
      </c>
      <c r="BW100" s="33">
        <f>BG100-IFERROR(VLOOKUP(H100,#REF!,51,FALSE),0)</f>
        <v>0</v>
      </c>
      <c r="BX100" s="35" t="e">
        <f t="shared" si="36"/>
        <v>#REF!</v>
      </c>
      <c r="BY100" s="36">
        <f>BD100-IFERROR(VLOOKUP(H100,#REF!,48,FALSE),0)</f>
        <v>0</v>
      </c>
      <c r="BZ10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0" s="39" t="e">
        <f>VLOOKUP(Tableau5617192223242425262827293031333432353620383961719241822254140424344104746[[#This Row],[Num Projets]],#REF!,1,FALSE)</f>
        <v>#REF!</v>
      </c>
      <c r="CB100" s="40">
        <v>40</v>
      </c>
      <c r="CC100" s="40">
        <v>0</v>
      </c>
      <c r="CD10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-40</v>
      </c>
    </row>
    <row r="101" spans="1:82" s="318" customFormat="1" ht="13.5" customHeight="1" x14ac:dyDescent="0.25">
      <c r="A101" s="314" t="s">
        <v>211</v>
      </c>
      <c r="B101" s="1"/>
      <c r="C101" s="98" t="e">
        <f>_xlfn.XLOOKUP(Tableau5617192223242425262827293031333432353620383961719241822254140424344104746[[#This Row],[Num Projets]],#REF!,#REF!,FALSE)</f>
        <v>#REF!</v>
      </c>
      <c r="D101" s="44" t="s">
        <v>6</v>
      </c>
      <c r="E101" s="65" t="e">
        <f>_xlfn.XLOOKUP(Tableau5617192223242425262827293031333432353620383961719241822254140424344104746[[#This Row],[Num Projets]],#REF!,#REF!,FALSE)</f>
        <v>#REF!</v>
      </c>
      <c r="F101" s="65" t="e">
        <f>_xlfn.XLOOKUP(Tableau5617192223242425262827293031333432353620383961719241822254140424344104746[[#This Row],[Num Projets]],#REF!,#REF!,"newavr",0)</f>
        <v>#REF!</v>
      </c>
      <c r="G101" s="65" t="s">
        <v>2</v>
      </c>
      <c r="H101" s="65" t="s">
        <v>212</v>
      </c>
      <c r="I101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1" s="4" t="e">
        <f>VLOOKUP(Tableau5617192223242425262827293031333432353620383961719241822254140424344104746[[#This Row],[Num Projets]],#REF!,36,FALSE)</f>
        <v>#REF!</v>
      </c>
      <c r="K101" s="99" t="s">
        <v>9</v>
      </c>
      <c r="L101" s="100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1" s="65" t="e">
        <f>SUBSTITUTE(_xlfn.XLOOKUP(Tableau5617192223242425262827293031333432353620383961719241822254140424344104746[[#This Row],[Num Projets]],#REF!,#REF!,FALSE)," ","")</f>
        <v>#REF!</v>
      </c>
      <c r="N101" s="67" t="e">
        <f>VLOOKUP(H101,#REF!,7,FALSE)</f>
        <v>#REF!</v>
      </c>
      <c r="O101" s="67" t="e">
        <f>IF(VLOOKUP(H101,#REF!,27,FALSE)=0,"",VLOOKUP(H101,#REF!,27,FALSE))</f>
        <v>#REF!</v>
      </c>
      <c r="P101" s="68" t="e">
        <f>VLOOKUP(H101,#REF!,2,FALSE)</f>
        <v>#REF!</v>
      </c>
      <c r="Q101" s="102" t="e">
        <f>Tableau5617192223242425262827293031333432353620383961719241822254140424344104746[[#This Row],[Total Budget
€]]-IFERROR(VLOOKUP(H101,#REF!,8,FALSE),0)</f>
        <v>#REF!</v>
      </c>
      <c r="R101" s="68">
        <f>AD101+AI101+Tableau5617192223242425262827293031333432353620383961719241822254140424344104746[[#This Row],[Int Commandé OT
€]]+AX101</f>
        <v>0</v>
      </c>
      <c r="S101" s="103">
        <f>AD101+AJ101+Tableau5617192223242425262827293031333432353620383961719241822254140424344104746[[#This Row],[Int Réalisé OT
€]]+AX101</f>
        <v>0</v>
      </c>
      <c r="T101" s="104" t="e">
        <f t="shared" si="22"/>
        <v>#REF!</v>
      </c>
      <c r="U101" s="105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1" s="106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1" s="107">
        <f>IFERROR(VLOOKUP(H101,#REF!,2,FALSE),0)</f>
        <v>0</v>
      </c>
      <c r="X101" s="13">
        <f>IFERROR(VLOOKUP(H101,#REF!,2,FALSE),0)</f>
        <v>0</v>
      </c>
      <c r="Y101" s="68">
        <f>IFERROR(VLOOKUP(H101,#REF!,3,FALSE),0)</f>
        <v>0</v>
      </c>
      <c r="Z10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280</v>
      </c>
      <c r="AA101" s="68">
        <f>IFERROR(VLOOKUP(H101,#REF!,18,FALSE),0)</f>
        <v>0</v>
      </c>
      <c r="AB101" s="68">
        <f>SUM(X101:Y101)-IFERROR(VLOOKUP(H101,#REF!,16,FALSE),0)-IFERROR(VLOOKUP(H101,#REF!,17,FALSE),0)</f>
        <v>0</v>
      </c>
      <c r="AC101" s="68" t="e">
        <f>VLOOKUP(Tableau5617192223242425262827293031333432353620383961719241822254140424344104746[[#This Row],[Num Projets]],#REF!,2,FALSE)</f>
        <v>#REF!</v>
      </c>
      <c r="AD101" s="68">
        <f>IFERROR(VLOOKUP(Tableau5617192223242425262827293031333432353620383961719241822254140424344104746[[#This Row],[Num Projets]],#REF!,2,FALSE),0)</f>
        <v>0</v>
      </c>
      <c r="AE101" s="107">
        <f t="shared" si="23"/>
        <v>13384</v>
      </c>
      <c r="AF101" s="69" t="e">
        <f t="shared" si="24"/>
        <v>#REF!</v>
      </c>
      <c r="AG101" s="107">
        <f>IFERROR(VLOOKUP(H101,#REF!,3,FALSE),0)+IFERROR(VLOOKUP(H101,#REF!,3,FALSE),0)</f>
        <v>0</v>
      </c>
      <c r="AH101" s="107">
        <f>IFERROR(VLOOKUP(Tableau5617192223242425262827293031333432353620383961719241822254140424344104746[[#This Row],[Num Projets]],#REF!,2,FALSE),0)</f>
        <v>0</v>
      </c>
      <c r="AI101" s="17">
        <f>+IFERROR(VLOOKUP(H101,#REF!,2,FALSE),0)-Tableau5617192223242425262827293031333432353620383961719241822254140424344104746[[#This Row],[Int Commandé OT
€]]</f>
        <v>0</v>
      </c>
      <c r="AJ101" s="107">
        <f>IFERROR(VLOOKUP(H101,#REF!,11,FALSE),0)-IFERROR(VLOOKUP(H101,#REF!,10,FALSE),0)+Tableau5617192223242425262827293031333432353620383961719241822254140424344104746[[#This Row],[dont FNP à date (€ HT)]]</f>
        <v>0</v>
      </c>
      <c r="AK101" s="103">
        <f t="shared" si="30"/>
        <v>0</v>
      </c>
      <c r="AL101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1" s="19">
        <f>IF(Tableau5617192223242425262827293031333432353620383961719241822254140424344104746[[#This Row],[RAF Achats M-1
€]]=0,0,AN101-AO101)</f>
        <v>0</v>
      </c>
      <c r="AN101" s="107">
        <f>IFERROR(VLOOKUP(H101,#REF!,31,FALSE),0)</f>
        <v>0</v>
      </c>
      <c r="AO101" s="107">
        <f>AI101+-IFERROR(VLOOKUP(H101,#REF!,27,FALSE),0)</f>
        <v>0</v>
      </c>
      <c r="AP101" s="17">
        <f>IFERROR(VLOOKUP(Tableau5617192223242425262827293031333432353620383961719241822254140424344104746[[#This Row],[Num Projets]],#REF!,2,FALSE),0)</f>
        <v>0</v>
      </c>
      <c r="AQ101" s="20">
        <f>_xlfn.XLOOKUP(H101,[2]Synth!$N:$N,[2]Synth!$O:$O,0,FALSE)+_xlfn.XLOOKUP(Tableau5617192223242425262827293031333432353620383961719241822254140424344104746[[#This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1" s="110">
        <v>0</v>
      </c>
      <c r="AS101" s="111">
        <f>+IFERROR(VLOOKUP(H101,#REF!,36,FALSE),0)</f>
        <v>0</v>
      </c>
      <c r="AT101" s="111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1" s="69">
        <f>IF(AG101=0,0,1-((AI101+AM101+Tableau5617192223242425262827293031333432353620383961719241822254140424344104746[[#This Row],[Int Commandé OT
€]]+Tableau5617192223242425262827293031333432353620383961719241822254140424344104746[[#This Row],[RAF Int OT
€]])/AG101))</f>
        <v>0</v>
      </c>
      <c r="AV101" s="17">
        <f>IFERROR(VLOOKUP(H101,#REF!,4,FALSE),0)+IFERROR(VLOOKUP(H101,#REF!,4,FALSE),0)</f>
        <v>0</v>
      </c>
      <c r="AW101" s="107">
        <f>IFERROR(VLOOKUP(Tableau5617192223242425262827293031333432353620383961719241822254140424344104746[[#This Row],[Num Projets]],#REF!,3,FALSE),0)</f>
        <v>0</v>
      </c>
      <c r="AX101" s="112">
        <f>IFERROR(VLOOKUP(Tableau5617192223242425262827293031333432353620383961719241822254140424344104746[[#This Row],[Num Projets]],#REF!,10,FALSE),0)</f>
        <v>0</v>
      </c>
      <c r="AY101" s="23">
        <v>0</v>
      </c>
      <c r="AZ101" s="107">
        <f>IFERROR(VLOOKUP(H101,#REF!,43,FALSE),0)</f>
        <v>0</v>
      </c>
      <c r="BA101" s="107">
        <f>AX101-IFERROR(VLOOKUP(H101,#REF!,42,FALSE),0)</f>
        <v>0</v>
      </c>
      <c r="BB101" s="87">
        <f t="shared" si="33"/>
        <v>0</v>
      </c>
      <c r="BC101" s="71">
        <f>IFERROR(VLOOKUP(H101,#REF!,47,FALSE),IFERROR(VLOOKUP(H101,#REF!,5,FALSE),0)+IFERROR(VLOOKUP(H101,#REF!,5,FALSE),0))</f>
        <v>0</v>
      </c>
      <c r="BD101" s="114">
        <f>IFERROR(VLOOKUP(H101,#REF!,2,FALSE),0)</f>
        <v>0</v>
      </c>
      <c r="BE101" s="114">
        <f>IFERROR(VLOOKUP(H101,#REF!,49,FALSE),0)</f>
        <v>0</v>
      </c>
      <c r="BF101" s="72" t="e">
        <f t="shared" si="25"/>
        <v>#REF!</v>
      </c>
      <c r="BG101" s="72">
        <f t="shared" si="26"/>
        <v>0</v>
      </c>
      <c r="BH101" s="115">
        <f>AE101+ (AI101-AJ101+AM101+Tableau5617192223242425262827293031333432353620383961719241822254140424344104746[[#This Row],[Int Commandé OT
€]]-Tableau5617192223242425262827293031333432353620383961719241822254140424344104746[[#This Row],[Int Réalisé OT
€]]+AR101) +AY101+BC101</f>
        <v>13384</v>
      </c>
      <c r="BI101" s="87">
        <f t="shared" ref="BI101:BI151" si="37">IF(BG101+BH101=0,100%,BG101/(BG101+BH101))</f>
        <v>0</v>
      </c>
      <c r="BJ101" s="87" t="e">
        <f t="shared" si="27"/>
        <v>#REF!</v>
      </c>
      <c r="BK101" s="115" t="e">
        <f t="shared" si="28"/>
        <v>#REF!</v>
      </c>
      <c r="BL101" s="72" t="e">
        <f t="shared" si="29"/>
        <v>#REF!</v>
      </c>
      <c r="BM101" s="117">
        <f>IFERROR(VLOOKUP(H101,'[1]2023sep'!H:CA,54,FALSE),105)</f>
        <v>105</v>
      </c>
      <c r="BN101" s="75">
        <v>1</v>
      </c>
      <c r="BO101" s="118" t="e">
        <f>P101-AC101-AG101-AV101-Tableau5617192223242425262827293031333432353620383961719241822254140424344104746[[#This Row],[Provisions pour risques]]</f>
        <v>#REF!</v>
      </c>
      <c r="BP101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13384</v>
      </c>
      <c r="BQ101" s="143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1" s="120" t="e">
        <f t="shared" si="34"/>
        <v>#REF!</v>
      </c>
      <c r="BS101" s="79">
        <f>Tableau5617192223242425262827293031333432353620383961719241822254140424344104746[[#This Row],[Consommé global Enregistré à date (€ HT)]]-IFERROR(VLOOKUP(H101,#REF!,50,FALSE),0)</f>
        <v>0</v>
      </c>
      <c r="BT101" s="80" t="e">
        <f t="shared" si="35"/>
        <v>#REF!</v>
      </c>
      <c r="BU101" s="121">
        <f>BD101-IFERROR(VLOOKUP(H101,#REF!,47,FALSE),0)</f>
        <v>0</v>
      </c>
      <c r="BV101" s="122" t="e">
        <f>+BF101+Tableau5617192223242425262827293031333432353620383961719241822254140424344104746[[#This Row],[CA fin N-1]]-IFERROR(VLOOKUP(H101,#REF!,49,FALSE),0)-IFERROR(VLOOKUP(H101,#REF!,50,FALSE),0)</f>
        <v>#REF!</v>
      </c>
      <c r="BW101" s="123">
        <f>BG101-IFERROR(VLOOKUP(H101,#REF!,51,FALSE),0)</f>
        <v>0</v>
      </c>
      <c r="BX101" s="80" t="e">
        <f t="shared" si="36"/>
        <v>#REF!</v>
      </c>
      <c r="BY101" s="121">
        <f>BD101-IFERROR(VLOOKUP(H101,#REF!,48,FALSE),0)</f>
        <v>0</v>
      </c>
      <c r="BZ101" s="8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1" s="39" t="e">
        <f>VLOOKUP(Tableau5617192223242425262827293031333432353620383961719241822254140424344104746[[#This Row],[Num Projets]],#REF!,1,FALSE)</f>
        <v>#REF!</v>
      </c>
      <c r="CB101" s="40">
        <v>280</v>
      </c>
      <c r="CC101" s="40">
        <v>0</v>
      </c>
      <c r="CD10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-280</v>
      </c>
    </row>
    <row r="102" spans="1:82" s="258" customFormat="1" ht="13.5" customHeight="1" x14ac:dyDescent="0.25">
      <c r="A102" s="313" t="s">
        <v>213</v>
      </c>
      <c r="B102" s="1"/>
      <c r="C102" s="2" t="e">
        <f>_xlfn.XLOOKUP(Tableau5617192223242425262827293031333432353620383961719241822254140424344104746[[#This Row],[Num Projets]],#REF!,#REF!,FALSE)</f>
        <v>#REF!</v>
      </c>
      <c r="D102" s="3" t="s">
        <v>6</v>
      </c>
      <c r="E102" s="3" t="e">
        <f>_xlfn.XLOOKUP(Tableau5617192223242425262827293031333432353620383961719241822254140424344104746[[#This Row],[Num Projets]],#REF!,#REF!,FALSE)</f>
        <v>#REF!</v>
      </c>
      <c r="F102" s="3" t="s">
        <v>214</v>
      </c>
      <c r="G102" s="3" t="s">
        <v>2</v>
      </c>
      <c r="H102" s="3" t="s">
        <v>215</v>
      </c>
      <c r="I10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2" s="4" t="e">
        <f>VLOOKUP(Tableau5617192223242425262827293031333432353620383961719241822254140424344104746[[#This Row],[Num Projets]],#REF!,36,FALSE)</f>
        <v>#REF!</v>
      </c>
      <c r="K102" s="5" t="s">
        <v>21</v>
      </c>
      <c r="L10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2" s="3" t="e">
        <f>SUBSTITUTE(_xlfn.XLOOKUP(Tableau5617192223242425262827293031333432353620383961719241822254140424344104746[[#This Row],[Num Projets]],#REF!,#REF!,FALSE)," ","")</f>
        <v>#REF!</v>
      </c>
      <c r="N102" s="7" t="e">
        <f>VLOOKUP(H102,#REF!,7,FALSE)</f>
        <v>#REF!</v>
      </c>
      <c r="O102" s="7">
        <v>45808</v>
      </c>
      <c r="P102" s="8" t="e">
        <f>VLOOKUP(H102,#REF!,2,FALSE)</f>
        <v>#REF!</v>
      </c>
      <c r="Q102" s="9" t="e">
        <f>Tableau5617192223242425262827293031333432353620383961719241822254140424344104746[[#This Row],[Total Budget
€]]-IFERROR(VLOOKUP(H102,#REF!,8,FALSE),0)</f>
        <v>#REF!</v>
      </c>
      <c r="R102" s="15">
        <f>AD102+AI102+Tableau5617192223242425262827293031333432353620383961719241822254140424344104746[[#This Row],[Int Commandé OT
€]]+AX102</f>
        <v>0</v>
      </c>
      <c r="S102" s="15">
        <f>AD102+AJ102+Tableau5617192223242425262827293031333432353620383961719241822254140424344104746[[#This Row],[Int Réalisé OT
€]]+AX102</f>
        <v>7604.6303238445589</v>
      </c>
      <c r="T102" s="94" t="e">
        <f t="shared" si="22"/>
        <v>#REF!</v>
      </c>
      <c r="U10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2" s="12">
        <f>IFERROR(VLOOKUP(H102,#REF!,2,FALSE),0)</f>
        <v>0</v>
      </c>
      <c r="X102" s="13">
        <f>IFERROR(VLOOKUP(H102,#REF!,2,FALSE),0)</f>
        <v>0</v>
      </c>
      <c r="Y102" s="13">
        <f>IFERROR(VLOOKUP(H102,#REF!,3,FALSE),0)</f>
        <v>0</v>
      </c>
      <c r="Z102" s="14">
        <v>0</v>
      </c>
      <c r="AA102" s="13">
        <f>IFERROR(VLOOKUP(H102,#REF!,18,FALSE),0)</f>
        <v>0</v>
      </c>
      <c r="AB102" s="13">
        <f>SUM(X102:Y102)-IFERROR(VLOOKUP(H102,#REF!,16,FALSE),0)-IFERROR(VLOOKUP(H102,#REF!,17,FALSE),0)</f>
        <v>0</v>
      </c>
      <c r="AC102" s="101" t="e">
        <f>VLOOKUP(Tableau5617192223242425262827293031333432353620383961719241822254140424344104746[[#This Row],[Num Projets]],#REF!,2,FALSE)-3900-3000*1.2</f>
        <v>#REF!</v>
      </c>
      <c r="AD102" s="15">
        <f>IFERROR(VLOOKUP(Tableau5617192223242425262827293031333432353620383961719241822254140424344104746[[#This Row],[Num Projets]],#REF!,2,FALSE),0)</f>
        <v>0</v>
      </c>
      <c r="AE102" s="8">
        <f t="shared" si="23"/>
        <v>0</v>
      </c>
      <c r="AF102" s="22" t="e">
        <f t="shared" si="24"/>
        <v>#REF!</v>
      </c>
      <c r="AG102" s="41">
        <f>IFERROR(VLOOKUP(H102,#REF!,3,FALSE),0)+IFERROR(VLOOKUP(H102,#REF!,3,FALSE),0)+3900+3000*1.2</f>
        <v>7500</v>
      </c>
      <c r="AH102" s="8">
        <f>IFERROR(VLOOKUP(Tableau5617192223242425262827293031333432353620383961719241822254140424344104746[[#This Row],[Num Projets]],#REF!,2,FALSE),0)</f>
        <v>0</v>
      </c>
      <c r="AI102" s="17">
        <f>+IFERROR(VLOOKUP(H102,#REF!,2,FALSE),0)-Tableau5617192223242425262827293031333432353620383961719241822254140424344104746[[#This Row],[Int Commandé OT
€]]</f>
        <v>0</v>
      </c>
      <c r="AJ102" s="8">
        <f>IFERROR(VLOOKUP(H102,#REF!,11,FALSE),0)-IFERROR(VLOOKUP(H102,#REF!,10,FALSE),0)+Tableau5617192223242425262827293031333432353620383961719241822254140424344104746[[#This Row],[dont FNP à date (€ HT)]]</f>
        <v>0</v>
      </c>
      <c r="AK102" s="15">
        <f t="shared" si="30"/>
        <v>0</v>
      </c>
      <c r="AL10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2" s="19">
        <f>IF(Tableau5617192223242425262827293031333432353620383961719241822254140424344104746[[#This Row],[RAF Achats M-1
€]]=0,0,AN102-AO102)</f>
        <v>0</v>
      </c>
      <c r="AN102" s="8">
        <f>IFERROR(VLOOKUP(H102,#REF!,31,FALSE),0)</f>
        <v>0</v>
      </c>
      <c r="AO102" s="8">
        <f>AI102+-IFERROR(VLOOKUP(H102,#REF!,27,FALSE),0)</f>
        <v>0</v>
      </c>
      <c r="AP102" s="20">
        <f>IFERROR(VLOOKUP(Tableau5617192223242425262827293031333432353620383961719241822254140424344104746[[#This Row],[Num Projets]],#REF!,2,FALSE),0)</f>
        <v>0</v>
      </c>
      <c r="AQ102" s="20">
        <f>_xlfn.XLOOKUP(H102,[2]Synth!$N:$N,[2]Synth!$O:$O,0,FALSE)+_xlfn.XLOOKUP(Tableau5617192223242425262827293031333432353620383961719241822254140424344104746[[#This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7604.6303238445589</v>
      </c>
      <c r="AR102" s="21">
        <v>0</v>
      </c>
      <c r="AS102" s="20">
        <f>+IFERROR(VLOOKUP(H102,#REF!,36,FALSE),0)</f>
        <v>0</v>
      </c>
      <c r="AT10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2" s="22">
        <f>IF(AG102=0,0,1-((AI102+AM102+Tableau5617192223242425262827293031333432353620383961719241822254140424344104746[[#This Row],[Int Commandé OT
€]]+Tableau5617192223242425262827293031333432353620383961719241822254140424344104746[[#This Row],[RAF Int OT
€]])/AG102))</f>
        <v>1</v>
      </c>
      <c r="AV102" s="8">
        <f>IFERROR(VLOOKUP(H102,#REF!,4,FALSE),0)+IFERROR(VLOOKUP(H102,#REF!,4,FALSE),0)</f>
        <v>0</v>
      </c>
      <c r="AW102" s="8">
        <f>IFERROR(VLOOKUP(Tableau5617192223242425262827293031333432353620383961719241822254140424344104746[[#This Row],[Num Projets]],#REF!,3,FALSE),0)</f>
        <v>0</v>
      </c>
      <c r="AX102" s="95">
        <f>IFERROR(VLOOKUP(Tableau5617192223242425262827293031333432353620383961719241822254140424344104746[[#This Row],[Num Projets]],#REF!,10,FALSE),0)</f>
        <v>0</v>
      </c>
      <c r="AY102" s="23">
        <f>Tableau5617192223242425262827293031333432353620383961719241822254140424344104746[[#This Row],[Budget Mission
 €]]/1.2-AX102</f>
        <v>0</v>
      </c>
      <c r="AZ102" s="8">
        <f>IFERROR(VLOOKUP(H102,#REF!,43,FALSE),0)</f>
        <v>0</v>
      </c>
      <c r="BA102" s="8">
        <f>AX102-IFERROR(VLOOKUP(H102,#REF!,42,FALSE),0)</f>
        <v>0</v>
      </c>
      <c r="BB102" s="47">
        <f t="shared" si="33"/>
        <v>0</v>
      </c>
      <c r="BC102" s="24">
        <f>IFERROR(VLOOKUP(H102,#REF!,47,FALSE),IFERROR(VLOOKUP(H102,#REF!,5,FALSE),0)+IFERROR(VLOOKUP(H102,#REF!,5,FALSE),0))</f>
        <v>0</v>
      </c>
      <c r="BD102" s="25">
        <f>IFERROR(VLOOKUP(H102,#REF!,2,FALSE),0)</f>
        <v>0</v>
      </c>
      <c r="BE102" s="25">
        <f>IFERROR(VLOOKUP(H102,#REF!,49,FALSE),0)</f>
        <v>0</v>
      </c>
      <c r="BF102" s="50" t="e">
        <f t="shared" si="25"/>
        <v>#REF!</v>
      </c>
      <c r="BG102" s="50">
        <f t="shared" si="26"/>
        <v>7604.6303238445589</v>
      </c>
      <c r="BH102" s="27">
        <f>AE102+ (AI102-AJ102+AM102+Tableau5617192223242425262827293031333432353620383961719241822254140424344104746[[#This Row],[Int Commandé OT
€]]-Tableau5617192223242425262827293031333432353620383961719241822254140424344104746[[#This Row],[Int Réalisé OT
€]]+AR102) +AY102+BC102</f>
        <v>-7604.6303238445589</v>
      </c>
      <c r="BI102" s="47">
        <f t="shared" si="37"/>
        <v>1</v>
      </c>
      <c r="BJ102" s="47" t="e">
        <f t="shared" si="27"/>
        <v>#REF!</v>
      </c>
      <c r="BK102" s="27" t="e">
        <f t="shared" si="28"/>
        <v>#REF!</v>
      </c>
      <c r="BL102" s="26" t="e">
        <f t="shared" si="29"/>
        <v>#REF!</v>
      </c>
      <c r="BM102" s="96">
        <f>IFERROR(VLOOKUP(H102,'[1]2023sep'!H:CA,54,FALSE),105)</f>
        <v>105</v>
      </c>
      <c r="BN102" s="29">
        <v>1</v>
      </c>
      <c r="BO102" s="30" t="e">
        <f>P102-AC102-AG102-AV102-Tableau5617192223242425262827293031333432353620383961719241822254140424344104746[[#This Row],[Provisions pour risques]]</f>
        <v>#REF!</v>
      </c>
      <c r="BP10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0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02" s="97" t="e">
        <f t="shared" si="34"/>
        <v>#REF!</v>
      </c>
      <c r="BS102" s="34">
        <f>Tableau5617192223242425262827293031333432353620383961719241822254140424344104746[[#This Row],[Consommé global Enregistré à date (€ HT)]]-IFERROR(VLOOKUP(H102,#REF!,50,FALSE),0)</f>
        <v>7604.6303238445589</v>
      </c>
      <c r="BT102" s="35" t="e">
        <f t="shared" si="35"/>
        <v>#REF!</v>
      </c>
      <c r="BU102" s="36">
        <f>BD102-IFERROR(VLOOKUP(H102,#REF!,47,FALSE),0)</f>
        <v>0</v>
      </c>
      <c r="BV102" s="37" t="e">
        <f>+BF102+Tableau5617192223242425262827293031333432353620383961719241822254140424344104746[[#This Row],[CA fin N-1]]-IFERROR(VLOOKUP(H102,#REF!,49,FALSE),0)-IFERROR(VLOOKUP(H102,#REF!,50,FALSE),0)</f>
        <v>#REF!</v>
      </c>
      <c r="BW102" s="33">
        <f>BG102-IFERROR(VLOOKUP(H102,#REF!,51,FALSE),0)</f>
        <v>7604.6303238445589</v>
      </c>
      <c r="BX102" s="35" t="e">
        <f t="shared" si="36"/>
        <v>#REF!</v>
      </c>
      <c r="BY102" s="36">
        <f>BD102-IFERROR(VLOOKUP(H102,#REF!,48,FALSE),0)</f>
        <v>0</v>
      </c>
      <c r="BZ10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2" s="39" t="e">
        <f>VLOOKUP(Tableau5617192223242425262827293031333432353620383961719241822254140424344104746[[#This Row],[Num Projets]],#REF!,1,FALSE)</f>
        <v>#REF!</v>
      </c>
      <c r="CB102" s="40">
        <v>105</v>
      </c>
      <c r="CC102" s="40">
        <v>2</v>
      </c>
      <c r="CD10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-105</v>
      </c>
    </row>
    <row r="103" spans="1:82" s="258" customFormat="1" ht="13.5" customHeight="1" x14ac:dyDescent="0.25">
      <c r="A103" s="313" t="s">
        <v>216</v>
      </c>
      <c r="B103" s="1"/>
      <c r="C103" s="2" t="e">
        <f>_xlfn.XLOOKUP(Tableau5617192223242425262827293031333432353620383961719241822254140424344104746[[#This Row],[Num Projets]],#REF!,#REF!,FALSE)</f>
        <v>#REF!</v>
      </c>
      <c r="D103" s="3" t="s">
        <v>1</v>
      </c>
      <c r="E103" s="3" t="e">
        <f>_xlfn.XLOOKUP(Tableau5617192223242425262827293031333432353620383961719241822254140424344104746[[#This Row],[Num Projets]],#REF!,#REF!,FALSE)</f>
        <v>#REF!</v>
      </c>
      <c r="F103" s="3" t="e">
        <f>_xlfn.XLOOKUP(Tableau5617192223242425262827293031333432353620383961719241822254140424344104746[[#This Row],[Num Projets]],#REF!,#REF!,"newavr",0)</f>
        <v>#REF!</v>
      </c>
      <c r="G103" s="3" t="s">
        <v>2</v>
      </c>
      <c r="H103" s="3" t="s">
        <v>217</v>
      </c>
      <c r="I10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3" s="4" t="e">
        <f>VLOOKUP(Tableau5617192223242425262827293031333432353620383961719241822254140424344104746[[#This Row],[Num Projets]],#REF!,36,FALSE)</f>
        <v>#REF!</v>
      </c>
      <c r="K103" s="5" t="s">
        <v>4</v>
      </c>
      <c r="L10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3" s="3" t="e">
        <f>SUBSTITUTE(_xlfn.XLOOKUP(Tableau5617192223242425262827293031333432353620383961719241822254140424344104746[[#This Row],[Num Projets]],#REF!,#REF!,FALSE)," ","")</f>
        <v>#REF!</v>
      </c>
      <c r="N103" s="7" t="e">
        <f>VLOOKUP(H103,#REF!,7,FALSE)</f>
        <v>#REF!</v>
      </c>
      <c r="O103" s="7" t="e">
        <f>IF(VLOOKUP(H103,#REF!,27,FALSE)=0,"",VLOOKUP(H103,#REF!,27,FALSE))</f>
        <v>#REF!</v>
      </c>
      <c r="P103" s="8" t="e">
        <f>VLOOKUP(H103,#REF!,2,FALSE)</f>
        <v>#REF!</v>
      </c>
      <c r="Q103" s="9" t="e">
        <f>Tableau5617192223242425262827293031333432353620383961719241822254140424344104746[[#This Row],[Total Budget
€]]-IFERROR(VLOOKUP(H103,#REF!,8,FALSE),0)</f>
        <v>#REF!</v>
      </c>
      <c r="R103" s="15">
        <f>AD103+AI103+Tableau5617192223242425262827293031333432353620383961719241822254140424344104746[[#This Row],[Int Commandé OT
€]]+AX103</f>
        <v>0</v>
      </c>
      <c r="S103" s="15">
        <f>AD103+AJ103+Tableau5617192223242425262827293031333432353620383961719241822254140424344104746[[#This Row],[Int Réalisé OT
€]]+AX103</f>
        <v>0</v>
      </c>
      <c r="T103" s="94" t="e">
        <f t="shared" si="22"/>
        <v>#REF!</v>
      </c>
      <c r="U10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3" s="12">
        <f>IFERROR(VLOOKUP(H103,#REF!,2,FALSE),0)</f>
        <v>0</v>
      </c>
      <c r="X103" s="13">
        <f>IFERROR(VLOOKUP(H103,#REF!,2,FALSE),0)</f>
        <v>0</v>
      </c>
      <c r="Y103" s="13">
        <f>IFERROR(VLOOKUP(H103,#REF!,3,FALSE),0)</f>
        <v>0</v>
      </c>
      <c r="Z10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78.5</v>
      </c>
      <c r="AA103" s="13">
        <f>IFERROR(VLOOKUP(H103,#REF!,18,FALSE),0)</f>
        <v>0</v>
      </c>
      <c r="AB103" s="13">
        <f>SUM(X103:Y103)-IFERROR(VLOOKUP(H103,#REF!,16,FALSE),0)-IFERROR(VLOOKUP(H103,#REF!,17,FALSE),0)</f>
        <v>0</v>
      </c>
      <c r="AC103" s="15" t="e">
        <f>VLOOKUP(Tableau5617192223242425262827293031333432353620383961719241822254140424344104746[[#This Row],[Num Projets]],#REF!,2,FALSE)</f>
        <v>#REF!</v>
      </c>
      <c r="AD103" s="15">
        <f>IFERROR(VLOOKUP(Tableau5617192223242425262827293031333432353620383961719241822254140424344104746[[#This Row],[Num Projets]],#REF!,2,FALSE),0)</f>
        <v>0</v>
      </c>
      <c r="AE103" s="8">
        <f t="shared" si="23"/>
        <v>3752.2999999999997</v>
      </c>
      <c r="AF103" s="22" t="e">
        <f t="shared" si="24"/>
        <v>#REF!</v>
      </c>
      <c r="AG103" s="8">
        <f>IFERROR(VLOOKUP(H103,#REF!,3,FALSE),0)+IFERROR(VLOOKUP(H103,#REF!,3,FALSE),0)</f>
        <v>0</v>
      </c>
      <c r="AH103" s="8">
        <f>IFERROR(VLOOKUP(Tableau5617192223242425262827293031333432353620383961719241822254140424344104746[[#This Row],[Num Projets]],#REF!,2,FALSE),0)</f>
        <v>0</v>
      </c>
      <c r="AI103" s="17">
        <f>+IFERROR(VLOOKUP(H103,#REF!,2,FALSE),0)-Tableau5617192223242425262827293031333432353620383961719241822254140424344104746[[#This Row],[Int Commandé OT
€]]</f>
        <v>0</v>
      </c>
      <c r="AJ103" s="8">
        <f>IFERROR(VLOOKUP(H103,#REF!,11,FALSE),0)-IFERROR(VLOOKUP(H103,#REF!,10,FALSE),0)+Tableau5617192223242425262827293031333432353620383961719241822254140424344104746[[#This Row],[dont FNP à date (€ HT)]]</f>
        <v>0</v>
      </c>
      <c r="AK103" s="15">
        <f t="shared" si="30"/>
        <v>0</v>
      </c>
      <c r="AL10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3" s="19">
        <f>IF(Tableau5617192223242425262827293031333432353620383961719241822254140424344104746[[#This Row],[RAF Achats M-1
€]]=0,0,AN103-AO103)</f>
        <v>0</v>
      </c>
      <c r="AN103" s="8">
        <f>IFERROR(VLOOKUP(H103,#REF!,31,FALSE),0)</f>
        <v>0</v>
      </c>
      <c r="AO103" s="8">
        <f>AI103+-IFERROR(VLOOKUP(H103,#REF!,27,FALSE),0)</f>
        <v>0</v>
      </c>
      <c r="AP103" s="20">
        <f>IFERROR(VLOOKUP(Tableau5617192223242425262827293031333432353620383961719241822254140424344104746[[#This Row],[Num Projets]],#REF!,2,FALSE),0)</f>
        <v>0</v>
      </c>
      <c r="AQ103" s="20">
        <f>_xlfn.XLOOKUP(H103,[2]Synth!$N:$N,[2]Synth!$O:$O,0,FALSE)+_xlfn.XLOOKUP(Tableau5617192223242425262827293031333432353620383961719241822254140424344104746[[#This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3" s="21">
        <v>0</v>
      </c>
      <c r="AS103" s="20">
        <f>+IFERROR(VLOOKUP(H103,#REF!,36,FALSE),0)</f>
        <v>0</v>
      </c>
      <c r="AT10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3" s="22">
        <f>IF(AG103=0,0,1-((AI103+AM103+Tableau5617192223242425262827293031333432353620383961719241822254140424344104746[[#This Row],[Int Commandé OT
€]]+Tableau5617192223242425262827293031333432353620383961719241822254140424344104746[[#This Row],[RAF Int OT
€]])/AG103))</f>
        <v>0</v>
      </c>
      <c r="AV103" s="8">
        <f>IFERROR(VLOOKUP(H103,#REF!,4,FALSE),0)+IFERROR(VLOOKUP(H103,#REF!,4,FALSE),0)</f>
        <v>0</v>
      </c>
      <c r="AW103" s="8">
        <f>IFERROR(VLOOKUP(Tableau5617192223242425262827293031333432353620383961719241822254140424344104746[[#This Row],[Num Projets]],#REF!,3,FALSE),0)</f>
        <v>0</v>
      </c>
      <c r="AX103" s="95">
        <f>IFERROR(VLOOKUP(Tableau5617192223242425262827293031333432353620383961719241822254140424344104746[[#This Row],[Num Projets]],#REF!,10,FALSE),0)</f>
        <v>0</v>
      </c>
      <c r="AY103" s="23">
        <v>0</v>
      </c>
      <c r="AZ103" s="8">
        <f>IFERROR(VLOOKUP(H103,#REF!,43,FALSE),0)</f>
        <v>0</v>
      </c>
      <c r="BA103" s="8">
        <f>AX103-IFERROR(VLOOKUP(H103,#REF!,42,FALSE),0)</f>
        <v>0</v>
      </c>
      <c r="BB103" s="47">
        <f t="shared" si="33"/>
        <v>0</v>
      </c>
      <c r="BC103" s="24">
        <f>IFERROR(VLOOKUP(H103,#REF!,47,FALSE),IFERROR(VLOOKUP(H103,#REF!,5,FALSE),0)+IFERROR(VLOOKUP(H103,#REF!,5,FALSE),0))</f>
        <v>0</v>
      </c>
      <c r="BD103" s="25">
        <f>IFERROR(VLOOKUP(H103,#REF!,2,FALSE),0)</f>
        <v>0</v>
      </c>
      <c r="BE103" s="25">
        <f>IFERROR(VLOOKUP(H103,#REF!,49,FALSE),0)</f>
        <v>0</v>
      </c>
      <c r="BF103" s="50" t="e">
        <f t="shared" si="25"/>
        <v>#REF!</v>
      </c>
      <c r="BG103" s="50">
        <f t="shared" si="26"/>
        <v>0</v>
      </c>
      <c r="BH103" s="27">
        <f>AE103+ (AI103-AJ103+AM103+Tableau5617192223242425262827293031333432353620383961719241822254140424344104746[[#This Row],[Int Commandé OT
€]]-Tableau5617192223242425262827293031333432353620383961719241822254140424344104746[[#This Row],[Int Réalisé OT
€]]+AR103) +AY103+BC103</f>
        <v>3752.2999999999997</v>
      </c>
      <c r="BI103" s="47">
        <f t="shared" si="37"/>
        <v>0</v>
      </c>
      <c r="BJ103" s="47" t="e">
        <f t="shared" si="27"/>
        <v>#REF!</v>
      </c>
      <c r="BK103" s="27" t="e">
        <f t="shared" si="28"/>
        <v>#REF!</v>
      </c>
      <c r="BL103" s="26" t="e">
        <f t="shared" si="29"/>
        <v>#REF!</v>
      </c>
      <c r="BM103" s="96">
        <f>IFERROR(VLOOKUP(H103,'[1]2023sep'!H:CA,54,FALSE),105)</f>
        <v>105</v>
      </c>
      <c r="BN103" s="29">
        <v>1</v>
      </c>
      <c r="BO103" s="30" t="e">
        <f>P103-AC103-AG103-AV103-Tableau5617192223242425262827293031333432353620383961719241822254140424344104746[[#This Row],[Provisions pour risques]]</f>
        <v>#REF!</v>
      </c>
      <c r="BP10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3752.2999999999997</v>
      </c>
      <c r="BQ10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3" s="97" t="e">
        <f t="shared" si="34"/>
        <v>#REF!</v>
      </c>
      <c r="BS103" s="34">
        <f>Tableau5617192223242425262827293031333432353620383961719241822254140424344104746[[#This Row],[Consommé global Enregistré à date (€ HT)]]-IFERROR(VLOOKUP(H103,#REF!,50,FALSE),0)</f>
        <v>0</v>
      </c>
      <c r="BT103" s="35" t="e">
        <f t="shared" si="35"/>
        <v>#REF!</v>
      </c>
      <c r="BU103" s="36">
        <f>BD103-IFERROR(VLOOKUP(H103,#REF!,47,FALSE),0)</f>
        <v>0</v>
      </c>
      <c r="BV103" s="37" t="e">
        <f>+BF103+Tableau5617192223242425262827293031333432353620383961719241822254140424344104746[[#This Row],[CA fin N-1]]-IFERROR(VLOOKUP(H103,#REF!,49,FALSE),0)-IFERROR(VLOOKUP(H103,#REF!,50,FALSE),0)</f>
        <v>#REF!</v>
      </c>
      <c r="BW103" s="33">
        <f>BG103-IFERROR(VLOOKUP(H103,#REF!,51,FALSE),0)</f>
        <v>0</v>
      </c>
      <c r="BX103" s="35" t="e">
        <f t="shared" si="36"/>
        <v>#REF!</v>
      </c>
      <c r="BY103" s="36">
        <f>BD103-IFERROR(VLOOKUP(H103,#REF!,48,FALSE),0)</f>
        <v>0</v>
      </c>
      <c r="BZ10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3" s="39" t="e">
        <f>VLOOKUP(Tableau5617192223242425262827293031333432353620383961719241822254140424344104746[[#This Row],[Num Projets]],#REF!,1,FALSE)</f>
        <v>#REF!</v>
      </c>
      <c r="CB103" s="40">
        <v>78.5</v>
      </c>
      <c r="CC103" s="40">
        <v>0</v>
      </c>
      <c r="CD10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-78.5</v>
      </c>
    </row>
    <row r="104" spans="1:82" s="258" customFormat="1" ht="13.5" customHeight="1" x14ac:dyDescent="0.25">
      <c r="A104" s="311"/>
      <c r="B104" s="1"/>
      <c r="C104" s="2" t="e">
        <f>_xlfn.XLOOKUP(Tableau5617192223242425262827293031333432353620383961719241822254140424344104746[[#This Row],[Num Projets]],#REF!,#REF!,FALSE)</f>
        <v>#REF!</v>
      </c>
      <c r="D104" s="3" t="s">
        <v>11</v>
      </c>
      <c r="E104" s="3" t="e">
        <f>_xlfn.XLOOKUP(Tableau5617192223242425262827293031333432353620383961719241822254140424344104746[[#This Row],[Num Projets]],#REF!,#REF!,FALSE)</f>
        <v>#REF!</v>
      </c>
      <c r="F104" s="144" t="s">
        <v>52</v>
      </c>
      <c r="G104" s="144" t="s">
        <v>2</v>
      </c>
      <c r="H104" s="3" t="s">
        <v>218</v>
      </c>
      <c r="I10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4" s="4" t="e">
        <f>VLOOKUP(Tableau5617192223242425262827293031333432353620383961719241822254140424344104746[[#This Row],[Num Projets]],#REF!,36,FALSE)</f>
        <v>#REF!</v>
      </c>
      <c r="K104" s="5" t="s">
        <v>14</v>
      </c>
      <c r="L10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4" s="3" t="e">
        <f>SUBSTITUTE(_xlfn.XLOOKUP(Tableau5617192223242425262827293031333432353620383961719241822254140424344104746[[#This Row],[Num Projets]],#REF!,#REF!,FALSE)," ","")</f>
        <v>#REF!</v>
      </c>
      <c r="N104" s="7" t="e">
        <f>VLOOKUP(H104,#REF!,7,FALSE)</f>
        <v>#REF!</v>
      </c>
      <c r="O104" s="93">
        <v>45657</v>
      </c>
      <c r="P104" s="8" t="e">
        <f>VLOOKUP(H104,#REF!,2,FALSE)</f>
        <v>#REF!</v>
      </c>
      <c r="Q104" s="9" t="e">
        <f>Tableau5617192223242425262827293031333432353620383961719241822254140424344104746[[#This Row],[Total Budget
€]]-IFERROR(VLOOKUP(H104,#REF!,8,FALSE),0)</f>
        <v>#REF!</v>
      </c>
      <c r="R104" s="15">
        <f>AD104+AI104+Tableau5617192223242425262827293031333432353620383961719241822254140424344104746[[#This Row],[Int Commandé OT
€]]+AX104</f>
        <v>0</v>
      </c>
      <c r="S104" s="15">
        <f>AD104+AJ104+Tableau5617192223242425262827293031333432353620383961719241822254140424344104746[[#This Row],[Int Réalisé OT
€]]+AX104</f>
        <v>0</v>
      </c>
      <c r="T104" s="94" t="e">
        <f t="shared" si="22"/>
        <v>#REF!</v>
      </c>
      <c r="U10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4" s="128">
        <f>IFERROR(VLOOKUP(H104,#REF!,2,FALSE),0)</f>
        <v>0</v>
      </c>
      <c r="X104" s="13">
        <f>IFERROR(VLOOKUP(H104,#REF!,2,FALSE),0)</f>
        <v>0</v>
      </c>
      <c r="Y104" s="13">
        <f>IFERROR(VLOOKUP(H104,#REF!,3,FALSE),0)</f>
        <v>0</v>
      </c>
      <c r="Z10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104" s="13">
        <f>IFERROR(VLOOKUP(H104,#REF!,18,FALSE),0)</f>
        <v>0</v>
      </c>
      <c r="AB104" s="13">
        <f>SUM(X104:Y104)-IFERROR(VLOOKUP(H104,#REF!,16,FALSE),0)-IFERROR(VLOOKUP(H104,#REF!,17,FALSE),0)</f>
        <v>0</v>
      </c>
      <c r="AC104" s="14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04" s="15">
        <f>IFERROR(VLOOKUP(Tableau5617192223242425262827293031333432353620383961719241822254140424344104746[[#This Row],[Num Projets]],#REF!,2,FALSE),0)</f>
        <v>0</v>
      </c>
      <c r="AE104" s="8">
        <f t="shared" si="23"/>
        <v>0</v>
      </c>
      <c r="AF104" s="146" t="e">
        <f t="shared" si="24"/>
        <v>#REF!</v>
      </c>
      <c r="AG104" s="8">
        <f>IFERROR(VLOOKUP(H104,#REF!,3,FALSE),0)+IFERROR(VLOOKUP(H104,#REF!,3,FALSE),0)</f>
        <v>0</v>
      </c>
      <c r="AH104" s="8">
        <f>IFERROR(VLOOKUP(Tableau5617192223242425262827293031333432353620383961719241822254140424344104746[[#This Row],[Num Projets]],#REF!,2,FALSE),0)</f>
        <v>0</v>
      </c>
      <c r="AI104" s="17">
        <f>+IFERROR(VLOOKUP(H104,#REF!,2,FALSE),0)-Tableau5617192223242425262827293031333432353620383961719241822254140424344104746[[#This Row],[Int Commandé OT
€]]</f>
        <v>0</v>
      </c>
      <c r="AJ104" s="8">
        <f>IFERROR(VLOOKUP(H104,#REF!,11,FALSE),0)-IFERROR(VLOOKUP(H104,#REF!,10,FALSE),0)+Tableau5617192223242425262827293031333432353620383961719241822254140424344104746[[#This Row],[dont FNP à date (€ HT)]]</f>
        <v>0</v>
      </c>
      <c r="AK104" s="15">
        <f t="shared" si="30"/>
        <v>0</v>
      </c>
      <c r="AL10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4" s="19">
        <f>IF(Tableau5617192223242425262827293031333432353620383961719241822254140424344104746[[#This Row],[RAF Achats M-1
€]]=0,0,AN104-AO104)</f>
        <v>0</v>
      </c>
      <c r="AN104" s="8">
        <f>IFERROR(VLOOKUP(H104,#REF!,31,FALSE),0)</f>
        <v>0</v>
      </c>
      <c r="AO104" s="8">
        <f>AI104+-IFERROR(VLOOKUP(H104,#REF!,27,FALSE),0)</f>
        <v>0</v>
      </c>
      <c r="AP104" s="20">
        <f>IFERROR(VLOOKUP(Tableau5617192223242425262827293031333432353620383961719241822254140424344104746[[#This Row],[Num Projets]],#REF!,2,FALSE),0)</f>
        <v>0</v>
      </c>
      <c r="AQ104" s="20">
        <f>_xlfn.XLOOKUP(H104,[2]Synth!$N:$N,[2]Synth!$O:$O,0,FALSE)+_xlfn.XLOOKUP(Tableau5617192223242425262827293031333432353620383961719241822254140424344104746[[#This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4" s="21">
        <v>0</v>
      </c>
      <c r="AS104" s="20">
        <f>+IFERROR(VLOOKUP(H104,#REF!,36,FALSE),0)</f>
        <v>0</v>
      </c>
      <c r="AT10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4" s="22">
        <f>IF(AG104=0,0,1-((AI104+AM104+Tableau5617192223242425262827293031333432353620383961719241822254140424344104746[[#This Row],[Int Commandé OT
€]]+Tableau5617192223242425262827293031333432353620383961719241822254140424344104746[[#This Row],[RAF Int OT
€]])/AG104))</f>
        <v>0</v>
      </c>
      <c r="AV104" s="8">
        <f>IFERROR(VLOOKUP(H104,#REF!,4,FALSE),0)+IFERROR(VLOOKUP(H104,#REF!,4,FALSE),0)</f>
        <v>0</v>
      </c>
      <c r="AW104" s="8">
        <f>IFERROR(VLOOKUP(Tableau5617192223242425262827293031333432353620383961719241822254140424344104746[[#This Row],[Num Projets]],#REF!,3,FALSE),0)</f>
        <v>0</v>
      </c>
      <c r="AX104" s="95">
        <f>IFERROR(VLOOKUP(Tableau5617192223242425262827293031333432353620383961719241822254140424344104746[[#This Row],[Num Projets]],#REF!,10,FALSE),0)</f>
        <v>0</v>
      </c>
      <c r="AY104" s="23">
        <f>Tableau5617192223242425262827293031333432353620383961719241822254140424344104746[[#This Row],[Budget Mission
 €]]/1.2-AX104</f>
        <v>0</v>
      </c>
      <c r="AZ104" s="8">
        <f>IFERROR(VLOOKUP(H104,#REF!,43,FALSE),0)</f>
        <v>0</v>
      </c>
      <c r="BA104" s="8">
        <f>AX104-IFERROR(VLOOKUP(H104,#REF!,42,FALSE),0)</f>
        <v>0</v>
      </c>
      <c r="BB104" s="146">
        <f t="shared" si="33"/>
        <v>0</v>
      </c>
      <c r="BC104" s="24">
        <f>IFERROR(VLOOKUP(H104,#REF!,47,FALSE),IFERROR(VLOOKUP(H104,#REF!,5,FALSE),0)+IFERROR(VLOOKUP(H104,#REF!,5,FALSE),0))</f>
        <v>0</v>
      </c>
      <c r="BD104" s="25">
        <f>IFERROR(VLOOKUP(H104,#REF!,2,FALSE),0)</f>
        <v>0</v>
      </c>
      <c r="BE104" s="25">
        <f>IFERROR(VLOOKUP(H104,#REF!,49,FALSE),0)</f>
        <v>0</v>
      </c>
      <c r="BF104" s="50" t="e">
        <f t="shared" si="25"/>
        <v>#REF!</v>
      </c>
      <c r="BG104" s="50">
        <f t="shared" si="26"/>
        <v>0</v>
      </c>
      <c r="BH104" s="51">
        <f>AE104+ (AI104-AJ104+AM104+Tableau5617192223242425262827293031333432353620383961719241822254140424344104746[[#This Row],[Int Commandé OT
€]]-Tableau5617192223242425262827293031333432353620383961719241822254140424344104746[[#This Row],[Int Réalisé OT
€]]+AR104) +AY104+BC104</f>
        <v>0</v>
      </c>
      <c r="BI104" s="47">
        <f t="shared" si="37"/>
        <v>1</v>
      </c>
      <c r="BJ104" s="47" t="e">
        <f t="shared" si="27"/>
        <v>#REF!</v>
      </c>
      <c r="BK104" s="27" t="e">
        <f t="shared" si="28"/>
        <v>#REF!</v>
      </c>
      <c r="BL104" s="26" t="e">
        <f t="shared" si="29"/>
        <v>#REF!</v>
      </c>
      <c r="BM104" s="96">
        <f>IFERROR(VLOOKUP(H104,'[1]2023sep'!H:CA,54,FALSE),105)</f>
        <v>105</v>
      </c>
      <c r="BN104" s="29">
        <v>1</v>
      </c>
      <c r="BO104" s="30" t="e">
        <f>P104-AC104-AG104-AV104-Tableau5617192223242425262827293031333432353620383961719241822254140424344104746[[#This Row],[Provisions pour risques]]</f>
        <v>#REF!</v>
      </c>
      <c r="BP10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0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04" s="97" t="e">
        <f t="shared" si="34"/>
        <v>#REF!</v>
      </c>
      <c r="BS104" s="34">
        <f>Tableau5617192223242425262827293031333432353620383961719241822254140424344104746[[#This Row],[Consommé global Enregistré à date (€ HT)]]-IFERROR(VLOOKUP(H104,#REF!,50,FALSE),0)</f>
        <v>0</v>
      </c>
      <c r="BT104" s="147" t="e">
        <f t="shared" si="35"/>
        <v>#REF!</v>
      </c>
      <c r="BU104" s="36">
        <f>BD104-IFERROR(VLOOKUP(H104,#REF!,47,FALSE),0)</f>
        <v>0</v>
      </c>
      <c r="BV104" s="37" t="e">
        <f>+BF104+Tableau5617192223242425262827293031333432353620383961719241822254140424344104746[[#This Row],[CA fin N-1]]-IFERROR(VLOOKUP(H104,#REF!,49,FALSE),0)-IFERROR(VLOOKUP(H104,#REF!,50,FALSE),0)</f>
        <v>#REF!</v>
      </c>
      <c r="BW104" s="33">
        <f>BG104-IFERROR(VLOOKUP(H104,#REF!,51,FALSE),0)</f>
        <v>0</v>
      </c>
      <c r="BX104" s="147" t="e">
        <f t="shared" si="36"/>
        <v>#REF!</v>
      </c>
      <c r="BY104" s="36">
        <f>BD104-IFERROR(VLOOKUP(H104,#REF!,48,FALSE),0)</f>
        <v>0</v>
      </c>
      <c r="BZ104" s="61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4" s="39" t="e">
        <f>VLOOKUP(Tableau5617192223242425262827293031333432353620383961719241822254140424344104746[[#This Row],[Num Projets]],#REF!,1,FALSE)</f>
        <v>#REF!</v>
      </c>
      <c r="CB104" s="40">
        <v>0</v>
      </c>
      <c r="CC104" s="40">
        <v>0</v>
      </c>
      <c r="CD10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05" spans="1:82" s="258" customFormat="1" ht="13.5" customHeight="1" x14ac:dyDescent="0.25">
      <c r="A105" s="313"/>
      <c r="B105" s="1"/>
      <c r="C105" s="2" t="e">
        <f>_xlfn.XLOOKUP(Tableau5617192223242425262827293031333432353620383961719241822254140424344104746[[#This Row],[Num Projets]],#REF!,#REF!,FALSE)</f>
        <v>#REF!</v>
      </c>
      <c r="D105" s="3" t="s">
        <v>6</v>
      </c>
      <c r="E105" s="3" t="e">
        <f>_xlfn.XLOOKUP(Tableau5617192223242425262827293031333432353620383961719241822254140424344104746[[#This Row],[Num Projets]],#REF!,#REF!,FALSE)</f>
        <v>#REF!</v>
      </c>
      <c r="F105" s="65" t="s">
        <v>41</v>
      </c>
      <c r="G105" s="3" t="s">
        <v>219</v>
      </c>
      <c r="H105" s="3" t="s">
        <v>220</v>
      </c>
      <c r="I10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5" s="4" t="e">
        <f>VLOOKUP(Tableau5617192223242425262827293031333432353620383961719241822254140424344104746[[#This Row],[Num Projets]],#REF!,36,FALSE)</f>
        <v>#REF!</v>
      </c>
      <c r="K105" s="5" t="s">
        <v>9</v>
      </c>
      <c r="L10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5" s="3" t="e">
        <f>SUBSTITUTE(_xlfn.XLOOKUP(Tableau5617192223242425262827293031333432353620383961719241822254140424344104746[[#This Row],[Num Projets]],#REF!,#REF!,FALSE)," ","")</f>
        <v>#REF!</v>
      </c>
      <c r="N105" s="7" t="e">
        <f>VLOOKUP(H105,#REF!,7,FALSE)</f>
        <v>#REF!</v>
      </c>
      <c r="O105" s="7">
        <v>45808</v>
      </c>
      <c r="P105" s="8" t="e">
        <f>VLOOKUP(H105,#REF!,2,FALSE)</f>
        <v>#REF!</v>
      </c>
      <c r="Q105" s="9" t="e">
        <f>Tableau5617192223242425262827293031333432353620383961719241822254140424344104746[[#This Row],[Total Budget
€]]-IFERROR(VLOOKUP(H105,#REF!,8,FALSE),0)</f>
        <v>#REF!</v>
      </c>
      <c r="R105" s="15">
        <f>AD105+AI105+Tableau5617192223242425262827293031333432353620383961719241822254140424344104746[[#This Row],[Int Commandé OT
€]]+AX105</f>
        <v>0</v>
      </c>
      <c r="S105" s="15">
        <f>AD105+AJ105+Tableau5617192223242425262827293031333432353620383961719241822254140424344104746[[#This Row],[Int Réalisé OT
€]]+AX105</f>
        <v>290</v>
      </c>
      <c r="T105" s="94" t="e">
        <f t="shared" si="22"/>
        <v>#REF!</v>
      </c>
      <c r="U10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5" s="12">
        <f>IFERROR(VLOOKUP(H105,#REF!,2,FALSE),0)</f>
        <v>0</v>
      </c>
      <c r="X105" s="13">
        <f>IFERROR(VLOOKUP(H105,#REF!,2,FALSE),0)</f>
        <v>0</v>
      </c>
      <c r="Y105" s="13">
        <f>IFERROR(VLOOKUP(H105,#REF!,3,FALSE),0)</f>
        <v>0</v>
      </c>
      <c r="Z10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52.5</v>
      </c>
      <c r="AA105" s="13">
        <f>IFERROR(VLOOKUP(H105,#REF!,18,FALSE),0)</f>
        <v>0</v>
      </c>
      <c r="AB105" s="13">
        <f>SUM(X105:Y105)-IFERROR(VLOOKUP(H105,#REF!,16,FALSE),0)-IFERROR(VLOOKUP(H105,#REF!,17,FALSE),0)</f>
        <v>0</v>
      </c>
      <c r="AC105" s="15" t="e">
        <f>VLOOKUP(Tableau5617192223242425262827293031333432353620383961719241822254140424344104746[[#This Row],[Num Projets]],#REF!,2,FALSE)</f>
        <v>#REF!</v>
      </c>
      <c r="AD105" s="15">
        <f>IFERROR(VLOOKUP(Tableau5617192223242425262827293031333432353620383961719241822254140424344104746[[#This Row],[Num Projets]],#REF!,2,FALSE),0)</f>
        <v>0</v>
      </c>
      <c r="AE105" s="8">
        <f t="shared" si="23"/>
        <v>2509.5</v>
      </c>
      <c r="AF105" s="22" t="e">
        <f t="shared" si="24"/>
        <v>#REF!</v>
      </c>
      <c r="AG105" s="8">
        <f>IFERROR(VLOOKUP(H105,#REF!,3,FALSE),0)+IFERROR(VLOOKUP(H105,#REF!,3,FALSE),0)</f>
        <v>0</v>
      </c>
      <c r="AH105" s="8">
        <f>IFERROR(VLOOKUP(Tableau5617192223242425262827293031333432353620383961719241822254140424344104746[[#This Row],[Num Projets]],#REF!,2,FALSE),0)</f>
        <v>0</v>
      </c>
      <c r="AI105" s="17">
        <f>+IFERROR(VLOOKUP(H105,#REF!,2,FALSE),0)-Tableau5617192223242425262827293031333432353620383961719241822254140424344104746[[#This Row],[Int Commandé OT
€]]</f>
        <v>0</v>
      </c>
      <c r="AJ105" s="8">
        <f>IFERROR(VLOOKUP(H105,#REF!,11,FALSE),0)-IFERROR(VLOOKUP(H105,#REF!,10,FALSE),0)+Tableau5617192223242425262827293031333432353620383961719241822254140424344104746[[#This Row],[dont FNP à date (€ HT)]]</f>
        <v>290</v>
      </c>
      <c r="AK105" s="23">
        <f t="shared" si="30"/>
        <v>-290</v>
      </c>
      <c r="AL10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290</v>
      </c>
      <c r="AM105" s="19">
        <f>IF(Tableau5617192223242425262827293031333432353620383961719241822254140424344104746[[#This Row],[RAF Achats M-1
€]]=0,0,AN105-AO105)</f>
        <v>0</v>
      </c>
      <c r="AN105" s="8">
        <f>IFERROR(VLOOKUP(H105,#REF!,31,FALSE),0)</f>
        <v>0</v>
      </c>
      <c r="AO105" s="8">
        <f>AI105+-IFERROR(VLOOKUP(H105,#REF!,27,FALSE),0)</f>
        <v>0</v>
      </c>
      <c r="AP105" s="20">
        <f>IFERROR(VLOOKUP(Tableau5617192223242425262827293031333432353620383961719241822254140424344104746[[#This Row],[Num Projets]],#REF!,2,FALSE),0)</f>
        <v>0</v>
      </c>
      <c r="AQ105" s="20">
        <f>_xlfn.XLOOKUP(H105,[2]Synth!$N:$N,[2]Synth!$O:$O,0,FALSE)+_xlfn.XLOOKUP(Tableau5617192223242425262827293031333432353620383961719241822254140424344104746[[#This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5" s="21">
        <v>0</v>
      </c>
      <c r="AS105" s="20">
        <f>+IFERROR(VLOOKUP(H105,#REF!,36,FALSE),0)</f>
        <v>0</v>
      </c>
      <c r="AT10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5" s="22">
        <f>IF(AG105=0,0,1-((AI105+AM105+Tableau5617192223242425262827293031333432353620383961719241822254140424344104746[[#This Row],[Int Commandé OT
€]]+Tableau5617192223242425262827293031333432353620383961719241822254140424344104746[[#This Row],[RAF Int OT
€]])/AG105))</f>
        <v>0</v>
      </c>
      <c r="AV105" s="8">
        <f>IFERROR(VLOOKUP(H105,#REF!,4,FALSE),0)+IFERROR(VLOOKUP(H105,#REF!,4,FALSE),0)</f>
        <v>0</v>
      </c>
      <c r="AW105" s="8">
        <f>IFERROR(VLOOKUP(Tableau5617192223242425262827293031333432353620383961719241822254140424344104746[[#This Row],[Num Projets]],#REF!,3,FALSE),0)</f>
        <v>0</v>
      </c>
      <c r="AX105" s="95">
        <f>IFERROR(VLOOKUP(Tableau5617192223242425262827293031333432353620383961719241822254140424344104746[[#This Row],[Num Projets]],#REF!,10,FALSE),0)</f>
        <v>0</v>
      </c>
      <c r="AY105" s="23">
        <f>Tableau5617192223242425262827293031333432353620383961719241822254140424344104746[[#This Row],[Budget Mission
 €]]/1.2-AX105</f>
        <v>0</v>
      </c>
      <c r="AZ105" s="8">
        <f>IFERROR(VLOOKUP(H105,#REF!,43,FALSE),0)</f>
        <v>0</v>
      </c>
      <c r="BA105" s="8">
        <f>AX105-IFERROR(VLOOKUP(H105,#REF!,42,FALSE),0)</f>
        <v>0</v>
      </c>
      <c r="BB105" s="47">
        <f t="shared" si="33"/>
        <v>0</v>
      </c>
      <c r="BC105" s="24">
        <f>IFERROR(VLOOKUP(H105,#REF!,47,FALSE),IFERROR(VLOOKUP(H105,#REF!,5,FALSE),0)+IFERROR(VLOOKUP(H105,#REF!,5,FALSE),0))</f>
        <v>0</v>
      </c>
      <c r="BD105" s="25">
        <f>IFERROR(VLOOKUP(H105,#REF!,2,FALSE),0)</f>
        <v>0</v>
      </c>
      <c r="BE105" s="25">
        <f>IFERROR(VLOOKUP(H105,#REF!,49,FALSE),0)</f>
        <v>0</v>
      </c>
      <c r="BF105" s="50" t="e">
        <f t="shared" si="25"/>
        <v>#REF!</v>
      </c>
      <c r="BG105" s="50">
        <f t="shared" si="26"/>
        <v>290</v>
      </c>
      <c r="BH105" s="27">
        <f>AE105+ (AI105-AJ105+AM105+Tableau5617192223242425262827293031333432353620383961719241822254140424344104746[[#This Row],[Int Commandé OT
€]]-Tableau5617192223242425262827293031333432353620383961719241822254140424344104746[[#This Row],[Int Réalisé OT
€]]+AR105) +AY105+BC105</f>
        <v>2219.5</v>
      </c>
      <c r="BI105" s="47">
        <f t="shared" si="37"/>
        <v>0.11556086869894401</v>
      </c>
      <c r="BJ105" s="47" t="e">
        <f t="shared" si="27"/>
        <v>#REF!</v>
      </c>
      <c r="BK105" s="27" t="e">
        <f t="shared" si="28"/>
        <v>#REF!</v>
      </c>
      <c r="BL105" s="26" t="e">
        <f t="shared" si="29"/>
        <v>#REF!</v>
      </c>
      <c r="BM105" s="96">
        <f>IFERROR(VLOOKUP(H105,'[1]2023sep'!H:CA,54,FALSE),105)</f>
        <v>105</v>
      </c>
      <c r="BN105" s="29">
        <v>1</v>
      </c>
      <c r="BO105" s="30" t="e">
        <f>P105-AC105-AG105-AV105-Tableau5617192223242425262827293031333432353620383961719241822254140424344104746[[#This Row],[Provisions pour risques]]</f>
        <v>#REF!</v>
      </c>
      <c r="BP10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2509.5</v>
      </c>
      <c r="BQ10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0.11556086869894401</v>
      </c>
      <c r="BR105" s="97" t="e">
        <f t="shared" si="34"/>
        <v>#REF!</v>
      </c>
      <c r="BS105" s="34">
        <f>Tableau5617192223242425262827293031333432353620383961719241822254140424344104746[[#This Row],[Consommé global Enregistré à date (€ HT)]]-IFERROR(VLOOKUP(H105,#REF!,50,FALSE),0)</f>
        <v>290</v>
      </c>
      <c r="BT105" s="35" t="e">
        <f t="shared" si="35"/>
        <v>#REF!</v>
      </c>
      <c r="BU105" s="36">
        <f>BD105-IFERROR(VLOOKUP(H105,#REF!,47,FALSE),0)</f>
        <v>0</v>
      </c>
      <c r="BV105" s="37" t="e">
        <f>+BF105+Tableau5617192223242425262827293031333432353620383961719241822254140424344104746[[#This Row],[CA fin N-1]]-IFERROR(VLOOKUP(H105,#REF!,49,FALSE),0)-IFERROR(VLOOKUP(H105,#REF!,50,FALSE),0)</f>
        <v>#REF!</v>
      </c>
      <c r="BW105" s="33">
        <f>BG105-IFERROR(VLOOKUP(H105,#REF!,51,FALSE),0)</f>
        <v>290</v>
      </c>
      <c r="BX105" s="35" t="e">
        <f t="shared" si="36"/>
        <v>#REF!</v>
      </c>
      <c r="BY105" s="36">
        <f>BD105-IFERROR(VLOOKUP(H105,#REF!,48,FALSE),0)</f>
        <v>0</v>
      </c>
      <c r="BZ10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5" s="39" t="e">
        <f>VLOOKUP(Tableau5617192223242425262827293031333432353620383961719241822254140424344104746[[#This Row],[Num Projets]],#REF!,1,FALSE)</f>
        <v>#REF!</v>
      </c>
      <c r="CB105" s="40">
        <v>52.5</v>
      </c>
      <c r="CC105" s="40">
        <v>0</v>
      </c>
      <c r="CD10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-52.5</v>
      </c>
    </row>
    <row r="106" spans="1:82" s="258" customFormat="1" ht="13.5" customHeight="1" x14ac:dyDescent="0.25">
      <c r="A106" s="311"/>
      <c r="B106" s="1"/>
      <c r="C106" s="2" t="e">
        <f>_xlfn.XLOOKUP(Tableau5617192223242425262827293031333432353620383961719241822254140424344104746[[#This Row],[Num Projets]],#REF!,#REF!,FALSE)</f>
        <v>#REF!</v>
      </c>
      <c r="D106" s="3" t="s">
        <v>6</v>
      </c>
      <c r="E106" s="3" t="e">
        <f>_xlfn.XLOOKUP(Tableau5617192223242425262827293031333432353620383961719241822254140424344104746[[#This Row],[Num Projets]],#REF!,#REF!,FALSE)</f>
        <v>#REF!</v>
      </c>
      <c r="F106" s="3" t="e">
        <f>_xlfn.XLOOKUP(Tableau5617192223242425262827293031333432353620383961719241822254140424344104746[[#This Row],[Num Projets]],#REF!,#REF!,"newavr",0)</f>
        <v>#REF!</v>
      </c>
      <c r="G106" s="3" t="s">
        <v>2</v>
      </c>
      <c r="H106" s="3" t="s">
        <v>221</v>
      </c>
      <c r="I10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6" s="4" t="e">
        <f>VLOOKUP(Tableau5617192223242425262827293031333432353620383961719241822254140424344104746[[#This Row],[Num Projets]],#REF!,36,FALSE)</f>
        <v>#REF!</v>
      </c>
      <c r="K106" s="5" t="s">
        <v>9</v>
      </c>
      <c r="L10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6" s="3" t="e">
        <f>SUBSTITUTE(_xlfn.XLOOKUP(Tableau5617192223242425262827293031333432353620383961719241822254140424344104746[[#This Row],[Num Projets]],#REF!,#REF!,FALSE)," ","")</f>
        <v>#REF!</v>
      </c>
      <c r="N106" s="7" t="e">
        <f>VLOOKUP(H106,#REF!,7,FALSE)</f>
        <v>#REF!</v>
      </c>
      <c r="O106" s="7" t="e">
        <f>IF(VLOOKUP(H106,#REF!,27,FALSE)=0,"",VLOOKUP(H106,#REF!,27,FALSE))</f>
        <v>#REF!</v>
      </c>
      <c r="P106" s="8" t="e">
        <f>VLOOKUP(H106,#REF!,2,FALSE)</f>
        <v>#REF!</v>
      </c>
      <c r="Q106" s="9" t="e">
        <f>Tableau5617192223242425262827293031333432353620383961719241822254140424344104746[[#This Row],[Total Budget
€]]-IFERROR(VLOOKUP(H106,#REF!,8,FALSE),0)</f>
        <v>#REF!</v>
      </c>
      <c r="R106" s="15">
        <f>AD106+AI106+Tableau5617192223242425262827293031333432353620383961719241822254140424344104746[[#This Row],[Int Commandé OT
€]]+AX106</f>
        <v>0</v>
      </c>
      <c r="S106" s="15">
        <f>AD106+AJ106+Tableau5617192223242425262827293031333432353620383961719241822254140424344104746[[#This Row],[Int Réalisé OT
€]]+AX106</f>
        <v>0</v>
      </c>
      <c r="T106" s="94" t="e">
        <f t="shared" si="22"/>
        <v>#REF!</v>
      </c>
      <c r="U10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6" s="12">
        <f>IFERROR(VLOOKUP(H106,#REF!,2,FALSE),0)</f>
        <v>0</v>
      </c>
      <c r="X106" s="13">
        <f>IFERROR(VLOOKUP(H106,#REF!,2,FALSE),0)</f>
        <v>0</v>
      </c>
      <c r="Y106" s="13">
        <f>IFERROR(VLOOKUP(H106,#REF!,3,FALSE),0)</f>
        <v>0</v>
      </c>
      <c r="Z10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15</v>
      </c>
      <c r="AA106" s="13">
        <f>IFERROR(VLOOKUP(H106,#REF!,18,FALSE),0)</f>
        <v>0</v>
      </c>
      <c r="AB106" s="13">
        <f>SUM(X106:Y106)-IFERROR(VLOOKUP(H106,#REF!,16,FALSE),0)-IFERROR(VLOOKUP(H106,#REF!,17,FALSE),0)</f>
        <v>0</v>
      </c>
      <c r="AC106" s="15">
        <v>2000</v>
      </c>
      <c r="AD106" s="15">
        <f>IFERROR(VLOOKUP(Tableau5617192223242425262827293031333432353620383961719241822254140424344104746[[#This Row],[Num Projets]],#REF!,2,FALSE),0)</f>
        <v>0</v>
      </c>
      <c r="AE106" s="8">
        <f t="shared" si="23"/>
        <v>717</v>
      </c>
      <c r="AF106" s="22">
        <f t="shared" si="24"/>
        <v>0.64149999999999996</v>
      </c>
      <c r="AG106" s="41">
        <f>IFERROR(VLOOKUP(H106,#REF!,3,FALSE),0)+IFERROR(VLOOKUP(H106,#REF!,3,FALSE),0)-2000</f>
        <v>-2000</v>
      </c>
      <c r="AH106" s="8">
        <f>IFERROR(VLOOKUP(Tableau5617192223242425262827293031333432353620383961719241822254140424344104746[[#This Row],[Num Projets]],#REF!,2,FALSE),0)</f>
        <v>0</v>
      </c>
      <c r="AI106" s="17">
        <f>+IFERROR(VLOOKUP(H106,#REF!,2,FALSE),0)-Tableau5617192223242425262827293031333432353620383961719241822254140424344104746[[#This Row],[Int Commandé OT
€]]</f>
        <v>0</v>
      </c>
      <c r="AJ106" s="8">
        <f>IFERROR(VLOOKUP(H106,#REF!,11,FALSE),0)-IFERROR(VLOOKUP(H106,#REF!,10,FALSE),0)+Tableau5617192223242425262827293031333432353620383961719241822254140424344104746[[#This Row],[dont FNP à date (€ HT)]]</f>
        <v>0</v>
      </c>
      <c r="AK106" s="15">
        <f t="shared" si="30"/>
        <v>0</v>
      </c>
      <c r="AL10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6" s="19">
        <f>IF(Tableau5617192223242425262827293031333432353620383961719241822254140424344104746[[#This Row],[RAF Achats M-1
€]]=0,0,AN106-AO106)</f>
        <v>0</v>
      </c>
      <c r="AN106" s="8">
        <f>IFERROR(VLOOKUP(H106,#REF!,31,FALSE),0)</f>
        <v>0</v>
      </c>
      <c r="AO106" s="8">
        <f>AI106+-IFERROR(VLOOKUP(H106,#REF!,27,FALSE),0)</f>
        <v>0</v>
      </c>
      <c r="AP106" s="20">
        <f>IFERROR(VLOOKUP(Tableau5617192223242425262827293031333432353620383961719241822254140424344104746[[#This Row],[Num Projets]],#REF!,2,FALSE),0)</f>
        <v>0</v>
      </c>
      <c r="AQ106" s="20">
        <f>_xlfn.XLOOKUP(H106,[2]Synth!$N:$N,[2]Synth!$O:$O,0,FALSE)+_xlfn.XLOOKUP(Tableau5617192223242425262827293031333432353620383961719241822254140424344104746[[#This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6" s="21">
        <v>0</v>
      </c>
      <c r="AS106" s="20">
        <f>+IFERROR(VLOOKUP(H106,#REF!,36,FALSE),0)</f>
        <v>0</v>
      </c>
      <c r="AT10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6" s="22">
        <f>IF(AG106=0,0,1-((AI106+AM106+Tableau5617192223242425262827293031333432353620383961719241822254140424344104746[[#This Row],[Int Commandé OT
€]]+Tableau5617192223242425262827293031333432353620383961719241822254140424344104746[[#This Row],[RAF Int OT
€]])/AG106))</f>
        <v>1</v>
      </c>
      <c r="AV106" s="8">
        <f>IFERROR(VLOOKUP(H106,#REF!,4,FALSE),0)+IFERROR(VLOOKUP(H106,#REF!,4,FALSE),0)</f>
        <v>0</v>
      </c>
      <c r="AW106" s="8">
        <f>IFERROR(VLOOKUP(Tableau5617192223242425262827293031333432353620383961719241822254140424344104746[[#This Row],[Num Projets]],#REF!,3,FALSE),0)</f>
        <v>0</v>
      </c>
      <c r="AX106" s="95">
        <f>IFERROR(VLOOKUP(Tableau5617192223242425262827293031333432353620383961719241822254140424344104746[[#This Row],[Num Projets]],#REF!,10,FALSE),0)</f>
        <v>0</v>
      </c>
      <c r="AY106" s="23">
        <f>Tableau5617192223242425262827293031333432353620383961719241822254140424344104746[[#This Row],[Budget Mission
 €]]/1.2-AX106</f>
        <v>0</v>
      </c>
      <c r="AZ106" s="8">
        <f>IFERROR(VLOOKUP(H106,#REF!,43,FALSE),0)</f>
        <v>0</v>
      </c>
      <c r="BA106" s="8">
        <f>AX106-IFERROR(VLOOKUP(H106,#REF!,42,FALSE),0)</f>
        <v>0</v>
      </c>
      <c r="BB106" s="47">
        <f t="shared" si="33"/>
        <v>0</v>
      </c>
      <c r="BC106" s="24">
        <f>IFERROR(VLOOKUP(H106,#REF!,47,FALSE),IFERROR(VLOOKUP(H106,#REF!,5,FALSE),0)+IFERROR(VLOOKUP(H106,#REF!,5,FALSE),0))</f>
        <v>0</v>
      </c>
      <c r="BD106" s="25">
        <f>IFERROR(VLOOKUP(H106,#REF!,2,FALSE),0)</f>
        <v>0</v>
      </c>
      <c r="BE106" s="25">
        <f>IFERROR(VLOOKUP(H106,#REF!,49,FALSE),0)</f>
        <v>0</v>
      </c>
      <c r="BF106" s="50" t="e">
        <f t="shared" si="25"/>
        <v>#REF!</v>
      </c>
      <c r="BG106" s="50">
        <f t="shared" si="26"/>
        <v>0</v>
      </c>
      <c r="BH106" s="27">
        <f>AE106+ (AI106-AJ106+AM106+Tableau5617192223242425262827293031333432353620383961719241822254140424344104746[[#This Row],[Int Commandé OT
€]]-Tableau5617192223242425262827293031333432353620383961719241822254140424344104746[[#This Row],[Int Réalisé OT
€]]+AR106) +AY106+BC106</f>
        <v>717</v>
      </c>
      <c r="BI106" s="47">
        <f t="shared" si="37"/>
        <v>0</v>
      </c>
      <c r="BJ106" s="47" t="e">
        <f t="shared" si="27"/>
        <v>#REF!</v>
      </c>
      <c r="BK106" s="27" t="e">
        <f t="shared" si="28"/>
        <v>#REF!</v>
      </c>
      <c r="BL106" s="26" t="e">
        <f t="shared" si="29"/>
        <v>#REF!</v>
      </c>
      <c r="BM106" s="96">
        <f>IFERROR(VLOOKUP(H106,'[1]2023sep'!H:CA,54,FALSE),105)</f>
        <v>105</v>
      </c>
      <c r="BN106" s="29">
        <v>1</v>
      </c>
      <c r="BO106" s="30" t="e">
        <f>P106-AC106-AG106-AV106-Tableau5617192223242425262827293031333432353620383961719241822254140424344104746[[#This Row],[Provisions pour risques]]</f>
        <v>#REF!</v>
      </c>
      <c r="BP10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717</v>
      </c>
      <c r="BQ10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6" s="97" t="e">
        <f t="shared" si="34"/>
        <v>#REF!</v>
      </c>
      <c r="BS106" s="34">
        <f>Tableau5617192223242425262827293031333432353620383961719241822254140424344104746[[#This Row],[Consommé global Enregistré à date (€ HT)]]-IFERROR(VLOOKUP(H106,#REF!,50,FALSE),0)</f>
        <v>0</v>
      </c>
      <c r="BT106" s="35" t="e">
        <f t="shared" si="35"/>
        <v>#REF!</v>
      </c>
      <c r="BU106" s="36">
        <f>BD106-IFERROR(VLOOKUP(H106,#REF!,47,FALSE),0)</f>
        <v>0</v>
      </c>
      <c r="BV106" s="37" t="e">
        <f>+BF106+Tableau5617192223242425262827293031333432353620383961719241822254140424344104746[[#This Row],[CA fin N-1]]-IFERROR(VLOOKUP(H106,#REF!,49,FALSE),0)-IFERROR(VLOOKUP(H106,#REF!,50,FALSE),0)</f>
        <v>#REF!</v>
      </c>
      <c r="BW106" s="33">
        <f>BG106-IFERROR(VLOOKUP(H106,#REF!,51,FALSE),0)</f>
        <v>0</v>
      </c>
      <c r="BX106" s="35" t="e">
        <f t="shared" si="36"/>
        <v>#REF!</v>
      </c>
      <c r="BY106" s="36">
        <f>BD106-IFERROR(VLOOKUP(H106,#REF!,48,FALSE),0)</f>
        <v>0</v>
      </c>
      <c r="BZ10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6" s="39" t="e">
        <f>VLOOKUP(Tableau5617192223242425262827293031333432353620383961719241822254140424344104746[[#This Row],[Num Projets]],#REF!,1,FALSE)</f>
        <v>#REF!</v>
      </c>
      <c r="CB106" s="40">
        <v>15</v>
      </c>
      <c r="CC106" s="40">
        <v>0</v>
      </c>
      <c r="CD10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-15</v>
      </c>
    </row>
    <row r="107" spans="1:82" s="258" customFormat="1" ht="13.5" customHeight="1" x14ac:dyDescent="0.25">
      <c r="A107" s="311"/>
      <c r="B107" s="1"/>
      <c r="C107" s="2" t="e">
        <f>_xlfn.XLOOKUP(Tableau5617192223242425262827293031333432353620383961719241822254140424344104746[[#This Row],[Num Projets]],#REF!,#REF!,FALSE)</f>
        <v>#REF!</v>
      </c>
      <c r="D107" s="3" t="s">
        <v>6</v>
      </c>
      <c r="E107" s="3" t="e">
        <f>_xlfn.XLOOKUP(Tableau5617192223242425262827293031333432353620383961719241822254140424344104746[[#This Row],[Num Projets]],#REF!,#REF!,FALSE)</f>
        <v>#REF!</v>
      </c>
      <c r="F107" s="3" t="e">
        <f>_xlfn.XLOOKUP(Tableau5617192223242425262827293031333432353620383961719241822254140424344104746[[#This Row],[Num Projets]],#REF!,#REF!,"newavr",0)</f>
        <v>#REF!</v>
      </c>
      <c r="G107" s="3" t="s">
        <v>2</v>
      </c>
      <c r="H107" s="3" t="s">
        <v>222</v>
      </c>
      <c r="I10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7" s="4" t="e">
        <f>VLOOKUP(Tableau5617192223242425262827293031333432353620383961719241822254140424344104746[[#This Row],[Num Projets]],#REF!,36,FALSE)</f>
        <v>#REF!</v>
      </c>
      <c r="K107" s="5" t="s">
        <v>9</v>
      </c>
      <c r="L10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7" s="3" t="e">
        <f>SUBSTITUTE(_xlfn.XLOOKUP(Tableau5617192223242425262827293031333432353620383961719241822254140424344104746[[#This Row],[Num Projets]],#REF!,#REF!,FALSE)," ","")</f>
        <v>#REF!</v>
      </c>
      <c r="N107" s="7" t="e">
        <f>VLOOKUP(H107,#REF!,7,FALSE)</f>
        <v>#REF!</v>
      </c>
      <c r="O107" s="7" t="e">
        <f>IF(VLOOKUP(H107,#REF!,27,FALSE)=0,"",VLOOKUP(H107,#REF!,27,FALSE))</f>
        <v>#REF!</v>
      </c>
      <c r="P107" s="8" t="e">
        <f>VLOOKUP(H107,#REF!,2,FALSE)</f>
        <v>#REF!</v>
      </c>
      <c r="Q107" s="9" t="e">
        <f>Tableau5617192223242425262827293031333432353620383961719241822254140424344104746[[#This Row],[Total Budget
€]]-IFERROR(VLOOKUP(H107,#REF!,8,FALSE),0)</f>
        <v>#REF!</v>
      </c>
      <c r="R107" s="15">
        <f>AD107+AI107+Tableau5617192223242425262827293031333432353620383961719241822254140424344104746[[#This Row],[Int Commandé OT
€]]+AX107</f>
        <v>0</v>
      </c>
      <c r="S107" s="15">
        <f>AD107+AJ107+Tableau5617192223242425262827293031333432353620383961719241822254140424344104746[[#This Row],[Int Réalisé OT
€]]+AX107</f>
        <v>0</v>
      </c>
      <c r="T107" s="94" t="e">
        <f t="shared" si="22"/>
        <v>#REF!</v>
      </c>
      <c r="U10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7" s="12">
        <f>IFERROR(VLOOKUP(H107,#REF!,2,FALSE),0)</f>
        <v>0</v>
      </c>
      <c r="X107" s="13">
        <f>IFERROR(VLOOKUP(H107,#REF!,2,FALSE),0)</f>
        <v>0</v>
      </c>
      <c r="Y107" s="13">
        <f>IFERROR(VLOOKUP(H107,#REF!,3,FALSE),0)</f>
        <v>0</v>
      </c>
      <c r="Z10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34.5</v>
      </c>
      <c r="AA107" s="13">
        <f>IFERROR(VLOOKUP(H107,#REF!,18,FALSE),0)</f>
        <v>0</v>
      </c>
      <c r="AB107" s="13">
        <f>SUM(X107:Y107)-IFERROR(VLOOKUP(H107,#REF!,16,FALSE),0)-IFERROR(VLOOKUP(H107,#REF!,17,FALSE),0)</f>
        <v>0</v>
      </c>
      <c r="AC107" s="15" t="e">
        <f>VLOOKUP(Tableau5617192223242425262827293031333432353620383961719241822254140424344104746[[#This Row],[Num Projets]],#REF!,2,FALSE)</f>
        <v>#REF!</v>
      </c>
      <c r="AD107" s="15">
        <f>IFERROR(VLOOKUP(Tableau5617192223242425262827293031333432353620383961719241822254140424344104746[[#This Row],[Num Projets]],#REF!,2,FALSE),0)</f>
        <v>0</v>
      </c>
      <c r="AE107" s="8">
        <f t="shared" si="23"/>
        <v>1649.1</v>
      </c>
      <c r="AF107" s="22" t="e">
        <f t="shared" si="24"/>
        <v>#REF!</v>
      </c>
      <c r="AG107" s="8">
        <f>IFERROR(VLOOKUP(H107,#REF!,3,FALSE),0)+IFERROR(VLOOKUP(H107,#REF!,3,FALSE),0)</f>
        <v>0</v>
      </c>
      <c r="AH107" s="8">
        <f>IFERROR(VLOOKUP(Tableau5617192223242425262827293031333432353620383961719241822254140424344104746[[#This Row],[Num Projets]],#REF!,2,FALSE),0)</f>
        <v>0</v>
      </c>
      <c r="AI107" s="17">
        <f>+IFERROR(VLOOKUP(H107,#REF!,2,FALSE),0)-Tableau5617192223242425262827293031333432353620383961719241822254140424344104746[[#This Row],[Int Commandé OT
€]]</f>
        <v>0</v>
      </c>
      <c r="AJ107" s="8">
        <f>IFERROR(VLOOKUP(H107,#REF!,11,FALSE),0)-IFERROR(VLOOKUP(H107,#REF!,10,FALSE),0)+Tableau5617192223242425262827293031333432353620383961719241822254140424344104746[[#This Row],[dont FNP à date (€ HT)]]</f>
        <v>0</v>
      </c>
      <c r="AK107" s="15">
        <f t="shared" si="30"/>
        <v>0</v>
      </c>
      <c r="AL10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7" s="19">
        <f>IF(Tableau5617192223242425262827293031333432353620383961719241822254140424344104746[[#This Row],[RAF Achats M-1
€]]=0,0,AN107-AO107)</f>
        <v>0</v>
      </c>
      <c r="AN107" s="8">
        <f>IFERROR(VLOOKUP(H107,#REF!,31,FALSE),0)</f>
        <v>0</v>
      </c>
      <c r="AO107" s="8">
        <f>AI107+-IFERROR(VLOOKUP(H107,#REF!,27,FALSE),0)</f>
        <v>0</v>
      </c>
      <c r="AP107" s="20">
        <f>IFERROR(VLOOKUP(Tableau5617192223242425262827293031333432353620383961719241822254140424344104746[[#This Row],[Num Projets]],#REF!,2,FALSE),0)</f>
        <v>0</v>
      </c>
      <c r="AQ107" s="20">
        <f>_xlfn.XLOOKUP(H107,[2]Synth!$N:$N,[2]Synth!$O:$O,0,FALSE)+_xlfn.XLOOKUP(Tableau5617192223242425262827293031333432353620383961719241822254140424344104746[[#This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7" s="21">
        <v>0</v>
      </c>
      <c r="AS107" s="20">
        <f>+IFERROR(VLOOKUP(H107,#REF!,36,FALSE),0)</f>
        <v>0</v>
      </c>
      <c r="AT10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7" s="22">
        <f>IF(AG107=0,0,1-((AI107+AM107+Tableau5617192223242425262827293031333432353620383961719241822254140424344104746[[#This Row],[Int Commandé OT
€]]+Tableau5617192223242425262827293031333432353620383961719241822254140424344104746[[#This Row],[RAF Int OT
€]])/AG107))</f>
        <v>0</v>
      </c>
      <c r="AV107" s="8">
        <f>IFERROR(VLOOKUP(H107,#REF!,4,FALSE),0)+IFERROR(VLOOKUP(H107,#REF!,4,FALSE),0)</f>
        <v>0</v>
      </c>
      <c r="AW107" s="8">
        <f>IFERROR(VLOOKUP(Tableau5617192223242425262827293031333432353620383961719241822254140424344104746[[#This Row],[Num Projets]],#REF!,3,FALSE),0)</f>
        <v>0</v>
      </c>
      <c r="AX107" s="95">
        <f>IFERROR(VLOOKUP(Tableau5617192223242425262827293031333432353620383961719241822254140424344104746[[#This Row],[Num Projets]],#REF!,10,FALSE),0)</f>
        <v>0</v>
      </c>
      <c r="AY107" s="23">
        <f>Tableau5617192223242425262827293031333432353620383961719241822254140424344104746[[#This Row],[Budget Mission
 €]]/1.2-AX107</f>
        <v>0</v>
      </c>
      <c r="AZ107" s="8">
        <f>IFERROR(VLOOKUP(H107,#REF!,43,FALSE),0)</f>
        <v>0</v>
      </c>
      <c r="BA107" s="8">
        <f>AX107-IFERROR(VLOOKUP(H107,#REF!,42,FALSE),0)</f>
        <v>0</v>
      </c>
      <c r="BB107" s="47">
        <f t="shared" si="33"/>
        <v>0</v>
      </c>
      <c r="BC107" s="24">
        <f>IFERROR(VLOOKUP(H107,#REF!,47,FALSE),IFERROR(VLOOKUP(H107,#REF!,5,FALSE),0)+IFERROR(VLOOKUP(H107,#REF!,5,FALSE),0))</f>
        <v>0</v>
      </c>
      <c r="BD107" s="25">
        <f>IFERROR(VLOOKUP(H107,#REF!,2,FALSE),0)</f>
        <v>0</v>
      </c>
      <c r="BE107" s="25">
        <f>IFERROR(VLOOKUP(H107,#REF!,49,FALSE),0)</f>
        <v>0</v>
      </c>
      <c r="BF107" s="50" t="e">
        <f t="shared" si="25"/>
        <v>#REF!</v>
      </c>
      <c r="BG107" s="50">
        <f t="shared" si="26"/>
        <v>0</v>
      </c>
      <c r="BH107" s="27">
        <f>AE107+ (AI107-AJ107+AM107+Tableau5617192223242425262827293031333432353620383961719241822254140424344104746[[#This Row],[Int Commandé OT
€]]-Tableau5617192223242425262827293031333432353620383961719241822254140424344104746[[#This Row],[Int Réalisé OT
€]]+AR107) +AY107+BC107</f>
        <v>1649.1</v>
      </c>
      <c r="BI107" s="47">
        <f t="shared" si="37"/>
        <v>0</v>
      </c>
      <c r="BJ107" s="47" t="e">
        <f t="shared" si="27"/>
        <v>#REF!</v>
      </c>
      <c r="BK107" s="27" t="e">
        <f t="shared" si="28"/>
        <v>#REF!</v>
      </c>
      <c r="BL107" s="26" t="e">
        <f t="shared" si="29"/>
        <v>#REF!</v>
      </c>
      <c r="BM107" s="96">
        <f>IFERROR(VLOOKUP(H107,'[1]2023sep'!H:CA,54,FALSE),105)</f>
        <v>105</v>
      </c>
      <c r="BN107" s="29">
        <v>1</v>
      </c>
      <c r="BO107" s="30" t="e">
        <f>P107-AC107-AG107-AV107-Tableau5617192223242425262827293031333432353620383961719241822254140424344104746[[#This Row],[Provisions pour risques]]</f>
        <v>#REF!</v>
      </c>
      <c r="BP10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1649.1</v>
      </c>
      <c r="BQ10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7" s="97" t="e">
        <f t="shared" si="34"/>
        <v>#REF!</v>
      </c>
      <c r="BS107" s="34">
        <f>Tableau5617192223242425262827293031333432353620383961719241822254140424344104746[[#This Row],[Consommé global Enregistré à date (€ HT)]]-IFERROR(VLOOKUP(H107,#REF!,50,FALSE),0)</f>
        <v>0</v>
      </c>
      <c r="BT107" s="35" t="e">
        <f t="shared" si="35"/>
        <v>#REF!</v>
      </c>
      <c r="BU107" s="36">
        <f>BD107-IFERROR(VLOOKUP(H107,#REF!,47,FALSE),0)</f>
        <v>0</v>
      </c>
      <c r="BV107" s="37" t="e">
        <f>+BF107+Tableau5617192223242425262827293031333432353620383961719241822254140424344104746[[#This Row],[CA fin N-1]]-IFERROR(VLOOKUP(H107,#REF!,49,FALSE),0)-IFERROR(VLOOKUP(H107,#REF!,50,FALSE),0)</f>
        <v>#REF!</v>
      </c>
      <c r="BW107" s="33">
        <f>BG107-IFERROR(VLOOKUP(H107,#REF!,51,FALSE),0)</f>
        <v>0</v>
      </c>
      <c r="BX107" s="35" t="e">
        <f t="shared" si="36"/>
        <v>#REF!</v>
      </c>
      <c r="BY107" s="36">
        <f>BD107-IFERROR(VLOOKUP(H107,#REF!,48,FALSE),0)</f>
        <v>0</v>
      </c>
      <c r="BZ10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7" s="39" t="e">
        <f>VLOOKUP(Tableau5617192223242425262827293031333432353620383961719241822254140424344104746[[#This Row],[Num Projets]],#REF!,1,FALSE)</f>
        <v>#REF!</v>
      </c>
      <c r="CB107" s="40">
        <v>34.5</v>
      </c>
      <c r="CC107" s="40">
        <v>0</v>
      </c>
      <c r="CD10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-34.5</v>
      </c>
    </row>
    <row r="108" spans="1:82" s="258" customFormat="1" ht="13.5" customHeight="1" x14ac:dyDescent="0.25">
      <c r="A108" s="311" t="s">
        <v>223</v>
      </c>
      <c r="B108" s="1"/>
      <c r="C108" s="2" t="e">
        <f>_xlfn.XLOOKUP(Tableau5617192223242425262827293031333432353620383961719241822254140424344104746[[#This Row],[Num Projets]],#REF!,#REF!,FALSE)</f>
        <v>#REF!</v>
      </c>
      <c r="D108" s="3" t="s">
        <v>1</v>
      </c>
      <c r="E108" s="3" t="e">
        <f>_xlfn.XLOOKUP(Tableau5617192223242425262827293031333432353620383961719241822254140424344104746[[#This Row],[Num Projets]],#REF!,#REF!,FALSE)</f>
        <v>#REF!</v>
      </c>
      <c r="F108" s="3" t="e">
        <f>_xlfn.XLOOKUP(Tableau5617192223242425262827293031333432353620383961719241822254140424344104746[[#This Row],[Num Projets]],#REF!,#REF!,"newavr",0)</f>
        <v>#REF!</v>
      </c>
      <c r="G108" s="3" t="s">
        <v>2</v>
      </c>
      <c r="H108" s="3" t="s">
        <v>224</v>
      </c>
      <c r="I10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8" s="4" t="e">
        <f>VLOOKUP(Tableau5617192223242425262827293031333432353620383961719241822254140424344104746[[#This Row],[Num Projets]],#REF!,36,FALSE)</f>
        <v>#REF!</v>
      </c>
      <c r="K108" s="5" t="s">
        <v>9</v>
      </c>
      <c r="L10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8" s="3" t="e">
        <f>SUBSTITUTE(_xlfn.XLOOKUP(Tableau5617192223242425262827293031333432353620383961719241822254140424344104746[[#This Row],[Num Projets]],#REF!,#REF!,FALSE)," ","")</f>
        <v>#REF!</v>
      </c>
      <c r="N108" s="7" t="e">
        <f>VLOOKUP(H108,#REF!,7,FALSE)</f>
        <v>#REF!</v>
      </c>
      <c r="O108" s="7" t="e">
        <f>IF(VLOOKUP(H108,#REF!,27,FALSE)=0,"",VLOOKUP(H108,#REF!,27,FALSE))</f>
        <v>#REF!</v>
      </c>
      <c r="P108" s="8" t="e">
        <f>VLOOKUP(H108,#REF!,2,FALSE)</f>
        <v>#REF!</v>
      </c>
      <c r="Q108" s="9" t="e">
        <f>Tableau5617192223242425262827293031333432353620383961719241822254140424344104746[[#This Row],[Total Budget
€]]-IFERROR(VLOOKUP(H108,#REF!,8,FALSE),0)</f>
        <v>#REF!</v>
      </c>
      <c r="R108" s="15">
        <f>AD108+AI108+Tableau5617192223242425262827293031333432353620383961719241822254140424344104746[[#This Row],[Int Commandé OT
€]]+AX108</f>
        <v>0</v>
      </c>
      <c r="S108" s="15">
        <f>AD108+AJ108+Tableau5617192223242425262827293031333432353620383961719241822254140424344104746[[#This Row],[Int Réalisé OT
€]]+AX108</f>
        <v>0</v>
      </c>
      <c r="T108" s="94" t="e">
        <f t="shared" si="22"/>
        <v>#REF!</v>
      </c>
      <c r="U10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8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8" s="12">
        <f>IFERROR(VLOOKUP(H108,#REF!,2,FALSE),0)</f>
        <v>0</v>
      </c>
      <c r="X108" s="13">
        <f>IFERROR(VLOOKUP(H108,#REF!,2,FALSE),0)</f>
        <v>0</v>
      </c>
      <c r="Y108" s="13">
        <f>IFERROR(VLOOKUP(H108,#REF!,3,FALSE),0)</f>
        <v>0</v>
      </c>
      <c r="Z10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46.5</v>
      </c>
      <c r="AA108" s="13">
        <f>IFERROR(VLOOKUP(H108,#REF!,18,FALSE),0)</f>
        <v>0</v>
      </c>
      <c r="AB108" s="13">
        <f>SUM(X108:Y108)-IFERROR(VLOOKUP(H108,#REF!,16,FALSE),0)-IFERROR(VLOOKUP(H108,#REF!,17,FALSE),0)</f>
        <v>0</v>
      </c>
      <c r="AC108" s="148" t="e">
        <f>VLOOKUP(Tableau5617192223242425262827293031333432353620383961719241822254140424344104746[[#This Row],[Num Projets]],#REF!,2,FALSE)-29000</f>
        <v>#REF!</v>
      </c>
      <c r="AD108" s="15">
        <f>IFERROR(VLOOKUP(Tableau5617192223242425262827293031333432353620383961719241822254140424344104746[[#This Row],[Num Projets]],#REF!,2,FALSE),0)</f>
        <v>0</v>
      </c>
      <c r="AE108" s="8">
        <f t="shared" si="23"/>
        <v>2222.6999999999998</v>
      </c>
      <c r="AF108" s="22" t="e">
        <f t="shared" si="24"/>
        <v>#REF!</v>
      </c>
      <c r="AG108" s="41" t="e">
        <f>Tableau5617192223242425262827293031333432353620383961719241822254140424344104746[[#This Row],[Total Budget
€]]-Tableau5617192223242425262827293031333432353620383961719241822254140424344104746[[#This Row],[Budget Heures Valorisées
€]]</f>
        <v>#REF!</v>
      </c>
      <c r="AH108" s="8">
        <f>IFERROR(VLOOKUP(Tableau5617192223242425262827293031333432353620383961719241822254140424344104746[[#This Row],[Num Projets]],#REF!,2,FALSE),0)</f>
        <v>0</v>
      </c>
      <c r="AI108" s="17">
        <f>+IFERROR(VLOOKUP(H108,#REF!,2,FALSE),0)-Tableau5617192223242425262827293031333432353620383961719241822254140424344104746[[#This Row],[Int Commandé OT
€]]</f>
        <v>0</v>
      </c>
      <c r="AJ108" s="8">
        <f>IFERROR(VLOOKUP(H108,#REF!,11,FALSE),0)-IFERROR(VLOOKUP(H108,#REF!,10,FALSE),0)+Tableau5617192223242425262827293031333432353620383961719241822254140424344104746[[#This Row],[dont FNP à date (€ HT)]]</f>
        <v>0</v>
      </c>
      <c r="AK108" s="15">
        <f t="shared" si="30"/>
        <v>0</v>
      </c>
      <c r="AL10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8" s="19">
        <f>IF(Tableau5617192223242425262827293031333432353620383961719241822254140424344104746[[#This Row],[RAF Achats M-1
€]]=0,0,AN108-AO108)</f>
        <v>0</v>
      </c>
      <c r="AN108" s="8">
        <f>IFERROR(VLOOKUP(H108,#REF!,31,FALSE),0)</f>
        <v>0</v>
      </c>
      <c r="AO108" s="8">
        <f>AI108+-IFERROR(VLOOKUP(H108,#REF!,27,FALSE),0)</f>
        <v>0</v>
      </c>
      <c r="AP108" s="20">
        <f>IFERROR(VLOOKUP(Tableau5617192223242425262827293031333432353620383961719241822254140424344104746[[#This Row],[Num Projets]],#REF!,2,FALSE),0)</f>
        <v>0</v>
      </c>
      <c r="AQ108" s="20">
        <f>_xlfn.XLOOKUP(H108,[2]Synth!$N:$N,[2]Synth!$O:$O,0,FALSE)+_xlfn.XLOOKUP(Tableau5617192223242425262827293031333432353620383961719241822254140424344104746[[#This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8" s="21">
        <v>0</v>
      </c>
      <c r="AS108" s="20">
        <f>+IFERROR(VLOOKUP(H108,#REF!,36,FALSE),0)</f>
        <v>0</v>
      </c>
      <c r="AT10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8" s="22" t="e">
        <f>IF(AG108=0,0,1-((AI108+AM108+Tableau5617192223242425262827293031333432353620383961719241822254140424344104746[[#This Row],[Int Commandé OT
€]]+Tableau5617192223242425262827293031333432353620383961719241822254140424344104746[[#This Row],[RAF Int OT
€]])/AG108))</f>
        <v>#REF!</v>
      </c>
      <c r="AV108" s="8">
        <f>IFERROR(VLOOKUP(H108,#REF!,4,FALSE),0)+IFERROR(VLOOKUP(H108,#REF!,4,FALSE),0)</f>
        <v>0</v>
      </c>
      <c r="AW108" s="8">
        <f>IFERROR(VLOOKUP(Tableau5617192223242425262827293031333432353620383961719241822254140424344104746[[#This Row],[Num Projets]],#REF!,3,FALSE),0)</f>
        <v>0</v>
      </c>
      <c r="AX108" s="95">
        <f>IFERROR(VLOOKUP(Tableau5617192223242425262827293031333432353620383961719241822254140424344104746[[#This Row],[Num Projets]],#REF!,10,FALSE),0)</f>
        <v>0</v>
      </c>
      <c r="AY108" s="23">
        <f>Tableau5617192223242425262827293031333432353620383961719241822254140424344104746[[#This Row],[Budget Mission
 €]]/1.2-AX108</f>
        <v>0</v>
      </c>
      <c r="AZ108" s="8">
        <f>IFERROR(VLOOKUP(H108,#REF!,43,FALSE),0)</f>
        <v>0</v>
      </c>
      <c r="BA108" s="8">
        <f>AX108-IFERROR(VLOOKUP(H108,#REF!,42,FALSE),0)</f>
        <v>0</v>
      </c>
      <c r="BB108" s="47">
        <f t="shared" si="33"/>
        <v>0</v>
      </c>
      <c r="BC108" s="24">
        <f>IFERROR(VLOOKUP(H108,#REF!,47,FALSE),IFERROR(VLOOKUP(H108,#REF!,5,FALSE),0)+IFERROR(VLOOKUP(H108,#REF!,5,FALSE),0))</f>
        <v>0</v>
      </c>
      <c r="BD108" s="25">
        <f>IFERROR(VLOOKUP(H108,#REF!,2,FALSE),0)</f>
        <v>0</v>
      </c>
      <c r="BE108" s="25">
        <f>IFERROR(VLOOKUP(H108,#REF!,49,FALSE),0)</f>
        <v>0</v>
      </c>
      <c r="BF108" s="50" t="e">
        <f t="shared" si="25"/>
        <v>#REF!</v>
      </c>
      <c r="BG108" s="50">
        <f t="shared" si="26"/>
        <v>0</v>
      </c>
      <c r="BH108" s="27">
        <f>AE108+ (AI108-AJ108+AM108+Tableau5617192223242425262827293031333432353620383961719241822254140424344104746[[#This Row],[Int Commandé OT
€]]-Tableau5617192223242425262827293031333432353620383961719241822254140424344104746[[#This Row],[Int Réalisé OT
€]]+AR108) +AY108+BC108</f>
        <v>2222.6999999999998</v>
      </c>
      <c r="BI108" s="47">
        <f t="shared" si="37"/>
        <v>0</v>
      </c>
      <c r="BJ108" s="47" t="e">
        <f t="shared" si="27"/>
        <v>#REF!</v>
      </c>
      <c r="BK108" s="27" t="e">
        <f t="shared" si="28"/>
        <v>#REF!</v>
      </c>
      <c r="BL108" s="26" t="e">
        <f t="shared" si="29"/>
        <v>#REF!</v>
      </c>
      <c r="BM108" s="96">
        <f>IFERROR(VLOOKUP(H108,'[1]2023sep'!H:CA,54,FALSE),105)</f>
        <v>105</v>
      </c>
      <c r="BN108" s="29">
        <v>1</v>
      </c>
      <c r="BO108" s="30" t="e">
        <f>P108-AC108-AG108-AV108-Tableau5617192223242425262827293031333432353620383961719241822254140424344104746[[#This Row],[Provisions pour risques]]</f>
        <v>#REF!</v>
      </c>
      <c r="BP10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2222.6999999999998</v>
      </c>
      <c r="BQ10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8" s="97" t="e">
        <f t="shared" si="34"/>
        <v>#REF!</v>
      </c>
      <c r="BS108" s="34">
        <f>Tableau5617192223242425262827293031333432353620383961719241822254140424344104746[[#This Row],[Consommé global Enregistré à date (€ HT)]]-IFERROR(VLOOKUP(H108,#REF!,50,FALSE),0)</f>
        <v>0</v>
      </c>
      <c r="BT108" s="35" t="e">
        <f t="shared" si="35"/>
        <v>#REF!</v>
      </c>
      <c r="BU108" s="36">
        <f>BD108-IFERROR(VLOOKUP(H108,#REF!,47,FALSE),0)</f>
        <v>0</v>
      </c>
      <c r="BV108" s="37" t="e">
        <f>+BF108+Tableau5617192223242425262827293031333432353620383961719241822254140424344104746[[#This Row],[CA fin N-1]]-IFERROR(VLOOKUP(H108,#REF!,49,FALSE),0)-IFERROR(VLOOKUP(H108,#REF!,50,FALSE),0)</f>
        <v>#REF!</v>
      </c>
      <c r="BW108" s="33">
        <f>BG108-IFERROR(VLOOKUP(H108,#REF!,51,FALSE),0)</f>
        <v>0</v>
      </c>
      <c r="BX108" s="35" t="e">
        <f t="shared" si="36"/>
        <v>#REF!</v>
      </c>
      <c r="BY108" s="36">
        <f>BD108-IFERROR(VLOOKUP(H108,#REF!,48,FALSE),0)</f>
        <v>0</v>
      </c>
      <c r="BZ10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8" s="39" t="e">
        <f>VLOOKUP(Tableau5617192223242425262827293031333432353620383961719241822254140424344104746[[#This Row],[Num Projets]],#REF!,1,FALSE)</f>
        <v>#REF!</v>
      </c>
      <c r="CB108" s="40">
        <v>46.5</v>
      </c>
      <c r="CC108" s="40">
        <v>0</v>
      </c>
      <c r="CD10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-46.5</v>
      </c>
    </row>
    <row r="109" spans="1:82" s="258" customFormat="1" ht="13.5" customHeight="1" x14ac:dyDescent="0.25">
      <c r="A109" s="313" t="s">
        <v>225</v>
      </c>
      <c r="B109" s="1"/>
      <c r="C109" s="2" t="e">
        <f>_xlfn.XLOOKUP(Tableau5617192223242425262827293031333432353620383961719241822254140424344104746[[#This Row],[Num Projets]],#REF!,#REF!,FALSE)</f>
        <v>#REF!</v>
      </c>
      <c r="D109" s="3" t="s">
        <v>6</v>
      </c>
      <c r="E109" s="3" t="e">
        <f>_xlfn.XLOOKUP(Tableau5617192223242425262827293031333432353620383961719241822254140424344104746[[#This Row],[Num Projets]],#REF!,#REF!,FALSE)</f>
        <v>#REF!</v>
      </c>
      <c r="F109" s="65" t="s">
        <v>41</v>
      </c>
      <c r="G109" s="3" t="s">
        <v>58</v>
      </c>
      <c r="H109" s="3" t="s">
        <v>226</v>
      </c>
      <c r="I10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09" s="4" t="e">
        <f>VLOOKUP(Tableau5617192223242425262827293031333432353620383961719241822254140424344104746[[#This Row],[Num Projets]],#REF!,36,FALSE)</f>
        <v>#REF!</v>
      </c>
      <c r="K109" s="5" t="s">
        <v>9</v>
      </c>
      <c r="L10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09" s="3" t="e">
        <f>SUBSTITUTE(_xlfn.XLOOKUP(Tableau5617192223242425262827293031333432353620383961719241822254140424344104746[[#This Row],[Num Projets]],#REF!,#REF!,FALSE)," ","")</f>
        <v>#REF!</v>
      </c>
      <c r="N109" s="7" t="e">
        <f>VLOOKUP(H109,#REF!,7,FALSE)</f>
        <v>#REF!</v>
      </c>
      <c r="O109" s="7">
        <v>45808</v>
      </c>
      <c r="P109" s="8" t="e">
        <f>VLOOKUP(H109,#REF!,2,FALSE)</f>
        <v>#REF!</v>
      </c>
      <c r="Q109" s="9" t="e">
        <f>Tableau5617192223242425262827293031333432353620383961719241822254140424344104746[[#This Row],[Total Budget
€]]-IFERROR(VLOOKUP(H109,#REF!,8,FALSE),0)</f>
        <v>#REF!</v>
      </c>
      <c r="R109" s="15">
        <f>AD109+AI109+Tableau5617192223242425262827293031333432353620383961719241822254140424344104746[[#This Row],[Int Commandé OT
€]]+AX109</f>
        <v>0</v>
      </c>
      <c r="S109" s="15">
        <f>AD109+AJ109+Tableau5617192223242425262827293031333432353620383961719241822254140424344104746[[#This Row],[Int Réalisé OT
€]]+AX109</f>
        <v>0</v>
      </c>
      <c r="T109" s="94" t="e">
        <f t="shared" si="22"/>
        <v>#REF!</v>
      </c>
      <c r="U10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0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09" s="12">
        <f>IFERROR(VLOOKUP(H109,#REF!,2,FALSE),0)</f>
        <v>0</v>
      </c>
      <c r="X109" s="13">
        <f>IFERROR(VLOOKUP(H109,#REF!,2,FALSE),0)</f>
        <v>0</v>
      </c>
      <c r="Y109" s="13">
        <f>IFERROR(VLOOKUP(H109,#REF!,3,FALSE),0)</f>
        <v>0</v>
      </c>
      <c r="Z10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145</v>
      </c>
      <c r="AA109" s="13">
        <f>IFERROR(VLOOKUP(H109,#REF!,18,FALSE),0)</f>
        <v>0</v>
      </c>
      <c r="AB109" s="13">
        <f>SUM(X109:Y109)-IFERROR(VLOOKUP(H109,#REF!,16,FALSE),0)-IFERROR(VLOOKUP(H109,#REF!,17,FALSE),0)</f>
        <v>0</v>
      </c>
      <c r="AC109" s="15" t="e">
        <f>VLOOKUP(Tableau5617192223242425262827293031333432353620383961719241822254140424344104746[[#This Row],[Num Projets]],#REF!,2,FALSE)</f>
        <v>#REF!</v>
      </c>
      <c r="AD109" s="15">
        <f>IFERROR(VLOOKUP(Tableau5617192223242425262827293031333432353620383961719241822254140424344104746[[#This Row],[Num Projets]],#REF!,2,FALSE),0)</f>
        <v>0</v>
      </c>
      <c r="AE109" s="8">
        <f t="shared" si="23"/>
        <v>6931</v>
      </c>
      <c r="AF109" s="22" t="e">
        <f t="shared" si="24"/>
        <v>#REF!</v>
      </c>
      <c r="AG109" s="8">
        <f>IFERROR(VLOOKUP(H109,#REF!,3,FALSE),0)+IFERROR(VLOOKUP(H109,#REF!,3,FALSE),0)</f>
        <v>0</v>
      </c>
      <c r="AH109" s="8">
        <f>IFERROR(VLOOKUP(Tableau5617192223242425262827293031333432353620383961719241822254140424344104746[[#This Row],[Num Projets]],#REF!,2,FALSE),0)</f>
        <v>0</v>
      </c>
      <c r="AI109" s="17">
        <f>+IFERROR(VLOOKUP(H109,#REF!,2,FALSE),0)-Tableau5617192223242425262827293031333432353620383961719241822254140424344104746[[#This Row],[Int Commandé OT
€]]</f>
        <v>0</v>
      </c>
      <c r="AJ109" s="8">
        <f>IFERROR(VLOOKUP(H109,#REF!,11,FALSE),0)-IFERROR(VLOOKUP(H109,#REF!,10,FALSE),0)+Tableau5617192223242425262827293031333432353620383961719241822254140424344104746[[#This Row],[dont FNP à date (€ HT)]]</f>
        <v>0</v>
      </c>
      <c r="AK109" s="15">
        <f t="shared" si="30"/>
        <v>0</v>
      </c>
      <c r="AL10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09" s="19">
        <f>IF(Tableau5617192223242425262827293031333432353620383961719241822254140424344104746[[#This Row],[RAF Achats M-1
€]]=0,0,AN109-AO109)</f>
        <v>0</v>
      </c>
      <c r="AN109" s="8">
        <f>IFERROR(VLOOKUP(H109,#REF!,31,FALSE),0)</f>
        <v>0</v>
      </c>
      <c r="AO109" s="8">
        <f>AI109+-IFERROR(VLOOKUP(H109,#REF!,27,FALSE),0)</f>
        <v>0</v>
      </c>
      <c r="AP109" s="20">
        <f>IFERROR(VLOOKUP(Tableau5617192223242425262827293031333432353620383961719241822254140424344104746[[#This Row],[Num Projets]],#REF!,2,FALSE),0)</f>
        <v>0</v>
      </c>
      <c r="AQ109" s="20">
        <f>_xlfn.XLOOKUP(H109,[2]Synth!$N:$N,[2]Synth!$O:$O,0,FALSE)+_xlfn.XLOOKUP(Tableau5617192223242425262827293031333432353620383961719241822254140424344104746[[#This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09" s="21">
        <v>0</v>
      </c>
      <c r="AS109" s="20">
        <f>+IFERROR(VLOOKUP(H109,#REF!,36,FALSE),0)</f>
        <v>0</v>
      </c>
      <c r="AT10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09" s="22">
        <f>IF(AG109=0,0,1-((AI109+AM109+Tableau5617192223242425262827293031333432353620383961719241822254140424344104746[[#This Row],[Int Commandé OT
€]]+Tableau5617192223242425262827293031333432353620383961719241822254140424344104746[[#This Row],[RAF Int OT
€]])/AG109))</f>
        <v>0</v>
      </c>
      <c r="AV109" s="8">
        <f>IFERROR(VLOOKUP(H109,#REF!,4,FALSE),0)+IFERROR(VLOOKUP(H109,#REF!,4,FALSE),0)</f>
        <v>0</v>
      </c>
      <c r="AW109" s="8">
        <f>IFERROR(VLOOKUP(Tableau5617192223242425262827293031333432353620383961719241822254140424344104746[[#This Row],[Num Projets]],#REF!,3,FALSE),0)</f>
        <v>0</v>
      </c>
      <c r="AX109" s="95">
        <f>IFERROR(VLOOKUP(Tableau5617192223242425262827293031333432353620383961719241822254140424344104746[[#This Row],[Num Projets]],#REF!,10,FALSE),0)</f>
        <v>0</v>
      </c>
      <c r="AY109" s="23">
        <f>Tableau5617192223242425262827293031333432353620383961719241822254140424344104746[[#This Row],[Budget Mission
 €]]/1.2-AX109</f>
        <v>0</v>
      </c>
      <c r="AZ109" s="8">
        <f>IFERROR(VLOOKUP(H109,#REF!,43,FALSE),0)</f>
        <v>0</v>
      </c>
      <c r="BA109" s="8">
        <f>AX109-IFERROR(VLOOKUP(H109,#REF!,42,FALSE),0)</f>
        <v>0</v>
      </c>
      <c r="BB109" s="47">
        <f t="shared" si="33"/>
        <v>0</v>
      </c>
      <c r="BC109" s="24">
        <f>IFERROR(VLOOKUP(H109,#REF!,47,FALSE),IFERROR(VLOOKUP(H109,#REF!,5,FALSE),0)+IFERROR(VLOOKUP(H109,#REF!,5,FALSE),0))</f>
        <v>0</v>
      </c>
      <c r="BD109" s="25">
        <f>IFERROR(VLOOKUP(H109,#REF!,2,FALSE),0)</f>
        <v>0</v>
      </c>
      <c r="BE109" s="25">
        <f>IFERROR(VLOOKUP(H109,#REF!,49,FALSE),0)</f>
        <v>0</v>
      </c>
      <c r="BF109" s="50" t="e">
        <f t="shared" si="25"/>
        <v>#REF!</v>
      </c>
      <c r="BG109" s="50">
        <f t="shared" si="26"/>
        <v>0</v>
      </c>
      <c r="BH109" s="27">
        <f>AE109+ (AI109-AJ109+AM109+Tableau5617192223242425262827293031333432353620383961719241822254140424344104746[[#This Row],[Int Commandé OT
€]]-Tableau5617192223242425262827293031333432353620383961719241822254140424344104746[[#This Row],[Int Réalisé OT
€]]+AR109) +AY109+BC109</f>
        <v>6931</v>
      </c>
      <c r="BI109" s="47">
        <f t="shared" si="37"/>
        <v>0</v>
      </c>
      <c r="BJ109" s="47" t="e">
        <f t="shared" si="27"/>
        <v>#REF!</v>
      </c>
      <c r="BK109" s="27" t="e">
        <f t="shared" si="28"/>
        <v>#REF!</v>
      </c>
      <c r="BL109" s="26" t="e">
        <f t="shared" si="29"/>
        <v>#REF!</v>
      </c>
      <c r="BM109" s="96">
        <f>IFERROR(VLOOKUP(H109,'[1]2023sep'!H:CA,54,FALSE),105)</f>
        <v>105</v>
      </c>
      <c r="BN109" s="29">
        <v>1</v>
      </c>
      <c r="BO109" s="30" t="e">
        <f>P109-AC109-AG109-AV109-Tableau5617192223242425262827293031333432353620383961719241822254140424344104746[[#This Row],[Provisions pour risques]]</f>
        <v>#REF!</v>
      </c>
      <c r="BP10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6931</v>
      </c>
      <c r="BQ10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09" s="97" t="e">
        <f t="shared" si="34"/>
        <v>#REF!</v>
      </c>
      <c r="BS109" s="34">
        <f>Tableau5617192223242425262827293031333432353620383961719241822254140424344104746[[#This Row],[Consommé global Enregistré à date (€ HT)]]-IFERROR(VLOOKUP(H109,#REF!,50,FALSE),0)</f>
        <v>0</v>
      </c>
      <c r="BT109" s="35" t="e">
        <f t="shared" si="35"/>
        <v>#REF!</v>
      </c>
      <c r="BU109" s="36">
        <f>BD109-IFERROR(VLOOKUP(H109,#REF!,47,FALSE),0)</f>
        <v>0</v>
      </c>
      <c r="BV109" s="37" t="e">
        <f>+BF109+Tableau5617192223242425262827293031333432353620383961719241822254140424344104746[[#This Row],[CA fin N-1]]-IFERROR(VLOOKUP(H109,#REF!,49,FALSE),0)-IFERROR(VLOOKUP(H109,#REF!,50,FALSE),0)</f>
        <v>#REF!</v>
      </c>
      <c r="BW109" s="33">
        <f>BG109-IFERROR(VLOOKUP(H109,#REF!,51,FALSE),0)</f>
        <v>0</v>
      </c>
      <c r="BX109" s="35" t="e">
        <f t="shared" si="36"/>
        <v>#REF!</v>
      </c>
      <c r="BY109" s="36">
        <f>BD109-IFERROR(VLOOKUP(H109,#REF!,48,FALSE),0)</f>
        <v>0</v>
      </c>
      <c r="BZ10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09" s="39" t="e">
        <f>VLOOKUP(Tableau5617192223242425262827293031333432353620383961719241822254140424344104746[[#This Row],[Num Projets]],#REF!,1,FALSE)</f>
        <v>#REF!</v>
      </c>
      <c r="CB109" s="40">
        <v>145</v>
      </c>
      <c r="CC109" s="40">
        <v>0</v>
      </c>
      <c r="CD10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-145</v>
      </c>
    </row>
    <row r="110" spans="1:82" ht="13.5" customHeight="1" x14ac:dyDescent="0.25">
      <c r="A110" s="313"/>
      <c r="B110" s="1"/>
      <c r="C110" s="2" t="e">
        <f>_xlfn.XLOOKUP(Tableau5617192223242425262827293031333432353620383961719241822254140424344104746[[#This Row],[Num Projets]],#REF!,#REF!,FALSE)</f>
        <v>#REF!</v>
      </c>
      <c r="D110" s="3" t="s">
        <v>6</v>
      </c>
      <c r="E110" s="3" t="e">
        <f>_xlfn.XLOOKUP(Tableau5617192223242425262827293031333432353620383961719241822254140424344104746[[#This Row],[Num Projets]],#REF!,#REF!,FALSE)</f>
        <v>#REF!</v>
      </c>
      <c r="F110" s="3" t="e">
        <f>_xlfn.XLOOKUP(Tableau5617192223242425262827293031333432353620383961719241822254140424344104746[[#This Row],[Num Projets]],#REF!,#REF!,"newavr",0)</f>
        <v>#REF!</v>
      </c>
      <c r="G110" s="3" t="s">
        <v>2</v>
      </c>
      <c r="H110" s="3" t="s">
        <v>227</v>
      </c>
      <c r="I11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0" s="4" t="e">
        <f>VLOOKUP(Tableau5617192223242425262827293031333432353620383961719241822254140424344104746[[#This Row],[Num Projets]],#REF!,36,FALSE)</f>
        <v>#REF!</v>
      </c>
      <c r="K110" s="5" t="s">
        <v>9</v>
      </c>
      <c r="L11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0" s="3" t="e">
        <f>SUBSTITUTE(_xlfn.XLOOKUP(Tableau5617192223242425262827293031333432353620383961719241822254140424344104746[[#This Row],[Num Projets]],#REF!,#REF!,FALSE)," ","")</f>
        <v>#REF!</v>
      </c>
      <c r="N110" s="7" t="e">
        <f>VLOOKUP(H110,#REF!,7,FALSE)</f>
        <v>#REF!</v>
      </c>
      <c r="O110" s="7" t="e">
        <f>IF(VLOOKUP(H110,#REF!,27,FALSE)=0,"",VLOOKUP(H110,#REF!,27,FALSE))</f>
        <v>#REF!</v>
      </c>
      <c r="P110" s="8" t="e">
        <f>VLOOKUP(H110,#REF!,2,FALSE)</f>
        <v>#REF!</v>
      </c>
      <c r="Q110" s="9" t="e">
        <f>Tableau5617192223242425262827293031333432353620383961719241822254140424344104746[[#This Row],[Total Budget
€]]-IFERROR(VLOOKUP(H110,#REF!,8,FALSE),0)</f>
        <v>#REF!</v>
      </c>
      <c r="R110" s="15">
        <f>AD110+AI110+Tableau5617192223242425262827293031333432353620383961719241822254140424344104746[[#This Row],[Int Commandé OT
€]]+AX110</f>
        <v>0</v>
      </c>
      <c r="S110" s="15">
        <f>AD110+AJ110+Tableau5617192223242425262827293031333432353620383961719241822254140424344104746[[#This Row],[Int Réalisé OT
€]]+AX110</f>
        <v>0</v>
      </c>
      <c r="T110" s="94" t="e">
        <f t="shared" si="22"/>
        <v>#REF!</v>
      </c>
      <c r="U11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0" s="12">
        <f>IFERROR(VLOOKUP(H110,#REF!,2,FALSE),0)</f>
        <v>0</v>
      </c>
      <c r="X110" s="13">
        <f>IFERROR(VLOOKUP(H110,#REF!,2,FALSE),0)</f>
        <v>0</v>
      </c>
      <c r="Y110" s="13">
        <f>IFERROR(VLOOKUP(H110,#REF!,3,FALSE),0)</f>
        <v>0</v>
      </c>
      <c r="Z11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175</v>
      </c>
      <c r="AA110" s="13">
        <f>IFERROR(VLOOKUP(H110,#REF!,18,FALSE),0)</f>
        <v>0</v>
      </c>
      <c r="AB110" s="13">
        <f>SUM(X110:Y110)-IFERROR(VLOOKUP(H110,#REF!,16,FALSE),0)-IFERROR(VLOOKUP(H110,#REF!,17,FALSE),0)</f>
        <v>0</v>
      </c>
      <c r="AC110" s="15" t="e">
        <f>VLOOKUP(Tableau5617192223242425262827293031333432353620383961719241822254140424344104746[[#This Row],[Num Projets]],#REF!,2,FALSE)</f>
        <v>#REF!</v>
      </c>
      <c r="AD110" s="15">
        <f>IFERROR(VLOOKUP(Tableau5617192223242425262827293031333432353620383961719241822254140424344104746[[#This Row],[Num Projets]],#REF!,2,FALSE),0)</f>
        <v>0</v>
      </c>
      <c r="AE110" s="8">
        <f t="shared" si="23"/>
        <v>8365</v>
      </c>
      <c r="AF110" s="22" t="e">
        <f t="shared" si="24"/>
        <v>#REF!</v>
      </c>
      <c r="AG110" s="8">
        <f>IFERROR(VLOOKUP(H110,#REF!,3,FALSE),0)+IFERROR(VLOOKUP(H110,#REF!,3,FALSE),0)</f>
        <v>0</v>
      </c>
      <c r="AH110" s="8">
        <f>IFERROR(VLOOKUP(Tableau5617192223242425262827293031333432353620383961719241822254140424344104746[[#This Row],[Num Projets]],#REF!,2,FALSE),0)</f>
        <v>0</v>
      </c>
      <c r="AI110" s="17">
        <f>+IFERROR(VLOOKUP(H110,#REF!,2,FALSE),0)-Tableau5617192223242425262827293031333432353620383961719241822254140424344104746[[#This Row],[Int Commandé OT
€]]</f>
        <v>0</v>
      </c>
      <c r="AJ110" s="8">
        <f>IFERROR(VLOOKUP(H110,#REF!,11,FALSE),0)-IFERROR(VLOOKUP(H110,#REF!,10,FALSE),0)+Tableau5617192223242425262827293031333432353620383961719241822254140424344104746[[#This Row],[dont FNP à date (€ HT)]]</f>
        <v>0</v>
      </c>
      <c r="AK110" s="23">
        <f t="shared" si="30"/>
        <v>0</v>
      </c>
      <c r="AL11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0" s="19">
        <f>IF(Tableau5617192223242425262827293031333432353620383961719241822254140424344104746[[#This Row],[RAF Achats M-1
€]]=0,0,AN110-AO110)</f>
        <v>0</v>
      </c>
      <c r="AN110" s="8">
        <f>IFERROR(VLOOKUP(H110,#REF!,31,FALSE),0)</f>
        <v>0</v>
      </c>
      <c r="AO110" s="8">
        <f>AI110+-IFERROR(VLOOKUP(H110,#REF!,27,FALSE),0)</f>
        <v>0</v>
      </c>
      <c r="AP110" s="20">
        <f>IFERROR(VLOOKUP(Tableau5617192223242425262827293031333432353620383961719241822254140424344104746[[#This Row],[Num Projets]],#REF!,2,FALSE),0)</f>
        <v>0</v>
      </c>
      <c r="AQ110" s="20">
        <f>_xlfn.XLOOKUP(H110,[2]Synth!$N:$N,[2]Synth!$O:$O,0,FALSE)+_xlfn.XLOOKUP(Tableau5617192223242425262827293031333432353620383961719241822254140424344104746[[#This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0" s="21">
        <v>0</v>
      </c>
      <c r="AS110" s="20">
        <f>+IFERROR(VLOOKUP(H110,#REF!,36,FALSE),0)</f>
        <v>0</v>
      </c>
      <c r="AT11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0" s="22">
        <f>IF(AG110=0,0,1-((AI110+AM110+Tableau5617192223242425262827293031333432353620383961719241822254140424344104746[[#This Row],[Int Commandé OT
€]]+Tableau5617192223242425262827293031333432353620383961719241822254140424344104746[[#This Row],[RAF Int OT
€]])/AG110))</f>
        <v>0</v>
      </c>
      <c r="AV110" s="8">
        <f>IFERROR(VLOOKUP(H110,#REF!,4,FALSE),0)+IFERROR(VLOOKUP(H110,#REF!,4,FALSE),0)</f>
        <v>0</v>
      </c>
      <c r="AW110" s="8">
        <f>IFERROR(VLOOKUP(Tableau5617192223242425262827293031333432353620383961719241822254140424344104746[[#This Row],[Num Projets]],#REF!,3,FALSE),0)</f>
        <v>0</v>
      </c>
      <c r="AX110" s="95">
        <f>IFERROR(VLOOKUP(Tableau5617192223242425262827293031333432353620383961719241822254140424344104746[[#This Row],[Num Projets]],#REF!,10,FALSE),0)</f>
        <v>0</v>
      </c>
      <c r="AY110" s="23">
        <f>Tableau5617192223242425262827293031333432353620383961719241822254140424344104746[[#This Row],[Budget Mission
 €]]/1.2-AX110</f>
        <v>0</v>
      </c>
      <c r="AZ110" s="8">
        <f>IFERROR(VLOOKUP(H110,#REF!,43,FALSE),0)</f>
        <v>0</v>
      </c>
      <c r="BA110" s="8">
        <f>AX110-IFERROR(VLOOKUP(H110,#REF!,42,FALSE),0)</f>
        <v>0</v>
      </c>
      <c r="BB110" s="47">
        <f t="shared" si="33"/>
        <v>0</v>
      </c>
      <c r="BC110" s="24">
        <f>IFERROR(VLOOKUP(H110,#REF!,47,FALSE),IFERROR(VLOOKUP(H110,#REF!,5,FALSE),0)+IFERROR(VLOOKUP(H110,#REF!,5,FALSE),0))</f>
        <v>0</v>
      </c>
      <c r="BD110" s="25">
        <f>IFERROR(VLOOKUP(H110,#REF!,2,FALSE),0)</f>
        <v>0</v>
      </c>
      <c r="BE110" s="25">
        <f>IFERROR(VLOOKUP(H110,#REF!,49,FALSE),0)</f>
        <v>0</v>
      </c>
      <c r="BF110" s="50" t="e">
        <f t="shared" si="25"/>
        <v>#REF!</v>
      </c>
      <c r="BG110" s="50">
        <f t="shared" si="26"/>
        <v>0</v>
      </c>
      <c r="BH110" s="27">
        <f>AE110+ (AI110-AJ110+AM110+Tableau5617192223242425262827293031333432353620383961719241822254140424344104746[[#This Row],[Int Commandé OT
€]]-Tableau5617192223242425262827293031333432353620383961719241822254140424344104746[[#This Row],[Int Réalisé OT
€]]+AR110) +AY110+BC110</f>
        <v>8365</v>
      </c>
      <c r="BI110" s="89" t="e">
        <f>IF((BG110/(BG110+BH110))&lt;VLOOKUP(Tableau5617192223242425262827293031333432353620383961719241822254140424344104746[[#This Row],[Num Projets]],#REF!,53,FALSE),VLOOKUP(Tableau5617192223242425262827293031333432353620383961719241822254140424344104746[[#This Row],[Num Projets]],#REF!,53,FALSE),BG110/(BG110+BH110))</f>
        <v>#REF!</v>
      </c>
      <c r="BJ110" s="47" t="e">
        <f t="shared" si="27"/>
        <v>#REF!</v>
      </c>
      <c r="BK110" s="27" t="e">
        <f t="shared" si="28"/>
        <v>#REF!</v>
      </c>
      <c r="BL110" s="26" t="e">
        <f t="shared" si="29"/>
        <v>#REF!</v>
      </c>
      <c r="BM110" s="96">
        <f>IFERROR(VLOOKUP(H110,'[1]2023sep'!H:CA,54,FALSE),105)</f>
        <v>105</v>
      </c>
      <c r="BN110" s="29">
        <v>1</v>
      </c>
      <c r="BO110" s="30" t="e">
        <f>P110-AC110-AG110-AV110-Tableau5617192223242425262827293031333432353620383961719241822254140424344104746[[#This Row],[Provisions pour risques]]</f>
        <v>#REF!</v>
      </c>
      <c r="BP11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8365</v>
      </c>
      <c r="BQ11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10" s="97" t="e">
        <f t="shared" si="34"/>
        <v>#REF!</v>
      </c>
      <c r="BS110" s="34">
        <f>Tableau5617192223242425262827293031333432353620383961719241822254140424344104746[[#This Row],[Consommé global Enregistré à date (€ HT)]]-IFERROR(VLOOKUP(H110,#REF!,50,FALSE),0)</f>
        <v>0</v>
      </c>
      <c r="BT110" s="35" t="e">
        <f t="shared" si="35"/>
        <v>#REF!</v>
      </c>
      <c r="BU110" s="36">
        <f>BD110-IFERROR(VLOOKUP(H110,#REF!,47,FALSE),0)</f>
        <v>0</v>
      </c>
      <c r="BV110" s="37" t="e">
        <f>+BF110+Tableau5617192223242425262827293031333432353620383961719241822254140424344104746[[#This Row],[CA fin N-1]]-IFERROR(VLOOKUP(H110,#REF!,49,FALSE),0)-IFERROR(VLOOKUP(H110,#REF!,50,FALSE),0)</f>
        <v>#REF!</v>
      </c>
      <c r="BW110" s="33">
        <f>BG110-IFERROR(VLOOKUP(H110,#REF!,51,FALSE),0)</f>
        <v>0</v>
      </c>
      <c r="BX110" s="35" t="e">
        <f t="shared" si="36"/>
        <v>#REF!</v>
      </c>
      <c r="BY110" s="36">
        <f>BD110-IFERROR(VLOOKUP(H110,#REF!,48,FALSE),0)</f>
        <v>0</v>
      </c>
      <c r="BZ11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0" s="39" t="e">
        <f>VLOOKUP(Tableau5617192223242425262827293031333432353620383961719241822254140424344104746[[#This Row],[Num Projets]],#REF!,1,FALSE)</f>
        <v>#REF!</v>
      </c>
      <c r="CB110" s="40">
        <v>172</v>
      </c>
      <c r="CC110" s="40">
        <v>3</v>
      </c>
      <c r="CD11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-172</v>
      </c>
    </row>
    <row r="111" spans="1:82" ht="13.5" customHeight="1" x14ac:dyDescent="0.25">
      <c r="A111" s="311"/>
      <c r="B111" s="1"/>
      <c r="C111" s="2" t="e">
        <f>_xlfn.XLOOKUP(Tableau5617192223242425262827293031333432353620383961719241822254140424344104746[[#This Row],[Num Projets]],#REF!,#REF!,FALSE)</f>
        <v>#REF!</v>
      </c>
      <c r="D111" s="3" t="s">
        <v>6</v>
      </c>
      <c r="E111" s="3" t="e">
        <f>_xlfn.XLOOKUP(Tableau5617192223242425262827293031333432353620383961719241822254140424344104746[[#This Row],[Num Projets]],#REF!,#REF!,FALSE)</f>
        <v>#REF!</v>
      </c>
      <c r="F111" s="3" t="e">
        <f>_xlfn.XLOOKUP(Tableau5617192223242425262827293031333432353620383961719241822254140424344104746[[#This Row],[Num Projets]],#REF!,#REF!,"newavr",0)</f>
        <v>#REF!</v>
      </c>
      <c r="G111" s="3" t="s">
        <v>2</v>
      </c>
      <c r="H111" s="3" t="s">
        <v>228</v>
      </c>
      <c r="I11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1" s="4" t="e">
        <f>VLOOKUP(Tableau5617192223242425262827293031333432353620383961719241822254140424344104746[[#This Row],[Num Projets]],#REF!,36,FALSE)</f>
        <v>#REF!</v>
      </c>
      <c r="K111" s="5" t="s">
        <v>9</v>
      </c>
      <c r="L11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1" s="3" t="e">
        <f>SUBSTITUTE(_xlfn.XLOOKUP(Tableau5617192223242425262827293031333432353620383961719241822254140424344104746[[#This Row],[Num Projets]],#REF!,#REF!,FALSE)," ","")</f>
        <v>#REF!</v>
      </c>
      <c r="N111" s="7" t="e">
        <f>VLOOKUP(H111,#REF!,7,FALSE)</f>
        <v>#REF!</v>
      </c>
      <c r="O111" s="7" t="e">
        <f>IF(VLOOKUP(H111,#REF!,27,FALSE)=0,"",VLOOKUP(H111,#REF!,27,FALSE))</f>
        <v>#REF!</v>
      </c>
      <c r="P111" s="8" t="e">
        <f>VLOOKUP(H111,#REF!,2,FALSE)</f>
        <v>#REF!</v>
      </c>
      <c r="Q111" s="9" t="e">
        <f>Tableau5617192223242425262827293031333432353620383961719241822254140424344104746[[#This Row],[Total Budget
€]]-IFERROR(VLOOKUP(H111,#REF!,8,FALSE),0)</f>
        <v>#REF!</v>
      </c>
      <c r="R111" s="15">
        <f>AD111+AI111+Tableau5617192223242425262827293031333432353620383961719241822254140424344104746[[#This Row],[Int Commandé OT
€]]+AX111</f>
        <v>0</v>
      </c>
      <c r="S111" s="15">
        <f>AD111+AJ111+Tableau5617192223242425262827293031333432353620383961719241822254140424344104746[[#This Row],[Int Réalisé OT
€]]+AX111</f>
        <v>0</v>
      </c>
      <c r="T111" s="94" t="e">
        <f t="shared" si="22"/>
        <v>#REF!</v>
      </c>
      <c r="U11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1" s="12">
        <f>IFERROR(VLOOKUP(H111,#REF!,2,FALSE),0)</f>
        <v>0</v>
      </c>
      <c r="X111" s="13">
        <f>IFERROR(VLOOKUP(H111,#REF!,2,FALSE),0)</f>
        <v>0</v>
      </c>
      <c r="Y111" s="13">
        <f>IFERROR(VLOOKUP(H111,#REF!,3,FALSE),0)</f>
        <v>0</v>
      </c>
      <c r="Z11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</v>
      </c>
      <c r="AA111" s="13">
        <f>IFERROR(VLOOKUP(H111,#REF!,18,FALSE),0)</f>
        <v>0</v>
      </c>
      <c r="AB111" s="13">
        <f>SUM(X111:Y111)-IFERROR(VLOOKUP(H111,#REF!,16,FALSE),0)-IFERROR(VLOOKUP(H111,#REF!,17,FALSE),0)</f>
        <v>0</v>
      </c>
      <c r="AC111" s="15" t="e">
        <f>VLOOKUP(Tableau5617192223242425262827293031333432353620383961719241822254140424344104746[[#This Row],[Num Projets]],#REF!,2,FALSE)</f>
        <v>#REF!</v>
      </c>
      <c r="AD111" s="15">
        <f>IFERROR(VLOOKUP(Tableau5617192223242425262827293031333432353620383961719241822254140424344104746[[#This Row],[Num Projets]],#REF!,2,FALSE),0)</f>
        <v>0</v>
      </c>
      <c r="AE111" s="8">
        <f t="shared" si="23"/>
        <v>1529.6</v>
      </c>
      <c r="AF111" s="22" t="e">
        <f t="shared" si="24"/>
        <v>#REF!</v>
      </c>
      <c r="AG111" s="8">
        <f>IFERROR(VLOOKUP(H111,#REF!,3,FALSE),0)+IFERROR(VLOOKUP(H111,#REF!,3,FALSE),0)</f>
        <v>0</v>
      </c>
      <c r="AH111" s="8">
        <f>IFERROR(VLOOKUP(Tableau5617192223242425262827293031333432353620383961719241822254140424344104746[[#This Row],[Num Projets]],#REF!,2,FALSE),0)</f>
        <v>0</v>
      </c>
      <c r="AI111" s="17">
        <f>+IFERROR(VLOOKUP(H111,#REF!,2,FALSE),0)-Tableau5617192223242425262827293031333432353620383961719241822254140424344104746[[#This Row],[Int Commandé OT
€]]</f>
        <v>0</v>
      </c>
      <c r="AJ111" s="8">
        <f>IFERROR(VLOOKUP(H111,#REF!,11,FALSE),0)-IFERROR(VLOOKUP(H111,#REF!,10,FALSE),0)+Tableau5617192223242425262827293031333432353620383961719241822254140424344104746[[#This Row],[dont FNP à date (€ HT)]]</f>
        <v>0</v>
      </c>
      <c r="AK111" s="15">
        <f t="shared" si="30"/>
        <v>0</v>
      </c>
      <c r="AL11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1" s="19">
        <f>IF(Tableau5617192223242425262827293031333432353620383961719241822254140424344104746[[#This Row],[RAF Achats M-1
€]]=0,0,AN111-AO111)</f>
        <v>0</v>
      </c>
      <c r="AN111" s="8">
        <f>IFERROR(VLOOKUP(H111,#REF!,31,FALSE),0)</f>
        <v>0</v>
      </c>
      <c r="AO111" s="8">
        <f>AI111+-IFERROR(VLOOKUP(H111,#REF!,27,FALSE),0)</f>
        <v>0</v>
      </c>
      <c r="AP111" s="20">
        <f>IFERROR(VLOOKUP(Tableau5617192223242425262827293031333432353620383961719241822254140424344104746[[#This Row],[Num Projets]],#REF!,2,FALSE),0)</f>
        <v>0</v>
      </c>
      <c r="AQ111" s="20">
        <f>_xlfn.XLOOKUP(H111,[2]Synth!$N:$N,[2]Synth!$O:$O,0,FALSE)+_xlfn.XLOOKUP(Tableau5617192223242425262827293031333432353620383961719241822254140424344104746[[#This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1" s="21">
        <v>0</v>
      </c>
      <c r="AS111" s="20">
        <f>+IFERROR(VLOOKUP(H111,#REF!,36,FALSE),0)</f>
        <v>0</v>
      </c>
      <c r="AT11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1" s="22">
        <f>IF(AG111=0,0,1-((AI111+AM111+Tableau5617192223242425262827293031333432353620383961719241822254140424344104746[[#This Row],[Int Commandé OT
€]]+Tableau5617192223242425262827293031333432353620383961719241822254140424344104746[[#This Row],[RAF Int OT
€]])/AG111))</f>
        <v>0</v>
      </c>
      <c r="AV111" s="8">
        <f>IFERROR(VLOOKUP(H111,#REF!,4,FALSE),0)+IFERROR(VLOOKUP(H111,#REF!,4,FALSE),0)</f>
        <v>0</v>
      </c>
      <c r="AW111" s="8">
        <f>IFERROR(VLOOKUP(Tableau5617192223242425262827293031333432353620383961719241822254140424344104746[[#This Row],[Num Projets]],#REF!,3,FALSE),0)</f>
        <v>0</v>
      </c>
      <c r="AX111" s="95">
        <f>IFERROR(VLOOKUP(Tableau5617192223242425262827293031333432353620383961719241822254140424344104746[[#This Row],[Num Projets]],#REF!,10,FALSE),0)</f>
        <v>0</v>
      </c>
      <c r="AY111" s="23">
        <f>Tableau5617192223242425262827293031333432353620383961719241822254140424344104746[[#This Row],[Budget Mission
 €]]/1.2-AX111</f>
        <v>0</v>
      </c>
      <c r="AZ111" s="8">
        <f>IFERROR(VLOOKUP(H111,#REF!,43,FALSE),0)</f>
        <v>0</v>
      </c>
      <c r="BA111" s="8">
        <f>AX111-IFERROR(VLOOKUP(H111,#REF!,42,FALSE),0)</f>
        <v>0</v>
      </c>
      <c r="BB111" s="47">
        <f t="shared" si="33"/>
        <v>0</v>
      </c>
      <c r="BC111" s="24">
        <f>IFERROR(VLOOKUP(H111,#REF!,47,FALSE),IFERROR(VLOOKUP(H111,#REF!,5,FALSE),0)+IFERROR(VLOOKUP(H111,#REF!,5,FALSE),0))</f>
        <v>0</v>
      </c>
      <c r="BD111" s="25">
        <f>IFERROR(VLOOKUP(H111,#REF!,2,FALSE),0)</f>
        <v>0</v>
      </c>
      <c r="BE111" s="25">
        <f>IFERROR(VLOOKUP(H111,#REF!,49,FALSE),0)</f>
        <v>0</v>
      </c>
      <c r="BF111" s="50" t="e">
        <f t="shared" si="25"/>
        <v>#REF!</v>
      </c>
      <c r="BG111" s="50">
        <f t="shared" si="26"/>
        <v>0</v>
      </c>
      <c r="BH111" s="27">
        <f>AE111+ (AI111-AJ111+AM111+Tableau5617192223242425262827293031333432353620383961719241822254140424344104746[[#This Row],[Int Commandé OT
€]]-Tableau5617192223242425262827293031333432353620383961719241822254140424344104746[[#This Row],[Int Réalisé OT
€]]+AR111) +AY111+BC111</f>
        <v>1529.6</v>
      </c>
      <c r="BI111" s="47">
        <f t="shared" si="37"/>
        <v>0</v>
      </c>
      <c r="BJ111" s="47" t="e">
        <f t="shared" si="27"/>
        <v>#REF!</v>
      </c>
      <c r="BK111" s="27" t="e">
        <f t="shared" si="28"/>
        <v>#REF!</v>
      </c>
      <c r="BL111" s="26" t="e">
        <f t="shared" si="29"/>
        <v>#REF!</v>
      </c>
      <c r="BM111" s="96">
        <f>IFERROR(VLOOKUP(H111,'[1]2023sep'!H:CA,54,FALSE),105)</f>
        <v>105</v>
      </c>
      <c r="BN111" s="29">
        <v>1</v>
      </c>
      <c r="BO111" s="30" t="e">
        <f>P111-AC111-AG111-AV111-Tableau5617192223242425262827293031333432353620383961719241822254140424344104746[[#This Row],[Provisions pour risques]]</f>
        <v>#REF!</v>
      </c>
      <c r="BP11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1529.6</v>
      </c>
      <c r="BQ11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11" s="97" t="e">
        <f t="shared" si="34"/>
        <v>#REF!</v>
      </c>
      <c r="BS111" s="34">
        <f>Tableau5617192223242425262827293031333432353620383961719241822254140424344104746[[#This Row],[Consommé global Enregistré à date (€ HT)]]-IFERROR(VLOOKUP(H111,#REF!,50,FALSE),0)</f>
        <v>0</v>
      </c>
      <c r="BT111" s="35" t="e">
        <f t="shared" si="35"/>
        <v>#REF!</v>
      </c>
      <c r="BU111" s="36">
        <f>BD111-IFERROR(VLOOKUP(H111,#REF!,47,FALSE),0)</f>
        <v>0</v>
      </c>
      <c r="BV111" s="37" t="e">
        <f>+BF111+Tableau5617192223242425262827293031333432353620383961719241822254140424344104746[[#This Row],[CA fin N-1]]-IFERROR(VLOOKUP(H111,#REF!,49,FALSE),0)-IFERROR(VLOOKUP(H111,#REF!,50,FALSE),0)</f>
        <v>#REF!</v>
      </c>
      <c r="BW111" s="33">
        <f>BG111-IFERROR(VLOOKUP(H111,#REF!,51,FALSE),0)</f>
        <v>0</v>
      </c>
      <c r="BX111" s="35" t="e">
        <f t="shared" si="36"/>
        <v>#REF!</v>
      </c>
      <c r="BY111" s="36">
        <f>BD111-IFERROR(VLOOKUP(H111,#REF!,48,FALSE),0)</f>
        <v>0</v>
      </c>
      <c r="BZ11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1" s="39" t="e">
        <f>VLOOKUP(Tableau5617192223242425262827293031333432353620383961719241822254140424344104746[[#This Row],[Num Projets]],#REF!,1,FALSE)</f>
        <v>#REF!</v>
      </c>
      <c r="CB111" s="40">
        <v>32</v>
      </c>
      <c r="CC111" s="40">
        <v>0</v>
      </c>
      <c r="CD11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-32</v>
      </c>
    </row>
    <row r="112" spans="1:82" ht="13.5" customHeight="1" x14ac:dyDescent="0.25">
      <c r="A112" s="311"/>
      <c r="B112" s="1"/>
      <c r="C112" s="2" t="e">
        <f>_xlfn.XLOOKUP(Tableau5617192223242425262827293031333432353620383961719241822254140424344104746[[#This Row],[Num Projets]],#REF!,#REF!,FALSE)</f>
        <v>#REF!</v>
      </c>
      <c r="D112" s="3" t="s">
        <v>1</v>
      </c>
      <c r="E112" s="3" t="e">
        <f>_xlfn.XLOOKUP(Tableau5617192223242425262827293031333432353620383961719241822254140424344104746[[#This Row],[Num Projets]],#REF!,#REF!,FALSE)</f>
        <v>#REF!</v>
      </c>
      <c r="F112" s="3" t="e">
        <f>_xlfn.XLOOKUP(Tableau5617192223242425262827293031333432353620383961719241822254140424344104746[[#This Row],[Num Projets]],#REF!,#REF!,"newavr",0)</f>
        <v>#REF!</v>
      </c>
      <c r="G112" s="3" t="s">
        <v>31</v>
      </c>
      <c r="H112" s="3" t="s">
        <v>229</v>
      </c>
      <c r="I11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2" s="4" t="e">
        <f>VLOOKUP(Tableau5617192223242425262827293031333432353620383961719241822254140424344104746[[#This Row],[Num Projets]],#REF!,36,FALSE)</f>
        <v>#REF!</v>
      </c>
      <c r="K112" s="5" t="s">
        <v>21</v>
      </c>
      <c r="L11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2" s="3" t="e">
        <f>SUBSTITUTE(_xlfn.XLOOKUP(Tableau5617192223242425262827293031333432353620383961719241822254140424344104746[[#This Row],[Num Projets]],#REF!,#REF!,FALSE)," ","")</f>
        <v>#REF!</v>
      </c>
      <c r="N112" s="7" t="e">
        <f>VLOOKUP(H112,#REF!,7,FALSE)</f>
        <v>#REF!</v>
      </c>
      <c r="O112" s="7" t="e">
        <f>IF(VLOOKUP(H112,#REF!,27,FALSE)=0,"",VLOOKUP(H112,#REF!,27,FALSE))</f>
        <v>#REF!</v>
      </c>
      <c r="P112" s="8" t="e">
        <f>VLOOKUP(H112,#REF!,2,FALSE)</f>
        <v>#REF!</v>
      </c>
      <c r="Q112" s="9" t="e">
        <f>Tableau5617192223242425262827293031333432353620383961719241822254140424344104746[[#This Row],[Total Budget
€]]-IFERROR(VLOOKUP(H112,#REF!,8,FALSE),0)</f>
        <v>#REF!</v>
      </c>
      <c r="R112" s="15">
        <f>AD112+AI112+Tableau5617192223242425262827293031333432353620383961719241822254140424344104746[[#This Row],[Int Commandé OT
€]]+AX112</f>
        <v>0</v>
      </c>
      <c r="S112" s="15">
        <f>AD112+AJ112+Tableau5617192223242425262827293031333432353620383961719241822254140424344104746[[#This Row],[Int Réalisé OT
€]]+AX112</f>
        <v>0</v>
      </c>
      <c r="T112" s="94" t="e">
        <f t="shared" si="22"/>
        <v>#REF!</v>
      </c>
      <c r="U11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2" s="12">
        <f>IFERROR(VLOOKUP(H112,#REF!,2,FALSE),0)</f>
        <v>0</v>
      </c>
      <c r="X112" s="13">
        <f>IFERROR(VLOOKUP(H112,#REF!,2,FALSE),0)</f>
        <v>0</v>
      </c>
      <c r="Y112" s="13">
        <f>IFERROR(VLOOKUP(H112,#REF!,3,FALSE),0)</f>
        <v>0</v>
      </c>
      <c r="Z11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112" s="13">
        <f>IFERROR(VLOOKUP(H112,#REF!,18,FALSE),0)</f>
        <v>0</v>
      </c>
      <c r="AB112" s="13">
        <f>SUM(X112:Y112)-IFERROR(VLOOKUP(H112,#REF!,16,FALSE),0)-IFERROR(VLOOKUP(H112,#REF!,17,FALSE),0)</f>
        <v>0</v>
      </c>
      <c r="AC112" s="15" t="e">
        <f>VLOOKUP(Tableau5617192223242425262827293031333432353620383961719241822254140424344104746[[#This Row],[Num Projets]],#REF!,2,FALSE)</f>
        <v>#REF!</v>
      </c>
      <c r="AD112" s="15">
        <f>IFERROR(VLOOKUP(Tableau5617192223242425262827293031333432353620383961719241822254140424344104746[[#This Row],[Num Projets]],#REF!,2,FALSE),0)</f>
        <v>0</v>
      </c>
      <c r="AE112" s="8">
        <f t="shared" si="23"/>
        <v>0</v>
      </c>
      <c r="AF112" s="22" t="e">
        <f t="shared" si="24"/>
        <v>#REF!</v>
      </c>
      <c r="AG112" s="8">
        <f>IFERROR(VLOOKUP(H112,#REF!,3,FALSE),0)+IFERROR(VLOOKUP(H112,#REF!,3,FALSE),0)</f>
        <v>0</v>
      </c>
      <c r="AH112" s="8">
        <f>IFERROR(VLOOKUP(Tableau5617192223242425262827293031333432353620383961719241822254140424344104746[[#This Row],[Num Projets]],#REF!,2,FALSE),0)</f>
        <v>0</v>
      </c>
      <c r="AI112" s="17">
        <f>+IFERROR(VLOOKUP(H112,#REF!,2,FALSE),0)-Tableau5617192223242425262827293031333432353620383961719241822254140424344104746[[#This Row],[Int Commandé OT
€]]</f>
        <v>0</v>
      </c>
      <c r="AJ112" s="8">
        <f>IFERROR(VLOOKUP(H112,#REF!,11,FALSE),0)-IFERROR(VLOOKUP(H112,#REF!,10,FALSE),0)+Tableau5617192223242425262827293031333432353620383961719241822254140424344104746[[#This Row],[dont FNP à date (€ HT)]]</f>
        <v>0</v>
      </c>
      <c r="AK112" s="15">
        <f t="shared" si="30"/>
        <v>0</v>
      </c>
      <c r="AL11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2" s="19">
        <f>IF(Tableau5617192223242425262827293031333432353620383961719241822254140424344104746[[#This Row],[RAF Achats M-1
€]]=0,0,AN112-AO112)</f>
        <v>0</v>
      </c>
      <c r="AN112" s="8">
        <f>IFERROR(VLOOKUP(H112,#REF!,31,FALSE),0)</f>
        <v>0</v>
      </c>
      <c r="AO112" s="8">
        <f>AI112+-IFERROR(VLOOKUP(H112,#REF!,27,FALSE),0)</f>
        <v>0</v>
      </c>
      <c r="AP112" s="20">
        <f>IFERROR(VLOOKUP(Tableau5617192223242425262827293031333432353620383961719241822254140424344104746[[#This Row],[Num Projets]],#REF!,2,FALSE),0)</f>
        <v>0</v>
      </c>
      <c r="AQ112" s="20">
        <f>_xlfn.XLOOKUP(H112,[2]Synth!$N:$N,[2]Synth!$O:$O,0,FALSE)+_xlfn.XLOOKUP(Tableau5617192223242425262827293031333432353620383961719241822254140424344104746[[#This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2" s="21">
        <v>0</v>
      </c>
      <c r="AS112" s="20">
        <f>+IFERROR(VLOOKUP(H112,#REF!,36,FALSE),0)</f>
        <v>0</v>
      </c>
      <c r="AT11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2" s="22">
        <f>IF(AG112=0,0,1-((AI112+AM112+Tableau5617192223242425262827293031333432353620383961719241822254140424344104746[[#This Row],[Int Commandé OT
€]]+Tableau5617192223242425262827293031333432353620383961719241822254140424344104746[[#This Row],[RAF Int OT
€]])/AG112))</f>
        <v>0</v>
      </c>
      <c r="AV112" s="8">
        <f>IFERROR(VLOOKUP(H112,#REF!,4,FALSE),0)+IFERROR(VLOOKUP(H112,#REF!,4,FALSE),0)</f>
        <v>0</v>
      </c>
      <c r="AW112" s="8">
        <f>IFERROR(VLOOKUP(Tableau5617192223242425262827293031333432353620383961719241822254140424344104746[[#This Row],[Num Projets]],#REF!,3,FALSE),0)</f>
        <v>0</v>
      </c>
      <c r="AX112" s="95">
        <f>IFERROR(VLOOKUP(Tableau5617192223242425262827293031333432353620383961719241822254140424344104746[[#This Row],[Num Projets]],#REF!,10,FALSE),0)</f>
        <v>0</v>
      </c>
      <c r="AY112" s="23">
        <f>Tableau5617192223242425262827293031333432353620383961719241822254140424344104746[[#This Row],[Budget Mission
 €]]/1.2-AX112</f>
        <v>0</v>
      </c>
      <c r="AZ112" s="8">
        <f>IFERROR(VLOOKUP(H112,#REF!,43,FALSE),0)</f>
        <v>0</v>
      </c>
      <c r="BA112" s="8">
        <f>AX112-IFERROR(VLOOKUP(H112,#REF!,42,FALSE),0)</f>
        <v>0</v>
      </c>
      <c r="BB112" s="47">
        <f t="shared" si="33"/>
        <v>0</v>
      </c>
      <c r="BC112" s="24">
        <f>IFERROR(VLOOKUP(H112,#REF!,47,FALSE),IFERROR(VLOOKUP(H112,#REF!,5,FALSE),0)+IFERROR(VLOOKUP(H112,#REF!,5,FALSE),0))</f>
        <v>0</v>
      </c>
      <c r="BD112" s="25">
        <f>IFERROR(VLOOKUP(H112,#REF!,2,FALSE),0)</f>
        <v>0</v>
      </c>
      <c r="BE112" s="25">
        <f>IFERROR(VLOOKUP(H112,#REF!,49,FALSE),0)</f>
        <v>0</v>
      </c>
      <c r="BF112" s="50" t="e">
        <f t="shared" si="25"/>
        <v>#REF!</v>
      </c>
      <c r="BG112" s="50">
        <f t="shared" si="26"/>
        <v>0</v>
      </c>
      <c r="BH112" s="27">
        <f>AE112+ (AI112-AJ112+AM112+Tableau5617192223242425262827293031333432353620383961719241822254140424344104746[[#This Row],[Int Commandé OT
€]]-Tableau5617192223242425262827293031333432353620383961719241822254140424344104746[[#This Row],[Int Réalisé OT
€]]+AR112) +AY112+BC112</f>
        <v>0</v>
      </c>
      <c r="BI112" s="47">
        <f t="shared" si="37"/>
        <v>1</v>
      </c>
      <c r="BJ112" s="47" t="e">
        <f t="shared" si="27"/>
        <v>#REF!</v>
      </c>
      <c r="BK112" s="27" t="e">
        <f t="shared" si="28"/>
        <v>#REF!</v>
      </c>
      <c r="BL112" s="26" t="e">
        <f t="shared" si="29"/>
        <v>#REF!</v>
      </c>
      <c r="BM112" s="96">
        <f>IFERROR(VLOOKUP(H112,'[1]2023sep'!H:CA,54,FALSE),105)</f>
        <v>105</v>
      </c>
      <c r="BN112" s="29">
        <v>1</v>
      </c>
      <c r="BO112" s="30" t="e">
        <f>P112-AC112-AG112-AV112-Tableau5617192223242425262827293031333432353620383961719241822254140424344104746[[#This Row],[Provisions pour risques]]</f>
        <v>#REF!</v>
      </c>
      <c r="BP11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1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12" s="97" t="e">
        <f t="shared" si="34"/>
        <v>#REF!</v>
      </c>
      <c r="BS112" s="34">
        <f>Tableau5617192223242425262827293031333432353620383961719241822254140424344104746[[#This Row],[Consommé global Enregistré à date (€ HT)]]-IFERROR(VLOOKUP(H112,#REF!,50,FALSE),0)</f>
        <v>0</v>
      </c>
      <c r="BT112" s="35" t="e">
        <f t="shared" si="35"/>
        <v>#REF!</v>
      </c>
      <c r="BU112" s="36">
        <f>BD112-IFERROR(VLOOKUP(H112,#REF!,47,FALSE),0)</f>
        <v>0</v>
      </c>
      <c r="BV112" s="37" t="e">
        <f>+BF112+Tableau5617192223242425262827293031333432353620383961719241822254140424344104746[[#This Row],[CA fin N-1]]-IFERROR(VLOOKUP(H112,#REF!,49,FALSE),0)-IFERROR(VLOOKUP(H112,#REF!,50,FALSE),0)</f>
        <v>#REF!</v>
      </c>
      <c r="BW112" s="33">
        <f>BG112-IFERROR(VLOOKUP(H112,#REF!,51,FALSE),0)</f>
        <v>0</v>
      </c>
      <c r="BX112" s="35" t="e">
        <f t="shared" si="36"/>
        <v>#REF!</v>
      </c>
      <c r="BY112" s="36">
        <f>BD112-IFERROR(VLOOKUP(H112,#REF!,48,FALSE),0)</f>
        <v>0</v>
      </c>
      <c r="BZ11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2" s="39" t="e">
        <f>VLOOKUP(Tableau5617192223242425262827293031333432353620383961719241822254140424344104746[[#This Row],[Num Projets]],#REF!,1,FALSE)</f>
        <v>#REF!</v>
      </c>
      <c r="CB112" s="40">
        <v>0</v>
      </c>
      <c r="CC112" s="40">
        <v>0</v>
      </c>
      <c r="CD11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13" spans="1:82" ht="13.5" customHeight="1" x14ac:dyDescent="0.25">
      <c r="A113" s="311"/>
      <c r="B113" s="1"/>
      <c r="C113" s="2" t="e">
        <f>_xlfn.XLOOKUP(Tableau5617192223242425262827293031333432353620383961719241822254140424344104746[[#This Row],[Num Projets]],#REF!,#REF!,FALSE)</f>
        <v>#REF!</v>
      </c>
      <c r="D113" s="3" t="s">
        <v>6</v>
      </c>
      <c r="E113" s="3" t="e">
        <f>_xlfn.XLOOKUP(Tableau5617192223242425262827293031333432353620383961719241822254140424344104746[[#This Row],[Num Projets]],#REF!,#REF!,FALSE)</f>
        <v>#REF!</v>
      </c>
      <c r="F113" s="3" t="e">
        <f>_xlfn.XLOOKUP(Tableau5617192223242425262827293031333432353620383961719241822254140424344104746[[#This Row],[Num Projets]],#REF!,#REF!,"newavr",0)</f>
        <v>#REF!</v>
      </c>
      <c r="G113" s="3" t="s">
        <v>2</v>
      </c>
      <c r="H113" s="3" t="s">
        <v>230</v>
      </c>
      <c r="I11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3" s="4" t="e">
        <f>VLOOKUP(Tableau5617192223242425262827293031333432353620383961719241822254140424344104746[[#This Row],[Num Projets]],#REF!,36,FALSE)</f>
        <v>#REF!</v>
      </c>
      <c r="K113" s="5" t="s">
        <v>161</v>
      </c>
      <c r="L11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3" s="3" t="e">
        <f>SUBSTITUTE(_xlfn.XLOOKUP(Tableau5617192223242425262827293031333432353620383961719241822254140424344104746[[#This Row],[Num Projets]],#REF!,#REF!,FALSE)," ","")</f>
        <v>#REF!</v>
      </c>
      <c r="N113" s="7" t="e">
        <f>VLOOKUP(H113,#REF!,7,FALSE)</f>
        <v>#REF!</v>
      </c>
      <c r="O113" s="7" t="e">
        <f>IF(VLOOKUP(H113,#REF!,27,FALSE)=0,"",VLOOKUP(H113,#REF!,27,FALSE))</f>
        <v>#REF!</v>
      </c>
      <c r="P113" s="8" t="e">
        <f>VLOOKUP(H113,#REF!,2,FALSE)</f>
        <v>#REF!</v>
      </c>
      <c r="Q113" s="9" t="e">
        <f>Tableau5617192223242425262827293031333432353620383961719241822254140424344104746[[#This Row],[Total Budget
€]]-IFERROR(VLOOKUP(H113,#REF!,8,FALSE),0)</f>
        <v>#REF!</v>
      </c>
      <c r="R113" s="15">
        <f>AD113+AI113+Tableau5617192223242425262827293031333432353620383961719241822254140424344104746[[#This Row],[Int Commandé OT
€]]+AX113</f>
        <v>0</v>
      </c>
      <c r="S113" s="15">
        <f>AD113+AJ113+Tableau5617192223242425262827293031333432353620383961719241822254140424344104746[[#This Row],[Int Réalisé OT
€]]+AX113</f>
        <v>551.2512905036333</v>
      </c>
      <c r="T113" s="94" t="e">
        <f t="shared" si="22"/>
        <v>#REF!</v>
      </c>
      <c r="U11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3" s="42" t="e">
        <f>Tableau5617192223242425262827293031333432353620383961719241822254140424344104746[[#This Row],[Budget Heures Valorisées
€]]/105</f>
        <v>#REF!</v>
      </c>
      <c r="X113" s="13">
        <f>IFERROR(VLOOKUP(H113,#REF!,2,FALSE),0)</f>
        <v>0</v>
      </c>
      <c r="Y113" s="13">
        <f>IFERROR(VLOOKUP(H113,#REF!,3,FALSE),0)</f>
        <v>0</v>
      </c>
      <c r="Z11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359.42857142857144</v>
      </c>
      <c r="AA113" s="13">
        <f>IFERROR(VLOOKUP(H113,#REF!,18,FALSE),0)</f>
        <v>0</v>
      </c>
      <c r="AB113" s="13">
        <f>SUM(X113:Y113)-IFERROR(VLOOKUP(H113,#REF!,16,FALSE),0)-IFERROR(VLOOKUP(H113,#REF!,17,FALSE),0)</f>
        <v>0</v>
      </c>
      <c r="AC113" s="62" t="e">
        <f>VLOOKUP(Tableau5617192223242425262827293031333432353620383961719241822254140424344104746[[#This Row],[Num Projets]],#REF!,2,FALSE)-3%*142000</f>
        <v>#REF!</v>
      </c>
      <c r="AD113" s="15">
        <f>IFERROR(VLOOKUP(Tableau5617192223242425262827293031333432353620383961719241822254140424344104746[[#This Row],[Num Projets]],#REF!,2,FALSE),0)</f>
        <v>0</v>
      </c>
      <c r="AE113" s="8">
        <f t="shared" si="23"/>
        <v>17180.685714285715</v>
      </c>
      <c r="AF113" s="22" t="e">
        <f t="shared" si="24"/>
        <v>#REF!</v>
      </c>
      <c r="AG113" s="8">
        <f>IFERROR(VLOOKUP(H113,#REF!,3,FALSE),0)+IFERROR(VLOOKUP(H113,#REF!,3,FALSE),0)</f>
        <v>0</v>
      </c>
      <c r="AH113" s="8">
        <f>IFERROR(VLOOKUP(Tableau5617192223242425262827293031333432353620383961719241822254140424344104746[[#This Row],[Num Projets]],#REF!,2,FALSE),0)</f>
        <v>0</v>
      </c>
      <c r="AI113" s="17">
        <f>+IFERROR(VLOOKUP(H113,#REF!,2,FALSE),0)-Tableau5617192223242425262827293031333432353620383961719241822254140424344104746[[#This Row],[Int Commandé OT
€]]</f>
        <v>0</v>
      </c>
      <c r="AJ113" s="8">
        <f>IFERROR(VLOOKUP(H113,#REF!,11,FALSE),0)-IFERROR(VLOOKUP(H113,#REF!,10,FALSE),0)+Tableau5617192223242425262827293031333432353620383961719241822254140424344104746[[#This Row],[dont FNP à date (€ HT)]]</f>
        <v>0</v>
      </c>
      <c r="AK113" s="15">
        <f t="shared" si="30"/>
        <v>0</v>
      </c>
      <c r="AL11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3" s="19">
        <f>IF(Tableau5617192223242425262827293031333432353620383961719241822254140424344104746[[#This Row],[RAF Achats M-1
€]]=0,0,AN113-AO113)</f>
        <v>0</v>
      </c>
      <c r="AN113" s="8">
        <f>IFERROR(VLOOKUP(H113,#REF!,31,FALSE),0)</f>
        <v>0</v>
      </c>
      <c r="AO113" s="8">
        <f>AI113+-IFERROR(VLOOKUP(H113,#REF!,27,FALSE),0)</f>
        <v>0</v>
      </c>
      <c r="AP113" s="20">
        <f>IFERROR(VLOOKUP(Tableau5617192223242425262827293031333432353620383961719241822254140424344104746[[#This Row],[Num Projets]],#REF!,2,FALSE),0)</f>
        <v>0</v>
      </c>
      <c r="AQ113" s="20">
        <f>_xlfn.XLOOKUP(H113,[2]Synth!$N:$N,[2]Synth!$O:$O,0,FALSE)+_xlfn.XLOOKUP(Tableau5617192223242425262827293031333432353620383961719241822254140424344104746[[#This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551.2512905036333</v>
      </c>
      <c r="AR113" s="21">
        <v>0</v>
      </c>
      <c r="AS113" s="20">
        <f>+IFERROR(VLOOKUP(H113,#REF!,36,FALSE),0)</f>
        <v>0</v>
      </c>
      <c r="AT11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3" s="22">
        <f>IF(AG113=0,0,1-((AI113+AM113+Tableau5617192223242425262827293031333432353620383961719241822254140424344104746[[#This Row],[Int Commandé OT
€]]+Tableau5617192223242425262827293031333432353620383961719241822254140424344104746[[#This Row],[RAF Int OT
€]])/AG113))</f>
        <v>0</v>
      </c>
      <c r="AV113" s="8">
        <f>IFERROR(VLOOKUP(H113,#REF!,4,FALSE),0)+IFERROR(VLOOKUP(H113,#REF!,4,FALSE),0)</f>
        <v>0</v>
      </c>
      <c r="AW113" s="8">
        <f>IFERROR(VLOOKUP(Tableau5617192223242425262827293031333432353620383961719241822254140424344104746[[#This Row],[Num Projets]],#REF!,3,FALSE),0)</f>
        <v>0</v>
      </c>
      <c r="AX113" s="95">
        <f>IFERROR(VLOOKUP(Tableau5617192223242425262827293031333432353620383961719241822254140424344104746[[#This Row],[Num Projets]],#REF!,10,FALSE),0)</f>
        <v>0</v>
      </c>
      <c r="AY113" s="23">
        <f>Tableau5617192223242425262827293031333432353620383961719241822254140424344104746[[#This Row],[Budget Mission
 €]]/1.2-AX113</f>
        <v>0</v>
      </c>
      <c r="AZ113" s="8">
        <f>IFERROR(VLOOKUP(H113,#REF!,43,FALSE),0)</f>
        <v>0</v>
      </c>
      <c r="BA113" s="8">
        <f>AX113-IFERROR(VLOOKUP(H113,#REF!,42,FALSE),0)</f>
        <v>0</v>
      </c>
      <c r="BB113" s="47">
        <f t="shared" si="33"/>
        <v>0</v>
      </c>
      <c r="BC113" s="24">
        <f>IFERROR(VLOOKUP(H113,#REF!,47,FALSE),IFERROR(VLOOKUP(H113,#REF!,5,FALSE),0)+IFERROR(VLOOKUP(H113,#REF!,5,FALSE),0))</f>
        <v>0</v>
      </c>
      <c r="BD113" s="25">
        <f>IFERROR(VLOOKUP(H113,#REF!,2,FALSE),0)</f>
        <v>0</v>
      </c>
      <c r="BE113" s="25">
        <f>IFERROR(VLOOKUP(H113,#REF!,49,FALSE),0)</f>
        <v>0</v>
      </c>
      <c r="BF113" s="50" t="e">
        <f t="shared" si="25"/>
        <v>#REF!</v>
      </c>
      <c r="BG113" s="50">
        <f t="shared" si="26"/>
        <v>551.2512905036333</v>
      </c>
      <c r="BH113" s="27">
        <f>AE113+ (AI113-AJ113+AM113+Tableau5617192223242425262827293031333432353620383961719241822254140424344104746[[#This Row],[Int Commandé OT
€]]-Tableau5617192223242425262827293031333432353620383961719241822254140424344104746[[#This Row],[Int Réalisé OT
€]]+AR113) +AY113+BC113</f>
        <v>16629.434423782081</v>
      </c>
      <c r="BI113" s="47">
        <f t="shared" si="37"/>
        <v>3.2085523224795888E-2</v>
      </c>
      <c r="BJ113" s="47" t="e">
        <f t="shared" si="27"/>
        <v>#REF!</v>
      </c>
      <c r="BK113" s="27" t="e">
        <f t="shared" si="28"/>
        <v>#REF!</v>
      </c>
      <c r="BL113" s="26" t="e">
        <f t="shared" si="29"/>
        <v>#REF!</v>
      </c>
      <c r="BM113" s="96">
        <f>IFERROR(VLOOKUP(H113,'[1]2023sep'!H:CA,54,FALSE),105)</f>
        <v>105</v>
      </c>
      <c r="BN113" s="29">
        <v>1</v>
      </c>
      <c r="BO113" s="30" t="e">
        <f>P113-AC113-AG113-AV113-Tableau5617192223242425262827293031333432353620383961719241822254140424344104746[[#This Row],[Provisions pour risques]]</f>
        <v>#REF!</v>
      </c>
      <c r="BP11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17180.685714285715</v>
      </c>
      <c r="BQ11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3.2085523224795888E-2</v>
      </c>
      <c r="BR113" s="97" t="e">
        <f t="shared" si="34"/>
        <v>#REF!</v>
      </c>
      <c r="BS113" s="34">
        <f>Tableau5617192223242425262827293031333432353620383961719241822254140424344104746[[#This Row],[Consommé global Enregistré à date (€ HT)]]-IFERROR(VLOOKUP(H113,#REF!,50,FALSE),0)</f>
        <v>551.2512905036333</v>
      </c>
      <c r="BT113" s="35" t="e">
        <f t="shared" si="35"/>
        <v>#REF!</v>
      </c>
      <c r="BU113" s="36">
        <f>BD113-IFERROR(VLOOKUP(H113,#REF!,47,FALSE),0)</f>
        <v>0</v>
      </c>
      <c r="BV113" s="37" t="e">
        <f>+BF113+Tableau5617192223242425262827293031333432353620383961719241822254140424344104746[[#This Row],[CA fin N-1]]-IFERROR(VLOOKUP(H113,#REF!,49,FALSE),0)-IFERROR(VLOOKUP(H113,#REF!,50,FALSE),0)</f>
        <v>#REF!</v>
      </c>
      <c r="BW113" s="33">
        <f>BG113-IFERROR(VLOOKUP(H113,#REF!,51,FALSE),0)</f>
        <v>551.2512905036333</v>
      </c>
      <c r="BX113" s="35" t="e">
        <f t="shared" si="36"/>
        <v>#REF!</v>
      </c>
      <c r="BY113" s="36">
        <f>BD113-IFERROR(VLOOKUP(H113,#REF!,48,FALSE),0)</f>
        <v>0</v>
      </c>
      <c r="BZ11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3" s="39" t="e">
        <f>VLOOKUP(Tableau5617192223242425262827293031333432353620383961719241822254140424344104746[[#This Row],[Num Projets]],#REF!,1,FALSE)</f>
        <v>#REF!</v>
      </c>
      <c r="CB113" s="40">
        <v>48</v>
      </c>
      <c r="CC113" s="40">
        <v>311.42857142857144</v>
      </c>
      <c r="CD11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-48</v>
      </c>
    </row>
    <row r="114" spans="1:82" ht="13.5" customHeight="1" x14ac:dyDescent="0.25">
      <c r="A114" s="311"/>
      <c r="B114" s="1"/>
      <c r="C114" s="2" t="e">
        <f>_xlfn.XLOOKUP(Tableau5617192223242425262827293031333432353620383961719241822254140424344104746[[#This Row],[Num Projets]],#REF!,#REF!,FALSE)</f>
        <v>#REF!</v>
      </c>
      <c r="D114" s="3" t="s">
        <v>1</v>
      </c>
      <c r="E114" s="3" t="e">
        <f>_xlfn.XLOOKUP(Tableau5617192223242425262827293031333432353620383961719241822254140424344104746[[#This Row],[Num Projets]],#REF!,#REF!,FALSE)</f>
        <v>#REF!</v>
      </c>
      <c r="F114" s="3" t="e">
        <f>_xlfn.XLOOKUP(Tableau5617192223242425262827293031333432353620383961719241822254140424344104746[[#This Row],[Num Projets]],#REF!,#REF!,"newavr",0)</f>
        <v>#REF!</v>
      </c>
      <c r="G114" s="3" t="s">
        <v>2</v>
      </c>
      <c r="H114" s="3" t="s">
        <v>231</v>
      </c>
      <c r="I11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4" s="4" t="e">
        <f>VLOOKUP(Tableau5617192223242425262827293031333432353620383961719241822254140424344104746[[#This Row],[Num Projets]],#REF!,36,FALSE)</f>
        <v>#REF!</v>
      </c>
      <c r="K114" s="5" t="s">
        <v>4</v>
      </c>
      <c r="L11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4" s="3" t="e">
        <f>SUBSTITUTE(_xlfn.XLOOKUP(Tableau5617192223242425262827293031333432353620383961719241822254140424344104746[[#This Row],[Num Projets]],#REF!,#REF!,FALSE)," ","")</f>
        <v>#REF!</v>
      </c>
      <c r="N114" s="7" t="e">
        <f>VLOOKUP(H114,#REF!,7,FALSE)</f>
        <v>#REF!</v>
      </c>
      <c r="O114" s="7" t="e">
        <f>IF(VLOOKUP(H114,#REF!,27,FALSE)=0,"",VLOOKUP(H114,#REF!,27,FALSE))</f>
        <v>#REF!</v>
      </c>
      <c r="P114" s="8" t="e">
        <f>VLOOKUP(H114,#REF!,2,FALSE)</f>
        <v>#REF!</v>
      </c>
      <c r="Q114" s="9" t="e">
        <f>Tableau5617192223242425262827293031333432353620383961719241822254140424344104746[[#This Row],[Total Budget
€]]-IFERROR(VLOOKUP(H114,#REF!,8,FALSE),0)</f>
        <v>#REF!</v>
      </c>
      <c r="R114" s="15">
        <f>AD114+AI114+Tableau5617192223242425262827293031333432353620383961719241822254140424344104746[[#This Row],[Int Commandé OT
€]]+AX114</f>
        <v>0</v>
      </c>
      <c r="S114" s="15">
        <f>AD114+AJ114+Tableau5617192223242425262827293031333432353620383961719241822254140424344104746[[#This Row],[Int Réalisé OT
€]]+AX114</f>
        <v>0</v>
      </c>
      <c r="T114" s="94" t="e">
        <f t="shared" si="22"/>
        <v>#REF!</v>
      </c>
      <c r="U11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4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4" s="42" t="e">
        <f>Tableau5617192223242425262827293031333432353620383961719241822254140424344104746[[#This Row],[Budget Heures Valorisées
€]]/105</f>
        <v>#REF!</v>
      </c>
      <c r="X114" s="13">
        <f>IFERROR(VLOOKUP(H114,#REF!,2,FALSE),0)</f>
        <v>0</v>
      </c>
      <c r="Y114" s="13">
        <f>IFERROR(VLOOKUP(H114,#REF!,3,FALSE),0)</f>
        <v>0</v>
      </c>
      <c r="Z11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</v>
      </c>
      <c r="AA114" s="13">
        <f>IFERROR(VLOOKUP(H114,#REF!,18,FALSE),0)</f>
        <v>0</v>
      </c>
      <c r="AB114" s="13">
        <f>SUM(X114:Y114)-IFERROR(VLOOKUP(H114,#REF!,16,FALSE),0)-IFERROR(VLOOKUP(H114,#REF!,17,FALSE),0)</f>
        <v>0</v>
      </c>
      <c r="AC114" s="15" t="e">
        <f>VLOOKUP(Tableau5617192223242425262827293031333432353620383961719241822254140424344104746[[#This Row],[Num Projets]],#REF!,2,FALSE)</f>
        <v>#REF!</v>
      </c>
      <c r="AD114" s="15">
        <f>IFERROR(VLOOKUP(Tableau5617192223242425262827293031333432353620383961719241822254140424344104746[[#This Row],[Num Projets]],#REF!,2,FALSE),0)</f>
        <v>0</v>
      </c>
      <c r="AE114" s="8">
        <f t="shared" si="23"/>
        <v>430.2</v>
      </c>
      <c r="AF114" s="22" t="e">
        <f t="shared" si="24"/>
        <v>#REF!</v>
      </c>
      <c r="AG114" s="8">
        <f>IFERROR(VLOOKUP(H114,#REF!,3,FALSE),0)+IFERROR(VLOOKUP(H114,#REF!,3,FALSE),0)</f>
        <v>0</v>
      </c>
      <c r="AH114" s="8">
        <f>IFERROR(VLOOKUP(Tableau5617192223242425262827293031333432353620383961719241822254140424344104746[[#This Row],[Num Projets]],#REF!,2,FALSE),0)</f>
        <v>0</v>
      </c>
      <c r="AI114" s="17">
        <f>+IFERROR(VLOOKUP(H114,#REF!,2,FALSE),0)-Tableau5617192223242425262827293031333432353620383961719241822254140424344104746[[#This Row],[Int Commandé OT
€]]</f>
        <v>0</v>
      </c>
      <c r="AJ114" s="8">
        <f>IFERROR(VLOOKUP(H114,#REF!,11,FALSE),0)-IFERROR(VLOOKUP(H114,#REF!,10,FALSE),0)+Tableau5617192223242425262827293031333432353620383961719241822254140424344104746[[#This Row],[dont FNP à date (€ HT)]]</f>
        <v>0</v>
      </c>
      <c r="AK114" s="15">
        <f t="shared" si="30"/>
        <v>0</v>
      </c>
      <c r="AL11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4" s="19">
        <f>IF(Tableau5617192223242425262827293031333432353620383961719241822254140424344104746[[#This Row],[RAF Achats M-1
€]]=0,0,AN114-AO114)</f>
        <v>0</v>
      </c>
      <c r="AN114" s="8">
        <f>IFERROR(VLOOKUP(H114,#REF!,31,FALSE),0)</f>
        <v>0</v>
      </c>
      <c r="AO114" s="8">
        <f>AI114+-IFERROR(VLOOKUP(H114,#REF!,27,FALSE),0)</f>
        <v>0</v>
      </c>
      <c r="AP114" s="20">
        <f>IFERROR(VLOOKUP(Tableau5617192223242425262827293031333432353620383961719241822254140424344104746[[#This Row],[Num Projets]],#REF!,2,FALSE),0)</f>
        <v>0</v>
      </c>
      <c r="AQ114" s="20">
        <f>_xlfn.XLOOKUP(H114,[2]Synth!$N:$N,[2]Synth!$O:$O,0,FALSE)+_xlfn.XLOOKUP(Tableau5617192223242425262827293031333432353620383961719241822254140424344104746[[#This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4" s="21">
        <v>0</v>
      </c>
      <c r="AS114" s="20">
        <f>+IFERROR(VLOOKUP(H114,#REF!,36,FALSE),0)</f>
        <v>0</v>
      </c>
      <c r="AT11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4" s="22">
        <f>IF(AG114=0,0,1-((AI114+AM114+Tableau5617192223242425262827293031333432353620383961719241822254140424344104746[[#This Row],[Int Commandé OT
€]]+Tableau5617192223242425262827293031333432353620383961719241822254140424344104746[[#This Row],[RAF Int OT
€]])/AG114))</f>
        <v>0</v>
      </c>
      <c r="AV114" s="8">
        <f>IFERROR(VLOOKUP(H114,#REF!,4,FALSE),0)+IFERROR(VLOOKUP(H114,#REF!,4,FALSE),0)</f>
        <v>0</v>
      </c>
      <c r="AW114" s="8">
        <f>IFERROR(VLOOKUP(Tableau5617192223242425262827293031333432353620383961719241822254140424344104746[[#This Row],[Num Projets]],#REF!,3,FALSE),0)</f>
        <v>0</v>
      </c>
      <c r="AX114" s="95">
        <f>IFERROR(VLOOKUP(Tableau5617192223242425262827293031333432353620383961719241822254140424344104746[[#This Row],[Num Projets]],#REF!,10,FALSE),0)</f>
        <v>0</v>
      </c>
      <c r="AY114" s="23">
        <f>Tableau5617192223242425262827293031333432353620383961719241822254140424344104746[[#This Row],[Budget Mission
 €]]/1.2-AX114</f>
        <v>0</v>
      </c>
      <c r="AZ114" s="8">
        <f>IFERROR(VLOOKUP(H114,#REF!,43,FALSE),0)</f>
        <v>0</v>
      </c>
      <c r="BA114" s="8">
        <f>AX114-IFERROR(VLOOKUP(H114,#REF!,42,FALSE),0)</f>
        <v>0</v>
      </c>
      <c r="BB114" s="47">
        <f t="shared" si="33"/>
        <v>0</v>
      </c>
      <c r="BC114" s="24">
        <f>IFERROR(VLOOKUP(H114,#REF!,47,FALSE),IFERROR(VLOOKUP(H114,#REF!,5,FALSE),0)+IFERROR(VLOOKUP(H114,#REF!,5,FALSE),0))</f>
        <v>0</v>
      </c>
      <c r="BD114" s="25">
        <f>IFERROR(VLOOKUP(H114,#REF!,2,FALSE),0)</f>
        <v>0</v>
      </c>
      <c r="BE114" s="25">
        <f>IFERROR(VLOOKUP(H114,#REF!,49,FALSE),0)</f>
        <v>0</v>
      </c>
      <c r="BF114" s="50" t="e">
        <f t="shared" si="25"/>
        <v>#REF!</v>
      </c>
      <c r="BG114" s="50">
        <f t="shared" si="26"/>
        <v>0</v>
      </c>
      <c r="BH114" s="27">
        <f>AE114+ (AI114-AJ114+AM114+Tableau5617192223242425262827293031333432353620383961719241822254140424344104746[[#This Row],[Int Commandé OT
€]]-Tableau5617192223242425262827293031333432353620383961719241822254140424344104746[[#This Row],[Int Réalisé OT
€]]+AR114) +AY114+BC114</f>
        <v>430.2</v>
      </c>
      <c r="BI114" s="47">
        <f t="shared" si="37"/>
        <v>0</v>
      </c>
      <c r="BJ114" s="47" t="e">
        <f t="shared" si="27"/>
        <v>#REF!</v>
      </c>
      <c r="BK114" s="27" t="e">
        <f t="shared" si="28"/>
        <v>#REF!</v>
      </c>
      <c r="BL114" s="26" t="e">
        <f t="shared" si="29"/>
        <v>#REF!</v>
      </c>
      <c r="BM114" s="96">
        <f>IFERROR(VLOOKUP(H114,'[1]2023sep'!H:CA,54,FALSE),105)</f>
        <v>105</v>
      </c>
      <c r="BN114" s="29">
        <v>1</v>
      </c>
      <c r="BO114" s="30" t="e">
        <f>P114-AC114-AG114-AV114-Tableau5617192223242425262827293031333432353620383961719241822254140424344104746[[#This Row],[Provisions pour risques]]</f>
        <v>#REF!</v>
      </c>
      <c r="BP11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430.2</v>
      </c>
      <c r="BQ11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14" s="97" t="e">
        <f t="shared" si="34"/>
        <v>#REF!</v>
      </c>
      <c r="BS114" s="34">
        <f>Tableau5617192223242425262827293031333432353620383961719241822254140424344104746[[#This Row],[Consommé global Enregistré à date (€ HT)]]-IFERROR(VLOOKUP(H114,#REF!,50,FALSE),0)</f>
        <v>0</v>
      </c>
      <c r="BT114" s="35" t="e">
        <f t="shared" si="35"/>
        <v>#REF!</v>
      </c>
      <c r="BU114" s="36">
        <f>BD114-IFERROR(VLOOKUP(H114,#REF!,47,FALSE),0)</f>
        <v>0</v>
      </c>
      <c r="BV114" s="37" t="e">
        <f>+BF114+Tableau5617192223242425262827293031333432353620383961719241822254140424344104746[[#This Row],[CA fin N-1]]-IFERROR(VLOOKUP(H114,#REF!,49,FALSE),0)-IFERROR(VLOOKUP(H114,#REF!,50,FALSE),0)</f>
        <v>#REF!</v>
      </c>
      <c r="BW114" s="33">
        <f>BG114-IFERROR(VLOOKUP(H114,#REF!,51,FALSE),0)</f>
        <v>0</v>
      </c>
      <c r="BX114" s="35" t="e">
        <f t="shared" si="36"/>
        <v>#REF!</v>
      </c>
      <c r="BY114" s="36">
        <f>BD114-IFERROR(VLOOKUP(H114,#REF!,48,FALSE),0)</f>
        <v>0</v>
      </c>
      <c r="BZ11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4" s="39" t="e">
        <f>VLOOKUP(Tableau5617192223242425262827293031333432353620383961719241822254140424344104746[[#This Row],[Num Projets]],#REF!,1,FALSE)</f>
        <v>#REF!</v>
      </c>
      <c r="CB114" s="40">
        <v>9</v>
      </c>
      <c r="CC114" s="40">
        <v>0</v>
      </c>
      <c r="CD11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</v>
      </c>
    </row>
    <row r="115" spans="1:82" ht="13.5" customHeight="1" x14ac:dyDescent="0.25">
      <c r="A115" s="311"/>
      <c r="B115" s="1"/>
      <c r="C115" s="2" t="e">
        <f>_xlfn.XLOOKUP(Tableau5617192223242425262827293031333432353620383961719241822254140424344104746[[#This Row],[Num Projets]],#REF!,#REF!,FALSE)</f>
        <v>#REF!</v>
      </c>
      <c r="D115" s="3" t="s">
        <v>6</v>
      </c>
      <c r="E115" s="3" t="e">
        <f>_xlfn.XLOOKUP(Tableau5617192223242425262827293031333432353620383961719241822254140424344104746[[#This Row],[Num Projets]],#REF!,#REF!,FALSE)</f>
        <v>#REF!</v>
      </c>
      <c r="F115" s="3" t="e">
        <f>_xlfn.XLOOKUP(Tableau5617192223242425262827293031333432353620383961719241822254140424344104746[[#This Row],[Num Projets]],#REF!,#REF!,"newavr",0)</f>
        <v>#REF!</v>
      </c>
      <c r="G115" s="3" t="s">
        <v>183</v>
      </c>
      <c r="H115" s="3" t="s">
        <v>232</v>
      </c>
      <c r="I11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5" s="4" t="e">
        <f>VLOOKUP(Tableau5617192223242425262827293031333432353620383961719241822254140424344104746[[#This Row],[Num Projets]],#REF!,36,FALSE)</f>
        <v>#REF!</v>
      </c>
      <c r="K115" s="5" t="s">
        <v>9</v>
      </c>
      <c r="L11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5" s="3" t="e">
        <f>SUBSTITUTE(_xlfn.XLOOKUP(Tableau5617192223242425262827293031333432353620383961719241822254140424344104746[[#This Row],[Num Projets]],#REF!,#REF!,FALSE)," ","")</f>
        <v>#REF!</v>
      </c>
      <c r="N115" s="7" t="e">
        <f>VLOOKUP(H115,#REF!,7,FALSE)</f>
        <v>#REF!</v>
      </c>
      <c r="O115" s="7" t="e">
        <f>IF(VLOOKUP(H115,#REF!,27,FALSE)=0,"",VLOOKUP(H115,#REF!,27,FALSE))</f>
        <v>#REF!</v>
      </c>
      <c r="P115" s="8" t="e">
        <f>VLOOKUP(H115,#REF!,2,FALSE)</f>
        <v>#REF!</v>
      </c>
      <c r="Q115" s="9" t="e">
        <f>Tableau5617192223242425262827293031333432353620383961719241822254140424344104746[[#This Row],[Total Budget
€]]-IFERROR(VLOOKUP(H115,#REF!,8,FALSE),0)</f>
        <v>#REF!</v>
      </c>
      <c r="R115" s="15">
        <f>AD115+AI115+Tableau5617192223242425262827293031333432353620383961719241822254140424344104746[[#This Row],[Int Commandé OT
€]]+AX115</f>
        <v>0</v>
      </c>
      <c r="S115" s="15">
        <f>AD115+AJ115+Tableau5617192223242425262827293031333432353620383961719241822254140424344104746[[#This Row],[Int Réalisé OT
€]]+AX115</f>
        <v>0</v>
      </c>
      <c r="T115" s="94" t="e">
        <f t="shared" si="22"/>
        <v>#REF!</v>
      </c>
      <c r="U11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5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5" s="42" t="e">
        <f>Tableau5617192223242425262827293031333432353620383961719241822254140424344104746[[#This Row],[Budget Heures Valorisées
€]]/105</f>
        <v>#REF!</v>
      </c>
      <c r="X115" s="13">
        <f>IFERROR(VLOOKUP(H115,#REF!,2,FALSE),0)</f>
        <v>0</v>
      </c>
      <c r="Y115" s="13">
        <f>IFERROR(VLOOKUP(H115,#REF!,3,FALSE),0)</f>
        <v>0</v>
      </c>
      <c r="Z11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1.5</v>
      </c>
      <c r="AA115" s="13">
        <f>IFERROR(VLOOKUP(H115,#REF!,18,FALSE),0)</f>
        <v>0</v>
      </c>
      <c r="AB115" s="13">
        <f>SUM(X115:Y115)-IFERROR(VLOOKUP(H115,#REF!,16,FALSE),0)-IFERROR(VLOOKUP(H115,#REF!,17,FALSE),0)</f>
        <v>0</v>
      </c>
      <c r="AC115" s="15" t="e">
        <f>VLOOKUP(Tableau5617192223242425262827293031333432353620383961719241822254140424344104746[[#This Row],[Num Projets]],#REF!,2,FALSE)</f>
        <v>#REF!</v>
      </c>
      <c r="AD115" s="15">
        <f>IFERROR(VLOOKUP(Tableau5617192223242425262827293031333432353620383961719241822254140424344104746[[#This Row],[Num Projets]],#REF!,2,FALSE),0)</f>
        <v>0</v>
      </c>
      <c r="AE115" s="8">
        <f t="shared" si="23"/>
        <v>71.699999999999989</v>
      </c>
      <c r="AF115" s="22" t="e">
        <f t="shared" si="24"/>
        <v>#REF!</v>
      </c>
      <c r="AG115" s="8">
        <f>IFERROR(VLOOKUP(H115,#REF!,3,FALSE),0)+IFERROR(VLOOKUP(H115,#REF!,3,FALSE),0)</f>
        <v>0</v>
      </c>
      <c r="AH115" s="8">
        <f>IFERROR(VLOOKUP(Tableau5617192223242425262827293031333432353620383961719241822254140424344104746[[#This Row],[Num Projets]],#REF!,2,FALSE),0)</f>
        <v>0</v>
      </c>
      <c r="AI115" s="17">
        <f>+IFERROR(VLOOKUP(H115,#REF!,2,FALSE),0)-Tableau5617192223242425262827293031333432353620383961719241822254140424344104746[[#This Row],[Int Commandé OT
€]]</f>
        <v>0</v>
      </c>
      <c r="AJ115" s="8">
        <f>IFERROR(VLOOKUP(H115,#REF!,11,FALSE),0)-IFERROR(VLOOKUP(H115,#REF!,10,FALSE),0)+Tableau5617192223242425262827293031333432353620383961719241822254140424344104746[[#This Row],[dont FNP à date (€ HT)]]</f>
        <v>0</v>
      </c>
      <c r="AK115" s="15">
        <f t="shared" si="30"/>
        <v>0</v>
      </c>
      <c r="AL11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5" s="19">
        <v>0</v>
      </c>
      <c r="AN115" s="8">
        <f>IFERROR(VLOOKUP(H115,#REF!,31,FALSE),0)</f>
        <v>0</v>
      </c>
      <c r="AO115" s="8">
        <f>AI115+-IFERROR(VLOOKUP(H115,#REF!,27,FALSE),0)</f>
        <v>0</v>
      </c>
      <c r="AP115" s="20">
        <f>IFERROR(VLOOKUP(Tableau5617192223242425262827293031333432353620383961719241822254140424344104746[[#This Row],[Num Projets]],#REF!,2,FALSE),0)</f>
        <v>0</v>
      </c>
      <c r="AQ115" s="20">
        <f>_xlfn.XLOOKUP(H115,[2]Synth!$N:$N,[2]Synth!$O:$O,0,FALSE)+_xlfn.XLOOKUP(Tableau5617192223242425262827293031333432353620383961719241822254140424344104746[[#This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5" s="21">
        <v>0</v>
      </c>
      <c r="AS115" s="20">
        <f>+IFERROR(VLOOKUP(H115,#REF!,36,FALSE),0)</f>
        <v>0</v>
      </c>
      <c r="AT11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5" s="22">
        <f>IF(AG115=0,0,1-((AI115+AM115+Tableau5617192223242425262827293031333432353620383961719241822254140424344104746[[#This Row],[Int Commandé OT
€]]+Tableau5617192223242425262827293031333432353620383961719241822254140424344104746[[#This Row],[RAF Int OT
€]])/AG115))</f>
        <v>0</v>
      </c>
      <c r="AV115" s="8">
        <f>IFERROR(VLOOKUP(H115,#REF!,4,FALSE),0)+IFERROR(VLOOKUP(H115,#REF!,4,FALSE),0)</f>
        <v>0</v>
      </c>
      <c r="AW115" s="8">
        <f>IFERROR(VLOOKUP(Tableau5617192223242425262827293031333432353620383961719241822254140424344104746[[#This Row],[Num Projets]],#REF!,3,FALSE),0)</f>
        <v>0</v>
      </c>
      <c r="AX115" s="95">
        <f>IFERROR(VLOOKUP(Tableau5617192223242425262827293031333432353620383961719241822254140424344104746[[#This Row],[Num Projets]],#REF!,10,FALSE),0)</f>
        <v>0</v>
      </c>
      <c r="AY115" s="23">
        <f>Tableau5617192223242425262827293031333432353620383961719241822254140424344104746[[#This Row],[Budget Mission
 €]]/1.2-AX115</f>
        <v>0</v>
      </c>
      <c r="AZ115" s="8">
        <f>IFERROR(VLOOKUP(H115,#REF!,43,FALSE),0)</f>
        <v>0</v>
      </c>
      <c r="BA115" s="8">
        <f>AX115-IFERROR(VLOOKUP(H115,#REF!,42,FALSE),0)</f>
        <v>0</v>
      </c>
      <c r="BB115" s="47">
        <f t="shared" si="33"/>
        <v>0</v>
      </c>
      <c r="BC115" s="24">
        <f>IFERROR(VLOOKUP(H115,#REF!,47,FALSE),IFERROR(VLOOKUP(H115,#REF!,5,FALSE),0)+IFERROR(VLOOKUP(H115,#REF!,5,FALSE),0))</f>
        <v>0</v>
      </c>
      <c r="BD115" s="25">
        <f>IFERROR(VLOOKUP(H115,#REF!,2,FALSE),0)</f>
        <v>0</v>
      </c>
      <c r="BE115" s="25">
        <f>IFERROR(VLOOKUP(H115,#REF!,49,FALSE),0)</f>
        <v>0</v>
      </c>
      <c r="BF115" s="50" t="e">
        <f t="shared" si="25"/>
        <v>#REF!</v>
      </c>
      <c r="BG115" s="50">
        <f t="shared" si="26"/>
        <v>0</v>
      </c>
      <c r="BH115" s="27">
        <f>AE115+ (AI115-AJ115+AM115+Tableau5617192223242425262827293031333432353620383961719241822254140424344104746[[#This Row],[Int Commandé OT
€]]-Tableau5617192223242425262827293031333432353620383961719241822254140424344104746[[#This Row],[Int Réalisé OT
€]]+AR115) +AY115+BC115</f>
        <v>71.699999999999989</v>
      </c>
      <c r="BI115" s="47">
        <f t="shared" si="37"/>
        <v>0</v>
      </c>
      <c r="BJ115" s="47" t="e">
        <f t="shared" si="27"/>
        <v>#REF!</v>
      </c>
      <c r="BK115" s="27" t="e">
        <f t="shared" si="28"/>
        <v>#REF!</v>
      </c>
      <c r="BL115" s="26" t="e">
        <f t="shared" si="29"/>
        <v>#REF!</v>
      </c>
      <c r="BM115" s="96">
        <f>IFERROR(VLOOKUP(H115,'[1]2023sep'!H:CA,54,FALSE),105)</f>
        <v>105</v>
      </c>
      <c r="BN115" s="29">
        <v>1</v>
      </c>
      <c r="BO115" s="30" t="e">
        <f>P115-AC115-AG115-AV115-Tableau5617192223242425262827293031333432353620383961719241822254140424344104746[[#This Row],[Provisions pour risques]]</f>
        <v>#REF!</v>
      </c>
      <c r="BP11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71.699999999999989</v>
      </c>
      <c r="BQ11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15" s="97" t="e">
        <f t="shared" si="34"/>
        <v>#REF!</v>
      </c>
      <c r="BS115" s="34">
        <f>Tableau5617192223242425262827293031333432353620383961719241822254140424344104746[[#This Row],[Consommé global Enregistré à date (€ HT)]]-IFERROR(VLOOKUP(H115,#REF!,50,FALSE),0)</f>
        <v>0</v>
      </c>
      <c r="BT115" s="35" t="e">
        <f t="shared" si="35"/>
        <v>#REF!</v>
      </c>
      <c r="BU115" s="36">
        <f>BD115-IFERROR(VLOOKUP(H115,#REF!,47,FALSE),0)</f>
        <v>0</v>
      </c>
      <c r="BV115" s="37" t="e">
        <f>+BF115+Tableau5617192223242425262827293031333432353620383961719241822254140424344104746[[#This Row],[CA fin N-1]]-IFERROR(VLOOKUP(H115,#REF!,49,FALSE),0)-IFERROR(VLOOKUP(H115,#REF!,50,FALSE),0)</f>
        <v>#REF!</v>
      </c>
      <c r="BW115" s="33">
        <f>BG115-IFERROR(VLOOKUP(H115,#REF!,51,FALSE),0)</f>
        <v>0</v>
      </c>
      <c r="BX115" s="35" t="e">
        <f t="shared" si="36"/>
        <v>#REF!</v>
      </c>
      <c r="BY115" s="36">
        <f>BD115-IFERROR(VLOOKUP(H115,#REF!,48,FALSE),0)</f>
        <v>0</v>
      </c>
      <c r="BZ11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5" s="39" t="e">
        <f>VLOOKUP(Tableau5617192223242425262827293031333432353620383961719241822254140424344104746[[#This Row],[Num Projets]],#REF!,1,FALSE)</f>
        <v>#REF!</v>
      </c>
      <c r="CB115" s="40">
        <v>1.5</v>
      </c>
      <c r="CC115" s="40">
        <v>0</v>
      </c>
      <c r="CD11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-1.5</v>
      </c>
    </row>
    <row r="116" spans="1:82" ht="13.5" customHeight="1" x14ac:dyDescent="0.25">
      <c r="A116" s="311" t="s">
        <v>233</v>
      </c>
      <c r="B116" s="1"/>
      <c r="C116" s="2" t="e">
        <f>_xlfn.XLOOKUP(Tableau5617192223242425262827293031333432353620383961719241822254140424344104746[[#This Row],[Num Projets]],#REF!,#REF!,FALSE)</f>
        <v>#REF!</v>
      </c>
      <c r="D116" s="3" t="s">
        <v>6</v>
      </c>
      <c r="E116" s="3" t="e">
        <f>_xlfn.XLOOKUP(Tableau5617192223242425262827293031333432353620383961719241822254140424344104746[[#This Row],[Num Projets]],#REF!,#REF!,FALSE)</f>
        <v>#REF!</v>
      </c>
      <c r="F116" s="3" t="e">
        <f>_xlfn.XLOOKUP(Tableau5617192223242425262827293031333432353620383961719241822254140424344104746[[#This Row],[Num Projets]],#REF!,#REF!,"newavr",0)</f>
        <v>#REF!</v>
      </c>
      <c r="G116" s="3" t="s">
        <v>2</v>
      </c>
      <c r="H116" s="3" t="s">
        <v>234</v>
      </c>
      <c r="I11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6" s="4" t="e">
        <f>VLOOKUP(Tableau5617192223242425262827293031333432353620383961719241822254140424344104746[[#This Row],[Num Projets]],#REF!,36,FALSE)</f>
        <v>#REF!</v>
      </c>
      <c r="K116" s="5" t="s">
        <v>21</v>
      </c>
      <c r="L11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6" s="3" t="e">
        <f>SUBSTITUTE(_xlfn.XLOOKUP(Tableau5617192223242425262827293031333432353620383961719241822254140424344104746[[#This Row],[Num Projets]],#REF!,#REF!,FALSE)," ","")</f>
        <v>#REF!</v>
      </c>
      <c r="N116" s="7" t="e">
        <f>VLOOKUP(H116,#REF!,7,FALSE)</f>
        <v>#REF!</v>
      </c>
      <c r="O116" s="7" t="e">
        <f>IF(VLOOKUP(H116,#REF!,27,FALSE)=0,"",VLOOKUP(H116,#REF!,27,FALSE))</f>
        <v>#REF!</v>
      </c>
      <c r="P116" s="8" t="e">
        <f>VLOOKUP(H116,#REF!,2,FALSE)</f>
        <v>#REF!</v>
      </c>
      <c r="Q116" s="9" t="e">
        <f>Tableau5617192223242425262827293031333432353620383961719241822254140424344104746[[#This Row],[Total Budget
€]]-IFERROR(VLOOKUP(H116,#REF!,8,FALSE),0)</f>
        <v>#REF!</v>
      </c>
      <c r="R116" s="15">
        <f>AD116+AI116+Tableau5617192223242425262827293031333432353620383961719241822254140424344104746[[#This Row],[Int Commandé OT
€]]+AX116</f>
        <v>0</v>
      </c>
      <c r="S116" s="15">
        <f>AD116+AJ116+Tableau5617192223242425262827293031333432353620383961719241822254140424344104746[[#This Row],[Int Réalisé OT
€]]+AX116</f>
        <v>13850.843142187503</v>
      </c>
      <c r="T116" s="94" t="e">
        <f t="shared" si="22"/>
        <v>#REF!</v>
      </c>
      <c r="U11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6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6" s="42" t="e">
        <f>Tableau5617192223242425262827293031333432353620383961719241822254140424344104746[[#This Row],[Budget Heures Valorisées
€]]/105</f>
        <v>#REF!</v>
      </c>
      <c r="X116" s="13">
        <f>IFERROR(VLOOKUP(H116,#REF!,2,FALSE),0)</f>
        <v>0</v>
      </c>
      <c r="Y116" s="13">
        <f>IFERROR(VLOOKUP(H116,#REF!,3,FALSE),0)</f>
        <v>0</v>
      </c>
      <c r="Z11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140</v>
      </c>
      <c r="AA116" s="13">
        <f>IFERROR(VLOOKUP(H116,#REF!,18,FALSE),0)</f>
        <v>0</v>
      </c>
      <c r="AB116" s="13">
        <f>SUM(X116:Y116)-IFERROR(VLOOKUP(H116,#REF!,16,FALSE),0)-IFERROR(VLOOKUP(H116,#REF!,17,FALSE),0)</f>
        <v>0</v>
      </c>
      <c r="AC116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16" s="15">
        <f>IFERROR(VLOOKUP(Tableau5617192223242425262827293031333432353620383961719241822254140424344104746[[#This Row],[Num Projets]],#REF!,2,FALSE),0)</f>
        <v>0</v>
      </c>
      <c r="AE116" s="8">
        <f t="shared" si="23"/>
        <v>6692</v>
      </c>
      <c r="AF116" s="22" t="e">
        <f t="shared" si="24"/>
        <v>#REF!</v>
      </c>
      <c r="AG116" s="41">
        <f>(Tableau5617192223242425262827293031333432353620383961719241822254140424344104746[[#This Row],[Achats commandés HT
€]]+Tableau5617192223242425262827293031333432353620383961719241822254140424344104746[[#This Row],[RAF Achats
€]]+Tableau5617192223242425262827293031333432353620383961719241822254140424344104746[[#This Row],[Int Commandé OT
€]]+Tableau5617192223242425262827293031333432353620383961719241822254140424344104746[[#This Row],[RAF Int OT
€]])*1.2</f>
        <v>0</v>
      </c>
      <c r="AH116" s="8">
        <f>IFERROR(VLOOKUP(Tableau5617192223242425262827293031333432353620383961719241822254140424344104746[[#This Row],[Num Projets]],#REF!,2,FALSE),0)</f>
        <v>0</v>
      </c>
      <c r="AI116" s="17">
        <f>+IFERROR(VLOOKUP(H116,#REF!,2,FALSE),0)-Tableau5617192223242425262827293031333432353620383961719241822254140424344104746[[#This Row],[Int Commandé OT
€]]</f>
        <v>0</v>
      </c>
      <c r="AJ116" s="8">
        <f>IFERROR(VLOOKUP(H116,#REF!,11,FALSE),0)-IFERROR(VLOOKUP(H116,#REF!,10,FALSE),0)+Tableau5617192223242425262827293031333432353620383961719241822254140424344104746[[#This Row],[dont FNP à date (€ HT)]]</f>
        <v>0</v>
      </c>
      <c r="AK116" s="15">
        <f t="shared" si="30"/>
        <v>0</v>
      </c>
      <c r="AL11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6" s="19">
        <f>IF(Tableau5617192223242425262827293031333432353620383961719241822254140424344104746[[#This Row],[RAF Achats M-1
€]]=0,0,AN116-AO116)</f>
        <v>0</v>
      </c>
      <c r="AN116" s="8">
        <f>IFERROR(VLOOKUP(H116,#REF!,31,FALSE),0)</f>
        <v>0</v>
      </c>
      <c r="AO116" s="8">
        <f>AI116+-IFERROR(VLOOKUP(H116,#REF!,27,FALSE),0)</f>
        <v>0</v>
      </c>
      <c r="AP116" s="20">
        <f>IFERROR(VLOOKUP(Tableau5617192223242425262827293031333432353620383961719241822254140424344104746[[#This Row],[Num Projets]],#REF!,2,FALSE),0)</f>
        <v>0</v>
      </c>
      <c r="AQ116" s="20">
        <f>_xlfn.XLOOKUP(H116,[2]Synth!$N:$N,[2]Synth!$O:$O,0,FALSE)+_xlfn.XLOOKUP(Tableau5617192223242425262827293031333432353620383961719241822254140424344104746[[#This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13850.843142187503</v>
      </c>
      <c r="AR116" s="21">
        <v>0</v>
      </c>
      <c r="AS116" s="20">
        <f>+IFERROR(VLOOKUP(H116,#REF!,36,FALSE),0)</f>
        <v>0</v>
      </c>
      <c r="AT11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6" s="22">
        <f>IF(AG116=0,0,1-((AI116+AM116+Tableau5617192223242425262827293031333432353620383961719241822254140424344104746[[#This Row],[Int Commandé OT
€]]+Tableau5617192223242425262827293031333432353620383961719241822254140424344104746[[#This Row],[RAF Int OT
€]])/AG116))</f>
        <v>0</v>
      </c>
      <c r="AV116" s="8">
        <f>IFERROR(VLOOKUP(H116,#REF!,4,FALSE),0)+IFERROR(VLOOKUP(H116,#REF!,4,FALSE),0)</f>
        <v>0</v>
      </c>
      <c r="AW116" s="8">
        <f>IFERROR(VLOOKUP(Tableau5617192223242425262827293031333432353620383961719241822254140424344104746[[#This Row],[Num Projets]],#REF!,3,FALSE),0)</f>
        <v>0</v>
      </c>
      <c r="AX116" s="95">
        <f>IFERROR(VLOOKUP(Tableau5617192223242425262827293031333432353620383961719241822254140424344104746[[#This Row],[Num Projets]],#REF!,10,FALSE),0)</f>
        <v>0</v>
      </c>
      <c r="AY116" s="23">
        <f>Tableau5617192223242425262827293031333432353620383961719241822254140424344104746[[#This Row],[Budget Mission
 €]]/1.2-AX116</f>
        <v>0</v>
      </c>
      <c r="AZ116" s="8">
        <f>IFERROR(VLOOKUP(H116,#REF!,43,FALSE),0)</f>
        <v>0</v>
      </c>
      <c r="BA116" s="8">
        <f>AX116-IFERROR(VLOOKUP(H116,#REF!,42,FALSE),0)</f>
        <v>0</v>
      </c>
      <c r="BB116" s="47">
        <f t="shared" si="33"/>
        <v>0</v>
      </c>
      <c r="BC116" s="24">
        <f>IFERROR(VLOOKUP(H116,#REF!,47,FALSE),IFERROR(VLOOKUP(H116,#REF!,5,FALSE),0)+IFERROR(VLOOKUP(H116,#REF!,5,FALSE),0))</f>
        <v>0</v>
      </c>
      <c r="BD116" s="25">
        <f>IFERROR(VLOOKUP(H116,#REF!,2,FALSE),0)</f>
        <v>0</v>
      </c>
      <c r="BE116" s="25">
        <f>IFERROR(VLOOKUP(H116,#REF!,49,FALSE),0)</f>
        <v>0</v>
      </c>
      <c r="BF116" s="50" t="e">
        <f t="shared" si="25"/>
        <v>#REF!</v>
      </c>
      <c r="BG116" s="50">
        <f t="shared" si="26"/>
        <v>13850.843142187503</v>
      </c>
      <c r="BH116" s="27">
        <f>AE116+ (AI116-AJ116+AM116+Tableau5617192223242425262827293031333432353620383961719241822254140424344104746[[#This Row],[Int Commandé OT
€]]-Tableau5617192223242425262827293031333432353620383961719241822254140424344104746[[#This Row],[Int Réalisé OT
€]]+AR116) +AY116+BC116</f>
        <v>-7158.843142187503</v>
      </c>
      <c r="BI116" s="89" t="e">
        <f>IF((BG116/(BG116+BH116))&lt;VLOOKUP(Tableau5617192223242425262827293031333432353620383961719241822254140424344104746[[#This Row],[Num Projets]],#REF!,53,FALSE),VLOOKUP(Tableau5617192223242425262827293031333432353620383961719241822254140424344104746[[#This Row],[Num Projets]],#REF!,53,FALSE),BG116/(BG116+BH116))</f>
        <v>#REF!</v>
      </c>
      <c r="BJ116" s="47" t="e">
        <f t="shared" si="27"/>
        <v>#REF!</v>
      </c>
      <c r="BK116" s="27" t="e">
        <f t="shared" si="28"/>
        <v>#REF!</v>
      </c>
      <c r="BL116" s="26" t="e">
        <f t="shared" si="29"/>
        <v>#REF!</v>
      </c>
      <c r="BM116" s="96">
        <f>IFERROR(VLOOKUP(H116,'[1]2023sep'!H:CA,54,FALSE),105)</f>
        <v>105</v>
      </c>
      <c r="BN116" s="29">
        <v>1</v>
      </c>
      <c r="BO116" s="30" t="e">
        <f>P116-AC116-AG116-AV116-Tableau5617192223242425262827293031333432353620383961719241822254140424344104746[[#This Row],[Provisions pour risques]]</f>
        <v>#REF!</v>
      </c>
      <c r="BP11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6692</v>
      </c>
      <c r="BQ116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16" s="97" t="e">
        <f t="shared" si="34"/>
        <v>#REF!</v>
      </c>
      <c r="BS116" s="34">
        <f>Tableau5617192223242425262827293031333432353620383961719241822254140424344104746[[#This Row],[Consommé global Enregistré à date (€ HT)]]-IFERROR(VLOOKUP(H116,#REF!,50,FALSE),0)</f>
        <v>13850.843142187503</v>
      </c>
      <c r="BT116" s="35" t="e">
        <f t="shared" si="35"/>
        <v>#REF!</v>
      </c>
      <c r="BU116" s="36">
        <f>BD116-IFERROR(VLOOKUP(H116,#REF!,47,FALSE),0)</f>
        <v>0</v>
      </c>
      <c r="BV116" s="37" t="e">
        <f>+BF116+Tableau5617192223242425262827293031333432353620383961719241822254140424344104746[[#This Row],[CA fin N-1]]-IFERROR(VLOOKUP(H116,#REF!,49,FALSE),0)-IFERROR(VLOOKUP(H116,#REF!,50,FALSE),0)</f>
        <v>#REF!</v>
      </c>
      <c r="BW116" s="33">
        <f>BG116-IFERROR(VLOOKUP(H116,#REF!,51,FALSE),0)</f>
        <v>13850.843142187503</v>
      </c>
      <c r="BX116" s="35" t="e">
        <f t="shared" si="36"/>
        <v>#REF!</v>
      </c>
      <c r="BY116" s="36">
        <f>BD116-IFERROR(VLOOKUP(H116,#REF!,48,FALSE),0)</f>
        <v>0</v>
      </c>
      <c r="BZ11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6" s="39" t="e">
        <f>VLOOKUP(Tableau5617192223242425262827293031333432353620383961719241822254140424344104746[[#This Row],[Num Projets]],#REF!,1,FALSE)</f>
        <v>#REF!</v>
      </c>
      <c r="CB116" s="40">
        <v>120</v>
      </c>
      <c r="CC116" s="40">
        <v>20</v>
      </c>
      <c r="CD11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-120</v>
      </c>
    </row>
    <row r="117" spans="1:82" ht="13.5" customHeight="1" x14ac:dyDescent="0.25">
      <c r="A117" s="313" t="s">
        <v>235</v>
      </c>
      <c r="B117" s="1"/>
      <c r="C117" s="2" t="e">
        <f>_xlfn.XLOOKUP(Tableau5617192223242425262827293031333432353620383961719241822254140424344104746[[#This Row],[Num Projets]],#REF!,#REF!,FALSE)</f>
        <v>#REF!</v>
      </c>
      <c r="D117" s="3" t="s">
        <v>1</v>
      </c>
      <c r="E117" s="3" t="e">
        <f>_xlfn.XLOOKUP(Tableau5617192223242425262827293031333432353620383961719241822254140424344104746[[#This Row],[Num Projets]],#REF!,#REF!,FALSE)</f>
        <v>#REF!</v>
      </c>
      <c r="F117" s="3" t="e">
        <f>_xlfn.XLOOKUP(Tableau5617192223242425262827293031333432353620383961719241822254140424344104746[[#This Row],[Num Projets]],#REF!,#REF!,"newavr",0)</f>
        <v>#REF!</v>
      </c>
      <c r="G117" s="3" t="s">
        <v>2</v>
      </c>
      <c r="H117" s="3" t="s">
        <v>236</v>
      </c>
      <c r="I11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7" s="4" t="e">
        <f>VLOOKUP(Tableau5617192223242425262827293031333432353620383961719241822254140424344104746[[#This Row],[Num Projets]],#REF!,36,FALSE)</f>
        <v>#REF!</v>
      </c>
      <c r="K117" s="5" t="s">
        <v>4</v>
      </c>
      <c r="L11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7" s="3" t="e">
        <f>SUBSTITUTE(_xlfn.XLOOKUP(Tableau5617192223242425262827293031333432353620383961719241822254140424344104746[[#This Row],[Num Projets]],#REF!,#REF!,FALSE)," ","")</f>
        <v>#REF!</v>
      </c>
      <c r="N117" s="7" t="e">
        <f>VLOOKUP(H117,#REF!,7,FALSE)</f>
        <v>#REF!</v>
      </c>
      <c r="O117" s="7" t="e">
        <f>IF(VLOOKUP(H117,#REF!,27,FALSE)=0,"",VLOOKUP(H117,#REF!,27,FALSE))</f>
        <v>#REF!</v>
      </c>
      <c r="P117" s="20" t="e">
        <f>VLOOKUP(H117,#REF!,2,FALSE)</f>
        <v>#REF!</v>
      </c>
      <c r="Q117" s="9" t="e">
        <f>Tableau5617192223242425262827293031333432353620383961719241822254140424344104746[[#This Row],[Total Budget
€]]-IFERROR(VLOOKUP(H117,#REF!,8,FALSE),0)</f>
        <v>#REF!</v>
      </c>
      <c r="R117" s="15">
        <f>AD117+AI117+Tableau5617192223242425262827293031333432353620383961719241822254140424344104746[[#This Row],[Int Commandé OT
€]]+AX117</f>
        <v>0</v>
      </c>
      <c r="S117" s="15">
        <f>AD117+AJ117+Tableau5617192223242425262827293031333432353620383961719241822254140424344104746[[#This Row],[Int Réalisé OT
€]]+AX117</f>
        <v>3336.6640003799243</v>
      </c>
      <c r="T117" s="94" t="e">
        <f t="shared" si="22"/>
        <v>#REF!</v>
      </c>
      <c r="U11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7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7" s="42" t="e">
        <f>Tableau5617192223242425262827293031333432353620383961719241822254140424344104746[[#This Row],[Budget Heures Valorisées
€]]/105</f>
        <v>#REF!</v>
      </c>
      <c r="X117" s="13">
        <f>IFERROR(VLOOKUP(H117,#REF!,2,FALSE),0)</f>
        <v>0</v>
      </c>
      <c r="Y117" s="13">
        <f>IFERROR(VLOOKUP(H117,#REF!,3,FALSE),0)</f>
        <v>0</v>
      </c>
      <c r="Z11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389</v>
      </c>
      <c r="AA117" s="13">
        <f>IFERROR(VLOOKUP(H117,#REF!,18,FALSE),0)</f>
        <v>0</v>
      </c>
      <c r="AB117" s="13">
        <f>SUM(X117:Y117)-IFERROR(VLOOKUP(H117,#REF!,16,FALSE),0)-IFERROR(VLOOKUP(H117,#REF!,17,FALSE),0)</f>
        <v>0</v>
      </c>
      <c r="AC117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17" s="15">
        <f>IFERROR(VLOOKUP(Tableau5617192223242425262827293031333432353620383961719241822254140424344104746[[#This Row],[Num Projets]],#REF!,2,FALSE),0)</f>
        <v>0</v>
      </c>
      <c r="AE117" s="8">
        <f t="shared" si="23"/>
        <v>18594.199999999997</v>
      </c>
      <c r="AF117" s="22" t="e">
        <f t="shared" si="24"/>
        <v>#REF!</v>
      </c>
      <c r="AG117" s="41">
        <f>(Tableau5617192223242425262827293031333432353620383961719241822254140424344104746[[#This Row],[Int Commandé OT
€]]+Tableau5617192223242425262827293031333432353620383961719241822254140424344104746[[#This Row],[RAF Achats
€]])*1.2</f>
        <v>0</v>
      </c>
      <c r="AH117" s="8">
        <f>IFERROR(VLOOKUP(Tableau5617192223242425262827293031333432353620383961719241822254140424344104746[[#This Row],[Num Projets]],#REF!,2,FALSE),0)</f>
        <v>0</v>
      </c>
      <c r="AI117" s="17">
        <f>+IFERROR(VLOOKUP(H117,#REF!,2,FALSE),0)-Tableau5617192223242425262827293031333432353620383961719241822254140424344104746[[#This Row],[Int Commandé OT
€]]</f>
        <v>0</v>
      </c>
      <c r="AJ117" s="8">
        <f>IFERROR(VLOOKUP(H117,#REF!,11,FALSE),0)-IFERROR(VLOOKUP(H117,#REF!,10,FALSE),0)+Tableau5617192223242425262827293031333432353620383961719241822254140424344104746[[#This Row],[dont FNP à date (€ HT)]]</f>
        <v>0</v>
      </c>
      <c r="AK117" s="15">
        <f t="shared" si="30"/>
        <v>0</v>
      </c>
      <c r="AL11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7" s="19">
        <f>IF(Tableau5617192223242425262827293031333432353620383961719241822254140424344104746[[#This Row],[RAF Achats M-1
€]]=0,0,AN117-AO117)</f>
        <v>0</v>
      </c>
      <c r="AN117" s="8">
        <f>IFERROR(VLOOKUP(H117,#REF!,31,FALSE),0)</f>
        <v>0</v>
      </c>
      <c r="AO117" s="8">
        <f>AI117+-IFERROR(VLOOKUP(H117,#REF!,27,FALSE),0)</f>
        <v>0</v>
      </c>
      <c r="AP117" s="20">
        <f>IFERROR(VLOOKUP(Tableau5617192223242425262827293031333432353620383961719241822254140424344104746[[#This Row],[Num Projets]],#REF!,2,FALSE),0)</f>
        <v>0</v>
      </c>
      <c r="AQ117" s="20">
        <f>_xlfn.XLOOKUP(H117,[2]Synth!$N:$N,[2]Synth!$O:$O,0,FALSE)+_xlfn.XLOOKUP(Tableau5617192223242425262827293031333432353620383961719241822254140424344104746[[#This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3336.6640003799243</v>
      </c>
      <c r="AR117" s="21">
        <v>0</v>
      </c>
      <c r="AS117" s="20">
        <f>+IFERROR(VLOOKUP(H117,#REF!,36,FALSE),0)</f>
        <v>0</v>
      </c>
      <c r="AT11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7" s="22">
        <f>IF(AG117=0,0,1-((AI117+AM117+Tableau5617192223242425262827293031333432353620383961719241822254140424344104746[[#This Row],[Int Commandé OT
€]]+Tableau5617192223242425262827293031333432353620383961719241822254140424344104746[[#This Row],[RAF Int OT
€]])/AG117))</f>
        <v>0</v>
      </c>
      <c r="AV117" s="8">
        <f>IFERROR(VLOOKUP(H117,#REF!,4,FALSE),0)+IFERROR(VLOOKUP(H117,#REF!,4,FALSE),0)</f>
        <v>0</v>
      </c>
      <c r="AW117" s="8">
        <f>IFERROR(VLOOKUP(Tableau5617192223242425262827293031333432353620383961719241822254140424344104746[[#This Row],[Num Projets]],#REF!,3,FALSE),0)</f>
        <v>0</v>
      </c>
      <c r="AX117" s="95">
        <f>IFERROR(VLOOKUP(Tableau5617192223242425262827293031333432353620383961719241822254140424344104746[[#This Row],[Num Projets]],#REF!,10,FALSE),0)</f>
        <v>0</v>
      </c>
      <c r="AY117" s="23">
        <f>Tableau5617192223242425262827293031333432353620383961719241822254140424344104746[[#This Row],[Budget Mission
 €]]/1.2-AX117</f>
        <v>0</v>
      </c>
      <c r="AZ117" s="8">
        <f>IFERROR(VLOOKUP(H117,#REF!,43,FALSE),0)</f>
        <v>0</v>
      </c>
      <c r="BA117" s="8">
        <f>AX117-IFERROR(VLOOKUP(H117,#REF!,42,FALSE),0)</f>
        <v>0</v>
      </c>
      <c r="BB117" s="47">
        <f t="shared" si="33"/>
        <v>0</v>
      </c>
      <c r="BC117" s="24">
        <f>IFERROR(VLOOKUP(H117,#REF!,47,FALSE),IFERROR(VLOOKUP(H117,#REF!,5,FALSE),0)+IFERROR(VLOOKUP(H117,#REF!,5,FALSE),0))</f>
        <v>0</v>
      </c>
      <c r="BD117" s="25">
        <f>IFERROR(VLOOKUP(H117,#REF!,2,FALSE),0)</f>
        <v>0</v>
      </c>
      <c r="BE117" s="25">
        <f>IFERROR(VLOOKUP(H117,#REF!,49,FALSE),0)</f>
        <v>0</v>
      </c>
      <c r="BF117" s="50" t="e">
        <f t="shared" si="25"/>
        <v>#REF!</v>
      </c>
      <c r="BG117" s="50">
        <f t="shared" si="26"/>
        <v>3336.6640003799243</v>
      </c>
      <c r="BH117" s="27">
        <f>AE117+ (AI117-AJ117+AM117+Tableau5617192223242425262827293031333432353620383961719241822254140424344104746[[#This Row],[Int Commandé OT
€]]-Tableau5617192223242425262827293031333432353620383961719241822254140424344104746[[#This Row],[Int Réalisé OT
€]]+AR117) +AY117+BC117</f>
        <v>15257.535999620073</v>
      </c>
      <c r="BI117" s="47">
        <f t="shared" si="37"/>
        <v>0.17944649408847516</v>
      </c>
      <c r="BJ117" s="47" t="e">
        <f t="shared" si="27"/>
        <v>#REF!</v>
      </c>
      <c r="BK117" s="27" t="e">
        <f t="shared" si="28"/>
        <v>#REF!</v>
      </c>
      <c r="BL117" s="26" t="e">
        <f t="shared" si="29"/>
        <v>#REF!</v>
      </c>
      <c r="BM117" s="96">
        <f>IFERROR(VLOOKUP(H117,'[1]2023sep'!H:CA,54,FALSE),105)</f>
        <v>105</v>
      </c>
      <c r="BN117" s="29">
        <v>1</v>
      </c>
      <c r="BO117" s="30" t="e">
        <f>P117-AC117-AG117-AV117-Tableau5617192223242425262827293031333432353620383961719241822254140424344104746[[#This Row],[Provisions pour risques]]</f>
        <v>#REF!</v>
      </c>
      <c r="BP11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18594.199999999997</v>
      </c>
      <c r="BQ11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0.17944649408847516</v>
      </c>
      <c r="BR117" s="97" t="e">
        <f t="shared" si="34"/>
        <v>#REF!</v>
      </c>
      <c r="BS117" s="34">
        <f>Tableau5617192223242425262827293031333432353620383961719241822254140424344104746[[#This Row],[Consommé global Enregistré à date (€ HT)]]-IFERROR(VLOOKUP(H117,#REF!,50,FALSE),0)</f>
        <v>3336.6640003799243</v>
      </c>
      <c r="BT117" s="35" t="e">
        <f t="shared" si="35"/>
        <v>#REF!</v>
      </c>
      <c r="BU117" s="36">
        <f>BD117-IFERROR(VLOOKUP(H117,#REF!,47,FALSE),0)</f>
        <v>0</v>
      </c>
      <c r="BV117" s="37" t="e">
        <f>+BF117+Tableau5617192223242425262827293031333432353620383961719241822254140424344104746[[#This Row],[CA fin N-1]]-IFERROR(VLOOKUP(H117,#REF!,49,FALSE),0)-IFERROR(VLOOKUP(H117,#REF!,50,FALSE),0)</f>
        <v>#REF!</v>
      </c>
      <c r="BW117" s="33">
        <f>BG117-IFERROR(VLOOKUP(H117,#REF!,51,FALSE),0)</f>
        <v>3336.6640003799243</v>
      </c>
      <c r="BX117" s="35" t="e">
        <f t="shared" si="36"/>
        <v>#REF!</v>
      </c>
      <c r="BY117" s="36">
        <f>BD117-IFERROR(VLOOKUP(H117,#REF!,48,FALSE),0)</f>
        <v>0</v>
      </c>
      <c r="BZ11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7" s="39" t="e">
        <f>VLOOKUP(Tableau5617192223242425262827293031333432353620383961719241822254140424344104746[[#This Row],[Num Projets]],#REF!,1,FALSE)</f>
        <v>#REF!</v>
      </c>
      <c r="CB117" s="40">
        <v>380</v>
      </c>
      <c r="CC117" s="40">
        <v>9</v>
      </c>
      <c r="CD11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-380</v>
      </c>
    </row>
    <row r="118" spans="1:82" s="315" customFormat="1" ht="13.5" customHeight="1" x14ac:dyDescent="0.25">
      <c r="A118" s="314" t="s">
        <v>237</v>
      </c>
      <c r="B118" s="1"/>
      <c r="C118" s="2" t="e">
        <f>_xlfn.XLOOKUP(Tableau5617192223242425262827293031333432353620383961719241822254140424344104746[[#This Row],[Num Projets]],#REF!,#REF!,FALSE)</f>
        <v>#REF!</v>
      </c>
      <c r="D118" s="3" t="s">
        <v>192</v>
      </c>
      <c r="E118" s="65" t="e">
        <f>_xlfn.XLOOKUP(Tableau5617192223242425262827293031333432353620383961719241822254140424344104746[[#This Row],[Num Projets]],#REF!,#REF!,FALSE)</f>
        <v>#REF!</v>
      </c>
      <c r="F118" s="65" t="e">
        <f>_xlfn.XLOOKUP(Tableau5617192223242425262827293031333432353620383961719241822254140424344104746[[#This Row],[Num Projets]],#REF!,#REF!,"newavr",0)</f>
        <v>#REF!</v>
      </c>
      <c r="G118" s="65" t="s">
        <v>2</v>
      </c>
      <c r="H118" s="65" t="s">
        <v>238</v>
      </c>
      <c r="I118" s="66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8" s="4" t="e">
        <f>VLOOKUP(Tableau5617192223242425262827293031333432353620383961719241822254140424344104746[[#This Row],[Num Projets]],#REF!,36,FALSE)</f>
        <v>#REF!</v>
      </c>
      <c r="K118" s="99" t="s">
        <v>194</v>
      </c>
      <c r="L118" s="100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8" s="65" t="e">
        <f>SUBSTITUTE(_xlfn.XLOOKUP(Tableau5617192223242425262827293031333432353620383961719241822254140424344104746[[#This Row],[Num Projets]],#REF!,#REF!,FALSE)," ","")</f>
        <v>#REF!</v>
      </c>
      <c r="N118" s="67" t="e">
        <f>VLOOKUP(H118,#REF!,7,FALSE)</f>
        <v>#REF!</v>
      </c>
      <c r="O118" s="67" t="e">
        <f>IF(VLOOKUP(H118,#REF!,27,FALSE)=0,"",VLOOKUP(H118,#REF!,27,FALSE))</f>
        <v>#REF!</v>
      </c>
      <c r="P118" s="107">
        <f>16700000/1.09</f>
        <v>15321100.917431191</v>
      </c>
      <c r="Q118" s="102">
        <f>Tableau5617192223242425262827293031333432353620383961719241822254140424344104746[[#This Row],[Total Budget
€]]-IFERROR(VLOOKUP(H118,#REF!,8,FALSE),0)</f>
        <v>15321100.917431191</v>
      </c>
      <c r="R118" s="68">
        <f>AD118+AI118+Tableau5617192223242425262827293031333432353620383961719241822254140424344104746[[#This Row],[Int Commandé OT
€]]+AX118</f>
        <v>252726.15</v>
      </c>
      <c r="S118" s="68">
        <f>AD118+AJ118+Tableau5617192223242425262827293031333432353620383961719241822254140424344104746[[#This Row],[Int Réalisé OT
€]]+AX118</f>
        <v>351630.99309209007</v>
      </c>
      <c r="T118" s="104">
        <f>IF(P118=0,0,1-(((AD118+AI118+AX118+AP118)+(AE118+AM118+AY118+BC118+AR118))/P118))</f>
        <v>0.80657394230538926</v>
      </c>
      <c r="U118" s="11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0.80657394230538926</v>
      </c>
      <c r="V118" s="94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0.16699999999999998</v>
      </c>
      <c r="W118" s="107">
        <f>IFERROR(VLOOKUP(H118,#REF!,2,FALSE),0)</f>
        <v>0</v>
      </c>
      <c r="X118" s="13">
        <f>IFERROR(VLOOKUP(H118,#REF!,2,FALSE),0)</f>
        <v>0</v>
      </c>
      <c r="Y118" s="68">
        <f>IFERROR(VLOOKUP(H118,#REF!,3,FALSE),0)</f>
        <v>0</v>
      </c>
      <c r="Z11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25330</v>
      </c>
      <c r="AA118" s="68">
        <f>IFERROR(VLOOKUP(H118,#REF!,18,FALSE),0)</f>
        <v>0</v>
      </c>
      <c r="AB118" s="68">
        <f>SUM(X118:Y118)-IFERROR(VLOOKUP(H118,#REF!,16,FALSE),0)-IFERROR(VLOOKUP(H118,#REF!,17,FALSE),0)</f>
        <v>0</v>
      </c>
      <c r="AC118" s="101">
        <f>Tableau5617192223242425262827293031333432353620383961719241822254140424344104746[[#This Row],[Budget Heures
Hrs]]*105</f>
        <v>0</v>
      </c>
      <c r="AD118" s="68">
        <f>IFERROR(VLOOKUP(Tableau5617192223242425262827293031333432353620383961719241822254140424344104746[[#This Row],[Num Projets]],#REF!,2,FALSE),0)</f>
        <v>0</v>
      </c>
      <c r="AE118" s="107">
        <f t="shared" si="23"/>
        <v>1210774</v>
      </c>
      <c r="AF118" s="69">
        <f>IF(AC118=0,0,1-((AD118+AE118)/AC118))</f>
        <v>0</v>
      </c>
      <c r="AG118" s="88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13821100.917431191</v>
      </c>
      <c r="AH118" s="107">
        <f>IFERROR(VLOOKUP(Tableau5617192223242425262827293031333432353620383961719241822254140424344104746[[#This Row],[Num Projets]],#REF!,2,FALSE),0)</f>
        <v>0</v>
      </c>
      <c r="AI118" s="92">
        <f>+IFERROR(VLOOKUP(H118,#REF!,2,FALSE),0)-Tableau5617192223242425262827293031333432353620383961719241822254140424344104746[[#This Row],[Int Commandé OT
€]]+139595*2*0.9+1455.15</f>
        <v>252726.15</v>
      </c>
      <c r="AJ118" s="88">
        <f>IFERROR(VLOOKUP(H118,#REF!,11,FALSE),0)-IFERROR(VLOOKUP(H118,#REF!,10,FALSE),0)+Tableau5617192223242425262827293031333432353620383961719241822254140424344104746[[#This Row],[dont FNP à date (€ HT)]]+92839.05+104649.27</f>
        <v>351630.99309209007</v>
      </c>
      <c r="AK118" s="113">
        <f>AI118-AJ118</f>
        <v>-98904.843092090072</v>
      </c>
      <c r="AL118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154142.67309209003</v>
      </c>
      <c r="AM118" s="19">
        <f>IF(Tableau5617192223242425262827293031333432353620383961719241822254140424344104746[[#This Row],[RAF Achats M-1
€]]=0,0,AN118-AO118)</f>
        <v>0</v>
      </c>
      <c r="AN118" s="107">
        <f>IFERROR(VLOOKUP(H118,#REF!,31,FALSE),0)</f>
        <v>0</v>
      </c>
      <c r="AO118" s="107">
        <f>AI118+-IFERROR(VLOOKUP(H118,#REF!,27,FALSE),0)</f>
        <v>252726.15</v>
      </c>
      <c r="AP118" s="17">
        <f>IFERROR(VLOOKUP(Tableau5617192223242425262827293031333432353620383961719241822254140424344104746[[#This Row],[Num Projets]],#REF!,2,FALSE),0)</f>
        <v>0</v>
      </c>
      <c r="AQ118" s="20">
        <f>_xlfn.XLOOKUP(H118,[2]Synth!$N:$N,[2]Synth!$O:$O,0,FALSE)+_xlfn.XLOOKUP(Tableau5617192223242425262827293031333432353620383961719241822254140424344104746[[#This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18" s="110">
        <v>0</v>
      </c>
      <c r="AS118" s="20">
        <f>+IFERROR(VLOOKUP(H118,#REF!,36,FALSE),0)</f>
        <v>0</v>
      </c>
      <c r="AT11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8" s="69">
        <f>IF(AG118=0,0,1-((AI118+AM118+Tableau5617192223242425262827293031333432353620383961719241822254140424344104746[[#This Row],[Int Commandé OT
€]]+Tableau5617192223242425262827293031333432353620383961719241822254140424344104746[[#This Row],[RAF Int OT
€]])/AG118))</f>
        <v>0.98171447039495519</v>
      </c>
      <c r="AV118" s="107">
        <f>IFERROR(VLOOKUP(H118,#REF!,4,FALSE),0)+IFERROR(VLOOKUP(H118,#REF!,4,FALSE),0)</f>
        <v>0</v>
      </c>
      <c r="AW118" s="46">
        <f>IFERROR(VLOOKUP(Tableau5617192223242425262827293031333432353620383961719241822254140424344104746[[#This Row],[Num Projets]],#REF!,3,FALSE),0)</f>
        <v>0</v>
      </c>
      <c r="AX118" s="149">
        <f>IFERROR(VLOOKUP(Tableau5617192223242425262827293031333432353620383961719241822254140424344104746[[#This Row],[Num Projets]],#REF!,10,FALSE),0)</f>
        <v>0</v>
      </c>
      <c r="AY118" s="23">
        <v>0</v>
      </c>
      <c r="AZ118" s="46">
        <f>IFERROR(VLOOKUP(H118,#REF!,43,FALSE),0)</f>
        <v>0</v>
      </c>
      <c r="BA118" s="46">
        <f>AX118-IFERROR(VLOOKUP(H118,#REF!,42,FALSE),0)</f>
        <v>0</v>
      </c>
      <c r="BB118" s="87">
        <f t="shared" si="33"/>
        <v>0</v>
      </c>
      <c r="BC118" s="150">
        <f>2000000-500000</f>
        <v>1500000</v>
      </c>
      <c r="BD118" s="114">
        <f>IFERROR(VLOOKUP(H118,#REF!,2,FALSE),0)</f>
        <v>0</v>
      </c>
      <c r="BE118" s="114">
        <f>IFERROR(VLOOKUP(H118,#REF!,49,FALSE),0)</f>
        <v>0</v>
      </c>
      <c r="BF118" s="72">
        <f t="shared" si="25"/>
        <v>1817909.1136069156</v>
      </c>
      <c r="BG118" s="72">
        <f t="shared" si="26"/>
        <v>351630.99309209007</v>
      </c>
      <c r="BH118" s="115">
        <f>AE118+ (AI118-AJ118+AM118+Tableau5617192223242425262827293031333432353620383961719241822254140424344104746[[#This Row],[Int Commandé OT
€]]-Tableau5617192223242425262827293031333432353620383961719241822254140424344104746[[#This Row],[Int Réalisé OT
€]]+AR118) +AY118+BC118</f>
        <v>2611869.15690791</v>
      </c>
      <c r="BI118" s="87">
        <f t="shared" si="37"/>
        <v>0.11865394813362505</v>
      </c>
      <c r="BJ118" s="87">
        <f t="shared" si="27"/>
        <v>0</v>
      </c>
      <c r="BK118" s="52">
        <f t="shared" si="28"/>
        <v>0</v>
      </c>
      <c r="BL118" s="53">
        <f t="shared" si="29"/>
        <v>1817909.1136069156</v>
      </c>
      <c r="BM118" s="137">
        <f>IFERROR(VLOOKUP(H118,'[1]2023sep'!H:CA,54,FALSE),105)</f>
        <v>105</v>
      </c>
      <c r="BN118" s="75">
        <v>0.35</v>
      </c>
      <c r="BO118" s="118">
        <f>P118-AC118-AG118-AV118-Tableau5617192223242425262827293031333432353620383961719241822254140424344104746[[#This Row],[Provisions pour risques]]</f>
        <v>0</v>
      </c>
      <c r="BP118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2963500.15</v>
      </c>
      <c r="BQ118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0.11865394813362505</v>
      </c>
      <c r="BR118" s="120">
        <f t="shared" si="34"/>
        <v>1817909.1136069156</v>
      </c>
      <c r="BS118" s="79">
        <f>Tableau5617192223242425262827293031333432353620383961719241822254140424344104746[[#This Row],[Consommé global Enregistré à date (€ HT)]]-IFERROR(VLOOKUP(H118,#REF!,50,FALSE),0)</f>
        <v>351630.99309209007</v>
      </c>
      <c r="BT118" s="80">
        <f>BR118-BS118</f>
        <v>1466278.1205148255</v>
      </c>
      <c r="BU118" s="121">
        <f>BD118-IFERROR(VLOOKUP(H118,#REF!,47,FALSE),0)</f>
        <v>0</v>
      </c>
      <c r="BV118" s="122">
        <f>+BF118+Tableau5617192223242425262827293031333432353620383961719241822254140424344104746[[#This Row],[CA fin N-1]]-IFERROR(VLOOKUP(H118,#REF!,49,FALSE),0)-IFERROR(VLOOKUP(H118,#REF!,50,FALSE),0)</f>
        <v>1817909.1136069156</v>
      </c>
      <c r="BW118" s="151">
        <f>BG118-IFERROR(VLOOKUP(H118,#REF!,51,FALSE),0)</f>
        <v>351630.99309209007</v>
      </c>
      <c r="BX118" s="152">
        <f t="shared" si="36"/>
        <v>1466278.1205148255</v>
      </c>
      <c r="BY118" s="138">
        <f>BD118-IFERROR(VLOOKUP(H118,#REF!,48,FALSE),0)</f>
        <v>0</v>
      </c>
      <c r="BZ118" s="139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3544476.2074940009</v>
      </c>
      <c r="CA118" s="39" t="e">
        <f>VLOOKUP(Tableau5617192223242425262827293031333432353620383961719241822254140424344104746[[#This Row],[Num Projets]],#REF!,1,FALSE)</f>
        <v>#REF!</v>
      </c>
      <c r="CB118" s="40">
        <v>1296.5</v>
      </c>
      <c r="CC118" s="40">
        <v>24033.5</v>
      </c>
      <c r="CD11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-1296.5</v>
      </c>
    </row>
    <row r="119" spans="1:82" ht="13.5" customHeight="1" x14ac:dyDescent="0.25">
      <c r="A119" s="311" t="s">
        <v>239</v>
      </c>
      <c r="B119" s="1"/>
      <c r="C119" s="2" t="e">
        <f>_xlfn.XLOOKUP(Tableau5617192223242425262827293031333432353620383961719241822254140424344104746[[#This Row],[Num Projets]],#REF!,#REF!,FALSE)</f>
        <v>#REF!</v>
      </c>
      <c r="D119" s="3" t="s">
        <v>1</v>
      </c>
      <c r="E119" s="3" t="e">
        <f>_xlfn.XLOOKUP(Tableau5617192223242425262827293031333432353620383961719241822254140424344104746[[#This Row],[Num Projets]],#REF!,#REF!,FALSE)</f>
        <v>#REF!</v>
      </c>
      <c r="F119" s="3" t="e">
        <f>_xlfn.XLOOKUP(Tableau5617192223242425262827293031333432353620383961719241822254140424344104746[[#This Row],[Num Projets]],#REF!,#REF!,"newavr",0)</f>
        <v>#REF!</v>
      </c>
      <c r="G119" s="3" t="s">
        <v>2</v>
      </c>
      <c r="H119" s="3" t="s">
        <v>240</v>
      </c>
      <c r="I11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19" s="4" t="e">
        <f>VLOOKUP(Tableau5617192223242425262827293031333432353620383961719241822254140424344104746[[#This Row],[Num Projets]],#REF!,36,FALSE)</f>
        <v>#REF!</v>
      </c>
      <c r="K119" s="5" t="s">
        <v>4</v>
      </c>
      <c r="L11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19" s="3" t="e">
        <f>SUBSTITUTE(_xlfn.XLOOKUP(Tableau5617192223242425262827293031333432353620383961719241822254140424344104746[[#This Row],[Num Projets]],#REF!,#REF!,FALSE)," ","")</f>
        <v>#REF!</v>
      </c>
      <c r="N119" s="7" t="e">
        <f>VLOOKUP(H119,#REF!,7,FALSE)</f>
        <v>#REF!</v>
      </c>
      <c r="O119" s="7" t="e">
        <f>IF(VLOOKUP(H119,#REF!,27,FALSE)=0,"",VLOOKUP(H119,#REF!,27,FALSE))</f>
        <v>#REF!</v>
      </c>
      <c r="P119" s="8" t="e">
        <f>VLOOKUP(H119,#REF!,2,FALSE)</f>
        <v>#REF!</v>
      </c>
      <c r="Q119" s="9" t="e">
        <f>Tableau5617192223242425262827293031333432353620383961719241822254140424344104746[[#This Row],[Total Budget
€]]-IFERROR(VLOOKUP(H119,#REF!,8,FALSE),0)</f>
        <v>#REF!</v>
      </c>
      <c r="R119" s="15">
        <f>AD119+AI119+Tableau5617192223242425262827293031333432353620383961719241822254140424344104746[[#This Row],[Int Commandé OT
€]]+AX119</f>
        <v>0</v>
      </c>
      <c r="S119" s="15">
        <f>AD119+AJ119+Tableau5617192223242425262827293031333432353620383961719241822254140424344104746[[#This Row],[Int Réalisé OT
€]]+AX119</f>
        <v>10244.699999999999</v>
      </c>
      <c r="T119" s="94" t="e">
        <f t="shared" si="22"/>
        <v>#REF!</v>
      </c>
      <c r="U11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19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19" s="42" t="e">
        <f>Tableau5617192223242425262827293031333432353620383961719241822254140424344104746[[#This Row],[Budget Heures Valorisées
€]]/105</f>
        <v>#REF!</v>
      </c>
      <c r="X119" s="13">
        <f>IFERROR(VLOOKUP(H119,#REF!,2,FALSE),0)</f>
        <v>0</v>
      </c>
      <c r="Y119" s="13">
        <f>IFERROR(VLOOKUP(H119,#REF!,3,FALSE),0)</f>
        <v>0</v>
      </c>
      <c r="Z11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</v>
      </c>
      <c r="AA119" s="13">
        <f>IFERROR(VLOOKUP(H119,#REF!,18,FALSE),0)</f>
        <v>0</v>
      </c>
      <c r="AB119" s="13">
        <f>SUM(X119:Y119)-IFERROR(VLOOKUP(H119,#REF!,16,FALSE),0)-IFERROR(VLOOKUP(H119,#REF!,17,FALSE),0)</f>
        <v>0</v>
      </c>
      <c r="AC119" s="15" t="e">
        <f>VLOOKUP(Tableau5617192223242425262827293031333432353620383961719241822254140424344104746[[#This Row],[Num Projets]],#REF!,2,FALSE)</f>
        <v>#REF!</v>
      </c>
      <c r="AD119" s="15">
        <f>IFERROR(VLOOKUP(Tableau5617192223242425262827293031333432353620383961719241822254140424344104746[[#This Row],[Num Projets]],#REF!,2,FALSE),0)</f>
        <v>0</v>
      </c>
      <c r="AE119" s="8">
        <f t="shared" si="23"/>
        <v>1338.3999999999999</v>
      </c>
      <c r="AF119" s="22" t="e">
        <f t="shared" si="24"/>
        <v>#REF!</v>
      </c>
      <c r="AG119" s="8">
        <f>IFERROR(VLOOKUP(H119,#REF!,3,FALSE),0)+IFERROR(VLOOKUP(H119,#REF!,3,FALSE),0)</f>
        <v>0</v>
      </c>
      <c r="AH119" s="8">
        <f>IFERROR(VLOOKUP(Tableau5617192223242425262827293031333432353620383961719241822254140424344104746[[#This Row],[Num Projets]],#REF!,2,FALSE),0)</f>
        <v>0</v>
      </c>
      <c r="AI119" s="17">
        <f>+IFERROR(VLOOKUP(H119,#REF!,2,FALSE),0)-Tableau5617192223242425262827293031333432353620383961719241822254140424344104746[[#This Row],[Int Commandé OT
€]]</f>
        <v>0</v>
      </c>
      <c r="AJ119" s="8">
        <f>IFERROR(VLOOKUP(H119,#REF!,11,FALSE),0)-IFERROR(VLOOKUP(H119,#REF!,10,FALSE),0)+Tableau5617192223242425262827293031333432353620383961719241822254140424344104746[[#This Row],[dont FNP à date (€ HT)]]</f>
        <v>0</v>
      </c>
      <c r="AK119" s="15">
        <f t="shared" si="30"/>
        <v>0</v>
      </c>
      <c r="AL11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19" s="19">
        <f>IF(Tableau5617192223242425262827293031333432353620383961719241822254140424344104746[[#This Row],[RAF Achats M-1
€]]=0,0,AN119-AO119)</f>
        <v>0</v>
      </c>
      <c r="AN119" s="8">
        <f>IFERROR(VLOOKUP(H119,#REF!,31,FALSE),0)</f>
        <v>0</v>
      </c>
      <c r="AO119" s="8">
        <f>AI119+-IFERROR(VLOOKUP(H119,#REF!,27,FALSE),0)</f>
        <v>0</v>
      </c>
      <c r="AP119" s="20">
        <f>IFERROR(VLOOKUP(Tableau5617192223242425262827293031333432353620383961719241822254140424344104746[[#This Row],[Num Projets]],#REF!,2,FALSE),0)</f>
        <v>0</v>
      </c>
      <c r="AQ119" s="20">
        <f>_xlfn.XLOOKUP(H119,[2]Synth!$N:$N,[2]Synth!$O:$O,0,FALSE)+_xlfn.XLOOKUP(Tableau5617192223242425262827293031333432353620383961719241822254140424344104746[[#This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10244.699999999999</v>
      </c>
      <c r="AR119" s="21">
        <v>0</v>
      </c>
      <c r="AS119" s="20">
        <f>+IFERROR(VLOOKUP(H119,#REF!,36,FALSE),0)</f>
        <v>0</v>
      </c>
      <c r="AT11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19" s="22">
        <f>IF(AG119=0,0,1-((AI119+AM119+Tableau5617192223242425262827293031333432353620383961719241822254140424344104746[[#This Row],[Int Commandé OT
€]]+Tableau5617192223242425262827293031333432353620383961719241822254140424344104746[[#This Row],[RAF Int OT
€]])/AG119))</f>
        <v>0</v>
      </c>
      <c r="AV119" s="8">
        <f>IFERROR(VLOOKUP(H119,#REF!,4,FALSE),0)+IFERROR(VLOOKUP(H119,#REF!,4,FALSE),0)</f>
        <v>0</v>
      </c>
      <c r="AW119" s="8">
        <f>IFERROR(VLOOKUP(Tableau5617192223242425262827293031333432353620383961719241822254140424344104746[[#This Row],[Num Projets]],#REF!,3,FALSE),0)</f>
        <v>0</v>
      </c>
      <c r="AX119" s="95">
        <f>IFERROR(VLOOKUP(Tableau5617192223242425262827293031333432353620383961719241822254140424344104746[[#This Row],[Num Projets]],#REF!,10,FALSE),0)</f>
        <v>0</v>
      </c>
      <c r="AY119" s="23">
        <f>Tableau5617192223242425262827293031333432353620383961719241822254140424344104746[[#This Row],[Budget Mission
 €]]/1.2-AX119</f>
        <v>0</v>
      </c>
      <c r="AZ119" s="8">
        <f>IFERROR(VLOOKUP(H119,#REF!,43,FALSE),0)</f>
        <v>0</v>
      </c>
      <c r="BA119" s="8">
        <f>AX119-IFERROR(VLOOKUP(H119,#REF!,42,FALSE),0)</f>
        <v>0</v>
      </c>
      <c r="BB119" s="47">
        <f t="shared" si="33"/>
        <v>0</v>
      </c>
      <c r="BC119" s="24">
        <f>IFERROR(VLOOKUP(H119,#REF!,47,FALSE),IFERROR(VLOOKUP(H119,#REF!,5,FALSE),0)+IFERROR(VLOOKUP(H119,#REF!,5,FALSE),0))</f>
        <v>0</v>
      </c>
      <c r="BD119" s="25">
        <f>IFERROR(VLOOKUP(H119,#REF!,2,FALSE),0)</f>
        <v>0</v>
      </c>
      <c r="BE119" s="25">
        <f>IFERROR(VLOOKUP(H119,#REF!,49,FALSE),0)</f>
        <v>0</v>
      </c>
      <c r="BF119" s="50" t="e">
        <f t="shared" si="25"/>
        <v>#REF!</v>
      </c>
      <c r="BG119" s="50">
        <f t="shared" si="26"/>
        <v>10244.699999999999</v>
      </c>
      <c r="BH119" s="27">
        <f>AE119+ (AI119-AJ119+AM119+Tableau5617192223242425262827293031333432353620383961719241822254140424344104746[[#This Row],[Int Commandé OT
€]]-Tableau5617192223242425262827293031333432353620383961719241822254140424344104746[[#This Row],[Int Réalisé OT
€]]+AR119) +AY119+BC119</f>
        <v>-8906.2999999999993</v>
      </c>
      <c r="BI119" s="47">
        <f t="shared" si="37"/>
        <v>7.6544381350866715</v>
      </c>
      <c r="BJ119" s="47" t="e">
        <f t="shared" si="27"/>
        <v>#REF!</v>
      </c>
      <c r="BK119" s="27" t="e">
        <f t="shared" si="28"/>
        <v>#REF!</v>
      </c>
      <c r="BL119" s="26" t="e">
        <f t="shared" si="29"/>
        <v>#REF!</v>
      </c>
      <c r="BM119" s="96">
        <f>IFERROR(VLOOKUP(H119,'[1]2023sep'!H:CA,54,FALSE),105)</f>
        <v>105</v>
      </c>
      <c r="BN119" s="29">
        <v>1</v>
      </c>
      <c r="BO119" s="30" t="e">
        <f>P119-AC119-AG119-AV119-Tableau5617192223242425262827293031333432353620383961719241822254140424344104746[[#This Row],[Provisions pour risques]]</f>
        <v>#REF!</v>
      </c>
      <c r="BP11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1338.3999999999996</v>
      </c>
      <c r="BQ11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7.6544381350866715</v>
      </c>
      <c r="BR119" s="97" t="e">
        <f t="shared" si="34"/>
        <v>#REF!</v>
      </c>
      <c r="BS119" s="34">
        <f>Tableau5617192223242425262827293031333432353620383961719241822254140424344104746[[#This Row],[Consommé global Enregistré à date (€ HT)]]-IFERROR(VLOOKUP(H119,#REF!,50,FALSE),0)</f>
        <v>10244.699999999999</v>
      </c>
      <c r="BT119" s="35" t="e">
        <f t="shared" si="35"/>
        <v>#REF!</v>
      </c>
      <c r="BU119" s="36">
        <f>BD119-IFERROR(VLOOKUP(H119,#REF!,47,FALSE),0)</f>
        <v>0</v>
      </c>
      <c r="BV119" s="37" t="e">
        <f>+BF119+Tableau5617192223242425262827293031333432353620383961719241822254140424344104746[[#This Row],[CA fin N-1]]-IFERROR(VLOOKUP(H119,#REF!,49,FALSE),0)-IFERROR(VLOOKUP(H119,#REF!,50,FALSE),0)</f>
        <v>#REF!</v>
      </c>
      <c r="BW119" s="33">
        <f>BG119-IFERROR(VLOOKUP(H119,#REF!,51,FALSE),0)</f>
        <v>10244.699999999999</v>
      </c>
      <c r="BX119" s="35" t="e">
        <f t="shared" si="36"/>
        <v>#REF!</v>
      </c>
      <c r="BY119" s="36">
        <f>BD119-IFERROR(VLOOKUP(H119,#REF!,48,FALSE),0)</f>
        <v>0</v>
      </c>
      <c r="BZ11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19" s="39" t="e">
        <f>VLOOKUP(Tableau5617192223242425262827293031333432353620383961719241822254140424344104746[[#This Row],[Num Projets]],#REF!,1,FALSE)</f>
        <v>#REF!</v>
      </c>
      <c r="CB119" s="40">
        <v>28</v>
      </c>
      <c r="CC119" s="40">
        <v>0</v>
      </c>
      <c r="CD11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</v>
      </c>
    </row>
    <row r="120" spans="1:82" ht="13.5" customHeight="1" x14ac:dyDescent="0.25">
      <c r="A120" s="313" t="s">
        <v>241</v>
      </c>
      <c r="B120" s="1"/>
      <c r="C120" s="2" t="e">
        <f>_xlfn.XLOOKUP(Tableau5617192223242425262827293031333432353620383961719241822254140424344104746[[#This Row],[Num Projets]],#REF!,#REF!,FALSE)</f>
        <v>#REF!</v>
      </c>
      <c r="D120" s="3" t="s">
        <v>1</v>
      </c>
      <c r="E120" s="3" t="e">
        <f>_xlfn.XLOOKUP(Tableau5617192223242425262827293031333432353620383961719241822254140424344104746[[#This Row],[Num Projets]],#REF!,#REF!,FALSE)</f>
        <v>#REF!</v>
      </c>
      <c r="F120" s="3" t="s">
        <v>165</v>
      </c>
      <c r="G120" s="3" t="s">
        <v>2</v>
      </c>
      <c r="H120" s="3" t="s">
        <v>242</v>
      </c>
      <c r="I12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0" s="4" t="e">
        <f>VLOOKUP(Tableau5617192223242425262827293031333432353620383961719241822254140424344104746[[#This Row],[Num Projets]],#REF!,36,FALSE)</f>
        <v>#REF!</v>
      </c>
      <c r="K120" s="5" t="s">
        <v>4</v>
      </c>
      <c r="L12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0" s="3" t="e">
        <f>SUBSTITUTE(_xlfn.XLOOKUP(Tableau5617192223242425262827293031333432353620383961719241822254140424344104746[[#This Row],[Num Projets]],#REF!,#REF!,FALSE)," ","")</f>
        <v>#REF!</v>
      </c>
      <c r="N120" s="7" t="e">
        <f>VLOOKUP(H120,#REF!,7,FALSE)</f>
        <v>#REF!</v>
      </c>
      <c r="O120" s="7">
        <v>45747</v>
      </c>
      <c r="P120" s="8" t="e">
        <f>VLOOKUP(H120,#REF!,2,FALSE)</f>
        <v>#REF!</v>
      </c>
      <c r="Q120" s="9" t="e">
        <f>Tableau5617192223242425262827293031333432353620383961719241822254140424344104746[[#This Row],[Total Budget
€]]-IFERROR(VLOOKUP(H120,#REF!,8,FALSE),0)</f>
        <v>#REF!</v>
      </c>
      <c r="R120" s="15">
        <f>AD120+AI120+Tableau5617192223242425262827293031333432353620383961719241822254140424344104746[[#This Row],[Int Commandé OT
€]]+AX120</f>
        <v>0</v>
      </c>
      <c r="S120" s="15">
        <f>AD120+AJ120+Tableau5617192223242425262827293031333432353620383961719241822254140424344104746[[#This Row],[Int Réalisé OT
€]]+AX120</f>
        <v>0</v>
      </c>
      <c r="T120" s="94" t="e">
        <f t="shared" si="22"/>
        <v>#REF!</v>
      </c>
      <c r="U12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0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0" s="42" t="e">
        <f>Tableau5617192223242425262827293031333432353620383961719241822254140424344104746[[#This Row],[Budget Heures Valorisées
€]]/105</f>
        <v>#REF!</v>
      </c>
      <c r="X120" s="13">
        <f>IFERROR(VLOOKUP(H120,#REF!,2,FALSE),0)</f>
        <v>0</v>
      </c>
      <c r="Y120" s="13">
        <f>IFERROR(VLOOKUP(H120,#REF!,3,FALSE),0)</f>
        <v>0</v>
      </c>
      <c r="Z12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46.5</v>
      </c>
      <c r="AA120" s="13">
        <f>IFERROR(VLOOKUP(H120,#REF!,18,FALSE),0)</f>
        <v>0</v>
      </c>
      <c r="AB120" s="13">
        <f>SUM(X120:Y120)-IFERROR(VLOOKUP(H120,#REF!,16,FALSE),0)-IFERROR(VLOOKUP(H120,#REF!,17,FALSE),0)</f>
        <v>0</v>
      </c>
      <c r="AC120" s="15" t="e">
        <f>VLOOKUP(Tableau5617192223242425262827293031333432353620383961719241822254140424344104746[[#This Row],[Num Projets]],#REF!,2,FALSE)</f>
        <v>#REF!</v>
      </c>
      <c r="AD120" s="15">
        <f>IFERROR(VLOOKUP(Tableau5617192223242425262827293031333432353620383961719241822254140424344104746[[#This Row],[Num Projets]],#REF!,2,FALSE),0)</f>
        <v>0</v>
      </c>
      <c r="AE120" s="8">
        <f t="shared" si="23"/>
        <v>2222.6999999999998</v>
      </c>
      <c r="AF120" s="22" t="e">
        <f t="shared" si="24"/>
        <v>#REF!</v>
      </c>
      <c r="AG120" s="8">
        <f>IFERROR(VLOOKUP(H120,#REF!,3,FALSE),0)+IFERROR(VLOOKUP(H120,#REF!,3,FALSE),0)</f>
        <v>0</v>
      </c>
      <c r="AH120" s="8">
        <f>IFERROR(VLOOKUP(Tableau5617192223242425262827293031333432353620383961719241822254140424344104746[[#This Row],[Num Projets]],#REF!,2,FALSE),0)</f>
        <v>0</v>
      </c>
      <c r="AI120" s="17">
        <f>+IFERROR(VLOOKUP(H120,#REF!,2,FALSE),0)-Tableau5617192223242425262827293031333432353620383961719241822254140424344104746[[#This Row],[Int Commandé OT
€]]</f>
        <v>0</v>
      </c>
      <c r="AJ120" s="8">
        <f>IFERROR(VLOOKUP(H120,#REF!,11,FALSE),0)-IFERROR(VLOOKUP(H120,#REF!,10,FALSE),0)+Tableau5617192223242425262827293031333432353620383961719241822254140424344104746[[#This Row],[dont FNP à date (€ HT)]]</f>
        <v>0</v>
      </c>
      <c r="AK120" s="15">
        <f t="shared" si="30"/>
        <v>0</v>
      </c>
      <c r="AL12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0" s="19">
        <f>IF(Tableau5617192223242425262827293031333432353620383961719241822254140424344104746[[#This Row],[RAF Achats M-1
€]]=0,0,AN120-AO120)</f>
        <v>0</v>
      </c>
      <c r="AN120" s="8">
        <f>IFERROR(VLOOKUP(H120,#REF!,31,FALSE),0)</f>
        <v>0</v>
      </c>
      <c r="AO120" s="8">
        <f>AI120+-IFERROR(VLOOKUP(H120,#REF!,27,FALSE),0)</f>
        <v>0</v>
      </c>
      <c r="AP120" s="20">
        <f>IFERROR(VLOOKUP(Tableau5617192223242425262827293031333432353620383961719241822254140424344104746[[#This Row],[Num Projets]],#REF!,2,FALSE),0)</f>
        <v>0</v>
      </c>
      <c r="AQ120" s="20">
        <f>_xlfn.XLOOKUP(H120,[2]Synth!$N:$N,[2]Synth!$O:$O,0,FALSE)+_xlfn.XLOOKUP(Tableau5617192223242425262827293031333432353620383961719241822254140424344104746[[#This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0" s="21">
        <v>0</v>
      </c>
      <c r="AS120" s="20">
        <f>+IFERROR(VLOOKUP(H120,#REF!,36,FALSE),0)</f>
        <v>0</v>
      </c>
      <c r="AT12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0" s="22">
        <f>IF(AG120=0,0,1-((AI120+AM120+Tableau5617192223242425262827293031333432353620383961719241822254140424344104746[[#This Row],[Int Commandé OT
€]]+Tableau5617192223242425262827293031333432353620383961719241822254140424344104746[[#This Row],[RAF Int OT
€]])/AG120))</f>
        <v>0</v>
      </c>
      <c r="AV120" s="8">
        <f>IFERROR(VLOOKUP(H120,#REF!,4,FALSE),0)+IFERROR(VLOOKUP(H120,#REF!,4,FALSE),0)</f>
        <v>0</v>
      </c>
      <c r="AW120" s="8">
        <f>IFERROR(VLOOKUP(Tableau5617192223242425262827293031333432353620383961719241822254140424344104746[[#This Row],[Num Projets]],#REF!,3,FALSE),0)</f>
        <v>0</v>
      </c>
      <c r="AX120" s="95">
        <f>IFERROR(VLOOKUP(Tableau5617192223242425262827293031333432353620383961719241822254140424344104746[[#This Row],[Num Projets]],#REF!,10,FALSE),0)</f>
        <v>0</v>
      </c>
      <c r="AY120" s="23">
        <f>Tableau5617192223242425262827293031333432353620383961719241822254140424344104746[[#This Row],[Budget Mission
 €]]/1.2-AX120</f>
        <v>0</v>
      </c>
      <c r="AZ120" s="8">
        <f>IFERROR(VLOOKUP(H120,#REF!,43,FALSE),0)</f>
        <v>0</v>
      </c>
      <c r="BA120" s="8">
        <f>AX120-IFERROR(VLOOKUP(H120,#REF!,42,FALSE),0)</f>
        <v>0</v>
      </c>
      <c r="BB120" s="47">
        <f t="shared" si="33"/>
        <v>0</v>
      </c>
      <c r="BC120" s="24">
        <f>IFERROR(VLOOKUP(H120,#REF!,47,FALSE),IFERROR(VLOOKUP(H120,#REF!,5,FALSE),0)+IFERROR(VLOOKUP(H120,#REF!,5,FALSE),0))</f>
        <v>0</v>
      </c>
      <c r="BD120" s="25">
        <f>IFERROR(VLOOKUP(H120,#REF!,2,FALSE),0)</f>
        <v>0</v>
      </c>
      <c r="BE120" s="25">
        <f>IFERROR(VLOOKUP(H120,#REF!,49,FALSE),0)</f>
        <v>0</v>
      </c>
      <c r="BF120" s="50" t="e">
        <f t="shared" si="25"/>
        <v>#REF!</v>
      </c>
      <c r="BG120" s="50">
        <f t="shared" si="26"/>
        <v>0</v>
      </c>
      <c r="BH120" s="27">
        <f>AE120+ (AI120-AJ120+AM120+Tableau5617192223242425262827293031333432353620383961719241822254140424344104746[[#This Row],[Int Commandé OT
€]]-Tableau5617192223242425262827293031333432353620383961719241822254140424344104746[[#This Row],[Int Réalisé OT
€]]+AR120) +AY120+BC120</f>
        <v>2222.6999999999998</v>
      </c>
      <c r="BI120" s="47">
        <f t="shared" si="37"/>
        <v>0</v>
      </c>
      <c r="BJ120" s="47" t="e">
        <f t="shared" si="27"/>
        <v>#REF!</v>
      </c>
      <c r="BK120" s="27" t="e">
        <f t="shared" si="28"/>
        <v>#REF!</v>
      </c>
      <c r="BL120" s="26" t="e">
        <f t="shared" si="29"/>
        <v>#REF!</v>
      </c>
      <c r="BM120" s="96">
        <f>IFERROR(VLOOKUP(H120,'[1]2023sep'!H:CA,54,FALSE),105)</f>
        <v>105</v>
      </c>
      <c r="BN120" s="29">
        <v>1</v>
      </c>
      <c r="BO120" s="30" t="e">
        <f>P120-AC120-AG120-AV120-Tableau5617192223242425262827293031333432353620383961719241822254140424344104746[[#This Row],[Provisions pour risques]]</f>
        <v>#REF!</v>
      </c>
      <c r="BP12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2222.6999999999998</v>
      </c>
      <c r="BQ12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20" s="97" t="e">
        <f t="shared" si="34"/>
        <v>#REF!</v>
      </c>
      <c r="BS120" s="34">
        <f>Tableau5617192223242425262827293031333432353620383961719241822254140424344104746[[#This Row],[Consommé global Enregistré à date (€ HT)]]-IFERROR(VLOOKUP(H120,#REF!,50,FALSE),0)</f>
        <v>0</v>
      </c>
      <c r="BT120" s="35" t="e">
        <f t="shared" si="35"/>
        <v>#REF!</v>
      </c>
      <c r="BU120" s="36">
        <f>BD120-IFERROR(VLOOKUP(H120,#REF!,47,FALSE),0)</f>
        <v>0</v>
      </c>
      <c r="BV120" s="37" t="e">
        <f>+BF120+Tableau5617192223242425262827293031333432353620383961719241822254140424344104746[[#This Row],[CA fin N-1]]-IFERROR(VLOOKUP(H120,#REF!,49,FALSE),0)-IFERROR(VLOOKUP(H120,#REF!,50,FALSE),0)</f>
        <v>#REF!</v>
      </c>
      <c r="BW120" s="33">
        <f>BG120-IFERROR(VLOOKUP(H120,#REF!,51,FALSE),0)</f>
        <v>0</v>
      </c>
      <c r="BX120" s="35" t="e">
        <f t="shared" si="36"/>
        <v>#REF!</v>
      </c>
      <c r="BY120" s="36">
        <f>BD120-IFERROR(VLOOKUP(H120,#REF!,48,FALSE),0)</f>
        <v>0</v>
      </c>
      <c r="BZ12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0" s="39" t="e">
        <f>VLOOKUP(Tableau5617192223242425262827293031333432353620383961719241822254140424344104746[[#This Row],[Num Projets]],#REF!,1,FALSE)</f>
        <v>#REF!</v>
      </c>
      <c r="CB120" s="40">
        <v>46.5</v>
      </c>
      <c r="CC120" s="40">
        <v>0</v>
      </c>
      <c r="CD12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-46.5</v>
      </c>
    </row>
    <row r="121" spans="1:82" ht="13.5" customHeight="1" x14ac:dyDescent="0.25">
      <c r="A121" s="311"/>
      <c r="B121" s="1"/>
      <c r="C121" s="2" t="e">
        <f>_xlfn.XLOOKUP(Tableau5617192223242425262827293031333432353620383961719241822254140424344104746[[#This Row],[Num Projets]],#REF!,#REF!,FALSE)</f>
        <v>#REF!</v>
      </c>
      <c r="D121" s="3" t="s">
        <v>1</v>
      </c>
      <c r="E121" s="3" t="e">
        <f>_xlfn.XLOOKUP(Tableau5617192223242425262827293031333432353620383961719241822254140424344104746[[#This Row],[Num Projets]],#REF!,#REF!,FALSE)</f>
        <v>#REF!</v>
      </c>
      <c r="F121" s="3" t="e">
        <f>_xlfn.XLOOKUP(Tableau5617192223242425262827293031333432353620383961719241822254140424344104746[[#This Row],[Num Projets]],#REF!,#REF!,"newavr",0)</f>
        <v>#REF!</v>
      </c>
      <c r="G121" s="3" t="s">
        <v>2</v>
      </c>
      <c r="H121" s="3" t="s">
        <v>243</v>
      </c>
      <c r="I12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1" s="4" t="e">
        <f>VLOOKUP(Tableau5617192223242425262827293031333432353620383961719241822254140424344104746[[#This Row],[Num Projets]],#REF!,36,FALSE)</f>
        <v>#REF!</v>
      </c>
      <c r="K121" s="5" t="s">
        <v>4</v>
      </c>
      <c r="L12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1" s="3" t="e">
        <f>SUBSTITUTE(_xlfn.XLOOKUP(Tableau5617192223242425262827293031333432353620383961719241822254140424344104746[[#This Row],[Num Projets]],#REF!,#REF!,FALSE)," ","")</f>
        <v>#REF!</v>
      </c>
      <c r="N121" s="7" t="e">
        <f>VLOOKUP(H121,#REF!,7,FALSE)</f>
        <v>#REF!</v>
      </c>
      <c r="O121" s="7" t="e">
        <f>IF(VLOOKUP(H121,#REF!,27,FALSE)=0,"",VLOOKUP(H121,#REF!,27,FALSE))</f>
        <v>#REF!</v>
      </c>
      <c r="P121" s="8" t="e">
        <f>VLOOKUP(H121,#REF!,2,FALSE)</f>
        <v>#REF!</v>
      </c>
      <c r="Q121" s="9" t="e">
        <f>Tableau5617192223242425262827293031333432353620383961719241822254140424344104746[[#This Row],[Total Budget
€]]-IFERROR(VLOOKUP(H121,#REF!,8,FALSE),0)</f>
        <v>#REF!</v>
      </c>
      <c r="R121" s="15">
        <f>AD121+AI121+Tableau5617192223242425262827293031333432353620383961719241822254140424344104746[[#This Row],[Int Commandé OT
€]]+AX121</f>
        <v>0</v>
      </c>
      <c r="S121" s="15">
        <f>AD121+AJ121+Tableau5617192223242425262827293031333432353620383961719241822254140424344104746[[#This Row],[Int Réalisé OT
€]]+AX121</f>
        <v>0</v>
      </c>
      <c r="T121" s="94" t="e">
        <f t="shared" si="22"/>
        <v>#REF!</v>
      </c>
      <c r="U12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1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1" s="42" t="e">
        <f>Tableau5617192223242425262827293031333432353620383961719241822254140424344104746[[#This Row],[Budget Heures Valorisées
€]]/105</f>
        <v>#REF!</v>
      </c>
      <c r="X121" s="13">
        <f>IFERROR(VLOOKUP(H121,#REF!,2,FALSE),0)</f>
        <v>0</v>
      </c>
      <c r="Y121" s="13">
        <f>IFERROR(VLOOKUP(H121,#REF!,3,FALSE),0)</f>
        <v>0</v>
      </c>
      <c r="Z12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10.5</v>
      </c>
      <c r="AA121" s="13">
        <f>IFERROR(VLOOKUP(H121,#REF!,18,FALSE),0)</f>
        <v>0</v>
      </c>
      <c r="AB121" s="13">
        <f>SUM(X121:Y121)-IFERROR(VLOOKUP(H121,#REF!,16,FALSE),0)-IFERROR(VLOOKUP(H121,#REF!,17,FALSE),0)</f>
        <v>0</v>
      </c>
      <c r="AC121" s="15" t="e">
        <f>VLOOKUP(Tableau5617192223242425262827293031333432353620383961719241822254140424344104746[[#This Row],[Num Projets]],#REF!,2,FALSE)</f>
        <v>#REF!</v>
      </c>
      <c r="AD121" s="15">
        <f>IFERROR(VLOOKUP(Tableau5617192223242425262827293031333432353620383961719241822254140424344104746[[#This Row],[Num Projets]],#REF!,2,FALSE),0)</f>
        <v>0</v>
      </c>
      <c r="AE121" s="8">
        <f t="shared" si="23"/>
        <v>501.9</v>
      </c>
      <c r="AF121" s="22" t="e">
        <f t="shared" si="24"/>
        <v>#REF!</v>
      </c>
      <c r="AG121" s="8">
        <f>IFERROR(VLOOKUP(H121,#REF!,3,FALSE),0)+IFERROR(VLOOKUP(H121,#REF!,3,FALSE),0)</f>
        <v>0</v>
      </c>
      <c r="AH121" s="8">
        <f>IFERROR(VLOOKUP(Tableau5617192223242425262827293031333432353620383961719241822254140424344104746[[#This Row],[Num Projets]],#REF!,2,FALSE),0)</f>
        <v>0</v>
      </c>
      <c r="AI121" s="17">
        <f>+IFERROR(VLOOKUP(H121,#REF!,2,FALSE),0)-Tableau5617192223242425262827293031333432353620383961719241822254140424344104746[[#This Row],[Int Commandé OT
€]]</f>
        <v>0</v>
      </c>
      <c r="AJ121" s="8">
        <f>IFERROR(VLOOKUP(H121,#REF!,11,FALSE),0)-IFERROR(VLOOKUP(H121,#REF!,10,FALSE),0)+Tableau5617192223242425262827293031333432353620383961719241822254140424344104746[[#This Row],[dont FNP à date (€ HT)]]</f>
        <v>0</v>
      </c>
      <c r="AK121" s="15">
        <f t="shared" si="30"/>
        <v>0</v>
      </c>
      <c r="AL12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1" s="19">
        <f>IF(Tableau5617192223242425262827293031333432353620383961719241822254140424344104746[[#This Row],[RAF Achats M-1
€]]=0,0,AN121-AO121)</f>
        <v>0</v>
      </c>
      <c r="AN121" s="8">
        <f>IFERROR(VLOOKUP(H121,#REF!,31,FALSE),0)</f>
        <v>0</v>
      </c>
      <c r="AO121" s="8">
        <f>AI121+-IFERROR(VLOOKUP(H121,#REF!,27,FALSE),0)</f>
        <v>0</v>
      </c>
      <c r="AP121" s="20">
        <f>IFERROR(VLOOKUP(Tableau5617192223242425262827293031333432353620383961719241822254140424344104746[[#This Row],[Num Projets]],#REF!,2,FALSE),0)</f>
        <v>0</v>
      </c>
      <c r="AQ121" s="20">
        <f>_xlfn.XLOOKUP(H121,[2]Synth!$N:$N,[2]Synth!$O:$O,0,FALSE)+_xlfn.XLOOKUP(Tableau5617192223242425262827293031333432353620383961719241822254140424344104746[[#This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1" s="21">
        <v>0</v>
      </c>
      <c r="AS121" s="20">
        <f>+IFERROR(VLOOKUP(H121,#REF!,36,FALSE),0)</f>
        <v>0</v>
      </c>
      <c r="AT12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1" s="22">
        <f>IF(AG121=0,0,1-((AI121+AM121+Tableau5617192223242425262827293031333432353620383961719241822254140424344104746[[#This Row],[Int Commandé OT
€]]+Tableau5617192223242425262827293031333432353620383961719241822254140424344104746[[#This Row],[RAF Int OT
€]])/AG121))</f>
        <v>0</v>
      </c>
      <c r="AV121" s="8">
        <f>IFERROR(VLOOKUP(H121,#REF!,4,FALSE),0)+IFERROR(VLOOKUP(H121,#REF!,4,FALSE),0)</f>
        <v>0</v>
      </c>
      <c r="AW121" s="8">
        <f>IFERROR(VLOOKUP(Tableau5617192223242425262827293031333432353620383961719241822254140424344104746[[#This Row],[Num Projets]],#REF!,3,FALSE),0)</f>
        <v>0</v>
      </c>
      <c r="AX121" s="95">
        <f>IFERROR(VLOOKUP(Tableau5617192223242425262827293031333432353620383961719241822254140424344104746[[#This Row],[Num Projets]],#REF!,10,FALSE),0)</f>
        <v>0</v>
      </c>
      <c r="AY121" s="23">
        <f>Tableau5617192223242425262827293031333432353620383961719241822254140424344104746[[#This Row],[Budget Mission
 €]]/1.2-AX121</f>
        <v>0</v>
      </c>
      <c r="AZ121" s="8">
        <f>IFERROR(VLOOKUP(H121,#REF!,43,FALSE),0)</f>
        <v>0</v>
      </c>
      <c r="BA121" s="8">
        <f>AX121-IFERROR(VLOOKUP(H121,#REF!,42,FALSE),0)</f>
        <v>0</v>
      </c>
      <c r="BB121" s="47">
        <f t="shared" si="33"/>
        <v>0</v>
      </c>
      <c r="BC121" s="24">
        <f>IFERROR(VLOOKUP(H121,#REF!,47,FALSE),IFERROR(VLOOKUP(H121,#REF!,5,FALSE),0)+IFERROR(VLOOKUP(H121,#REF!,5,FALSE),0))</f>
        <v>0</v>
      </c>
      <c r="BD121" s="25">
        <f>IFERROR(VLOOKUP(H121,#REF!,2,FALSE),0)</f>
        <v>0</v>
      </c>
      <c r="BE121" s="25">
        <f>IFERROR(VLOOKUP(H121,#REF!,49,FALSE),0)</f>
        <v>0</v>
      </c>
      <c r="BF121" s="50" t="e">
        <f t="shared" si="25"/>
        <v>#REF!</v>
      </c>
      <c r="BG121" s="50">
        <f t="shared" si="26"/>
        <v>0</v>
      </c>
      <c r="BH121" s="27">
        <f>AE121+ (AI121-AJ121+AM121+Tableau5617192223242425262827293031333432353620383961719241822254140424344104746[[#This Row],[Int Commandé OT
€]]-Tableau5617192223242425262827293031333432353620383961719241822254140424344104746[[#This Row],[Int Réalisé OT
€]]+AR121) +AY121+BC121</f>
        <v>501.9</v>
      </c>
      <c r="BI121" s="47">
        <f t="shared" si="37"/>
        <v>0</v>
      </c>
      <c r="BJ121" s="47" t="e">
        <f t="shared" si="27"/>
        <v>#REF!</v>
      </c>
      <c r="BK121" s="27" t="e">
        <f t="shared" si="28"/>
        <v>#REF!</v>
      </c>
      <c r="BL121" s="26" t="e">
        <f t="shared" si="29"/>
        <v>#REF!</v>
      </c>
      <c r="BM121" s="96">
        <f>IFERROR(VLOOKUP(H121,'[1]2023sep'!H:CA,54,FALSE),105)</f>
        <v>105</v>
      </c>
      <c r="BN121" s="29">
        <v>1</v>
      </c>
      <c r="BO121" s="30" t="e">
        <f>P121-AC121-AG121-AV121-Tableau5617192223242425262827293031333432353620383961719241822254140424344104746[[#This Row],[Provisions pour risques]]</f>
        <v>#REF!</v>
      </c>
      <c r="BP12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501.9</v>
      </c>
      <c r="BQ12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21" s="97" t="e">
        <f t="shared" si="34"/>
        <v>#REF!</v>
      </c>
      <c r="BS121" s="34">
        <f>Tableau5617192223242425262827293031333432353620383961719241822254140424344104746[[#This Row],[Consommé global Enregistré à date (€ HT)]]-IFERROR(VLOOKUP(H121,#REF!,50,FALSE),0)</f>
        <v>0</v>
      </c>
      <c r="BT121" s="35" t="e">
        <f t="shared" si="35"/>
        <v>#REF!</v>
      </c>
      <c r="BU121" s="36">
        <f>BD121-IFERROR(VLOOKUP(H121,#REF!,47,FALSE),0)</f>
        <v>0</v>
      </c>
      <c r="BV121" s="37" t="e">
        <f>+BF121+Tableau5617192223242425262827293031333432353620383961719241822254140424344104746[[#This Row],[CA fin N-1]]-IFERROR(VLOOKUP(H121,#REF!,49,FALSE),0)-IFERROR(VLOOKUP(H121,#REF!,50,FALSE),0)</f>
        <v>#REF!</v>
      </c>
      <c r="BW121" s="33">
        <f>BG121-IFERROR(VLOOKUP(H121,#REF!,51,FALSE),0)</f>
        <v>0</v>
      </c>
      <c r="BX121" s="35" t="e">
        <f t="shared" si="36"/>
        <v>#REF!</v>
      </c>
      <c r="BY121" s="36">
        <f>BD121-IFERROR(VLOOKUP(H121,#REF!,48,FALSE),0)</f>
        <v>0</v>
      </c>
      <c r="BZ12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1" s="39" t="e">
        <f>VLOOKUP(Tableau5617192223242425262827293031333432353620383961719241822254140424344104746[[#This Row],[Num Projets]],#REF!,1,FALSE)</f>
        <v>#REF!</v>
      </c>
      <c r="CB121" s="40">
        <v>10.5</v>
      </c>
      <c r="CC121" s="40">
        <v>0</v>
      </c>
      <c r="CD12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-10.5</v>
      </c>
    </row>
    <row r="122" spans="1:82" ht="13.5" customHeight="1" x14ac:dyDescent="0.25">
      <c r="A122" s="311"/>
      <c r="B122" s="1"/>
      <c r="C122" s="2" t="e">
        <f>_xlfn.XLOOKUP(Tableau5617192223242425262827293031333432353620383961719241822254140424344104746[[#This Row],[Num Projets]],#REF!,#REF!,FALSE)</f>
        <v>#REF!</v>
      </c>
      <c r="D122" s="3" t="s">
        <v>6</v>
      </c>
      <c r="E122" s="3" t="e">
        <f>_xlfn.XLOOKUP(Tableau5617192223242425262827293031333432353620383961719241822254140424344104746[[#This Row],[Num Projets]],#REF!,#REF!,FALSE)</f>
        <v>#REF!</v>
      </c>
      <c r="F122" s="3" t="e">
        <f>_xlfn.XLOOKUP(Tableau5617192223242425262827293031333432353620383961719241822254140424344104746[[#This Row],[Num Projets]],#REF!,#REF!,"newavr",0)</f>
        <v>#REF!</v>
      </c>
      <c r="G122" s="3" t="s">
        <v>2</v>
      </c>
      <c r="H122" s="3" t="s">
        <v>244</v>
      </c>
      <c r="I12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2" s="4" t="e">
        <f>VLOOKUP(Tableau5617192223242425262827293031333432353620383961719241822254140424344104746[[#This Row],[Num Projets]],#REF!,36,FALSE)</f>
        <v>#REF!</v>
      </c>
      <c r="K122" s="5" t="s">
        <v>9</v>
      </c>
      <c r="L12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2" s="3" t="e">
        <f>SUBSTITUTE(_xlfn.XLOOKUP(Tableau5617192223242425262827293031333432353620383961719241822254140424344104746[[#This Row],[Num Projets]],#REF!,#REF!,FALSE)," ","")</f>
        <v>#REF!</v>
      </c>
      <c r="N122" s="7" t="e">
        <f>VLOOKUP(H122,#REF!,7,FALSE)</f>
        <v>#REF!</v>
      </c>
      <c r="O122" s="7" t="e">
        <f>IF(VLOOKUP(H122,#REF!,27,FALSE)=0,"",VLOOKUP(H122,#REF!,27,FALSE))</f>
        <v>#REF!</v>
      </c>
      <c r="P122" s="8" t="e">
        <f>VLOOKUP(H122,#REF!,2,FALSE)</f>
        <v>#REF!</v>
      </c>
      <c r="Q122" s="9" t="e">
        <f>Tableau5617192223242425262827293031333432353620383961719241822254140424344104746[[#This Row],[Total Budget
€]]-IFERROR(VLOOKUP(H122,#REF!,8,FALSE),0)</f>
        <v>#REF!</v>
      </c>
      <c r="R122" s="15">
        <f>AD122+AI122+Tableau5617192223242425262827293031333432353620383961719241822254140424344104746[[#This Row],[Int Commandé OT
€]]+AX122</f>
        <v>0</v>
      </c>
      <c r="S122" s="15">
        <f>AD122+AJ122+Tableau5617192223242425262827293031333432353620383961719241822254140424344104746[[#This Row],[Int Réalisé OT
€]]+AX122</f>
        <v>0</v>
      </c>
      <c r="T122" s="94" t="e">
        <f t="shared" si="22"/>
        <v>#REF!</v>
      </c>
      <c r="U12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2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2" s="42" t="e">
        <f>Tableau5617192223242425262827293031333432353620383961719241822254140424344104746[[#This Row],[Budget Heures Valorisées
€]]/105</f>
        <v>#REF!</v>
      </c>
      <c r="X122" s="13">
        <f>IFERROR(VLOOKUP(H122,#REF!,2,FALSE),0)</f>
        <v>0</v>
      </c>
      <c r="Y122" s="13">
        <f>IFERROR(VLOOKUP(H122,#REF!,3,FALSE),0)</f>
        <v>0</v>
      </c>
      <c r="Z12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31</v>
      </c>
      <c r="AA122" s="13">
        <f>IFERROR(VLOOKUP(H122,#REF!,18,FALSE),0)</f>
        <v>0</v>
      </c>
      <c r="AB122" s="13">
        <f>SUM(X122:Y122)-IFERROR(VLOOKUP(H122,#REF!,16,FALSE),0)-IFERROR(VLOOKUP(H122,#REF!,17,FALSE),0)</f>
        <v>0</v>
      </c>
      <c r="AC122" s="15" t="e">
        <f>VLOOKUP(Tableau5617192223242425262827293031333432353620383961719241822254140424344104746[[#This Row],[Num Projets]],#REF!,2,FALSE)</f>
        <v>#REF!</v>
      </c>
      <c r="AD122" s="15">
        <f>IFERROR(VLOOKUP(Tableau5617192223242425262827293031333432353620383961719241822254140424344104746[[#This Row],[Num Projets]],#REF!,2,FALSE),0)</f>
        <v>0</v>
      </c>
      <c r="AE122" s="8">
        <f t="shared" si="23"/>
        <v>1481.8</v>
      </c>
      <c r="AF122" s="22" t="e">
        <f t="shared" si="24"/>
        <v>#REF!</v>
      </c>
      <c r="AG122" s="8">
        <f>IFERROR(VLOOKUP(H122,#REF!,3,FALSE),0)+IFERROR(VLOOKUP(H122,#REF!,3,FALSE),0)</f>
        <v>0</v>
      </c>
      <c r="AH122" s="8">
        <f>IFERROR(VLOOKUP(Tableau5617192223242425262827293031333432353620383961719241822254140424344104746[[#This Row],[Num Projets]],#REF!,2,FALSE),0)</f>
        <v>0</v>
      </c>
      <c r="AI122" s="17">
        <f>+IFERROR(VLOOKUP(H122,#REF!,2,FALSE),0)-Tableau5617192223242425262827293031333432353620383961719241822254140424344104746[[#This Row],[Int Commandé OT
€]]</f>
        <v>0</v>
      </c>
      <c r="AJ122" s="8">
        <f>IFERROR(VLOOKUP(H122,#REF!,11,FALSE),0)-IFERROR(VLOOKUP(H122,#REF!,10,FALSE),0)+Tableau5617192223242425262827293031333432353620383961719241822254140424344104746[[#This Row],[dont FNP à date (€ HT)]]</f>
        <v>0</v>
      </c>
      <c r="AK122" s="15">
        <f t="shared" si="30"/>
        <v>0</v>
      </c>
      <c r="AL12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2" s="19">
        <f>IF(Tableau5617192223242425262827293031333432353620383961719241822254140424344104746[[#This Row],[RAF Achats M-1
€]]=0,0,AN122-AO122)</f>
        <v>0</v>
      </c>
      <c r="AN122" s="8">
        <f>IFERROR(VLOOKUP(H122,#REF!,31,FALSE),0)</f>
        <v>0</v>
      </c>
      <c r="AO122" s="8">
        <f>AI122+-IFERROR(VLOOKUP(H122,#REF!,27,FALSE),0)</f>
        <v>0</v>
      </c>
      <c r="AP122" s="20">
        <f>IFERROR(VLOOKUP(Tableau5617192223242425262827293031333432353620383961719241822254140424344104746[[#This Row],[Num Projets]],#REF!,2,FALSE),0)</f>
        <v>0</v>
      </c>
      <c r="AQ122" s="20">
        <f>_xlfn.XLOOKUP(H122,[2]Synth!$N:$N,[2]Synth!$O:$O,0,FALSE)+_xlfn.XLOOKUP(Tableau5617192223242425262827293031333432353620383961719241822254140424344104746[[#This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2" s="21">
        <v>0</v>
      </c>
      <c r="AS122" s="20">
        <f>+IFERROR(VLOOKUP(H122,#REF!,36,FALSE),0)</f>
        <v>0</v>
      </c>
      <c r="AT12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2" s="22">
        <f>IF(AG122=0,0,1-((AI122+AM122+Tableau5617192223242425262827293031333432353620383961719241822254140424344104746[[#This Row],[Int Commandé OT
€]]+Tableau5617192223242425262827293031333432353620383961719241822254140424344104746[[#This Row],[RAF Int OT
€]])/AG122))</f>
        <v>0</v>
      </c>
      <c r="AV122" s="8">
        <f>IFERROR(VLOOKUP(H122,#REF!,4,FALSE),0)+IFERROR(VLOOKUP(H122,#REF!,4,FALSE),0)</f>
        <v>0</v>
      </c>
      <c r="AW122" s="8">
        <f>IFERROR(VLOOKUP(Tableau5617192223242425262827293031333432353620383961719241822254140424344104746[[#This Row],[Num Projets]],#REF!,3,FALSE),0)</f>
        <v>0</v>
      </c>
      <c r="AX122" s="95">
        <f>IFERROR(VLOOKUP(Tableau5617192223242425262827293031333432353620383961719241822254140424344104746[[#This Row],[Num Projets]],#REF!,10,FALSE),0)</f>
        <v>0</v>
      </c>
      <c r="AY122" s="23">
        <f>Tableau5617192223242425262827293031333432353620383961719241822254140424344104746[[#This Row],[Budget Mission
 €]]/1.2-AX122</f>
        <v>0</v>
      </c>
      <c r="AZ122" s="8">
        <f>IFERROR(VLOOKUP(H122,#REF!,43,FALSE),0)</f>
        <v>0</v>
      </c>
      <c r="BA122" s="8">
        <f>AX122-IFERROR(VLOOKUP(H122,#REF!,42,FALSE),0)</f>
        <v>0</v>
      </c>
      <c r="BB122" s="47">
        <f t="shared" si="33"/>
        <v>0</v>
      </c>
      <c r="BC122" s="24">
        <f>IFERROR(VLOOKUP(H122,#REF!,47,FALSE),IFERROR(VLOOKUP(H122,#REF!,5,FALSE),0)+IFERROR(VLOOKUP(H122,#REF!,5,FALSE),0))</f>
        <v>0</v>
      </c>
      <c r="BD122" s="25">
        <f>IFERROR(VLOOKUP(H122,#REF!,2,FALSE),0)</f>
        <v>0</v>
      </c>
      <c r="BE122" s="25">
        <f>IFERROR(VLOOKUP(H122,#REF!,49,FALSE),0)</f>
        <v>0</v>
      </c>
      <c r="BF122" s="50" t="e">
        <f t="shared" si="25"/>
        <v>#REF!</v>
      </c>
      <c r="BG122" s="50">
        <f t="shared" si="26"/>
        <v>0</v>
      </c>
      <c r="BH122" s="27">
        <f>AE122+ (AI122-AJ122+AM122+Tableau5617192223242425262827293031333432353620383961719241822254140424344104746[[#This Row],[Int Commandé OT
€]]-Tableau5617192223242425262827293031333432353620383961719241822254140424344104746[[#This Row],[Int Réalisé OT
€]]+AR122) +AY122+BC122</f>
        <v>1481.8</v>
      </c>
      <c r="BI122" s="47">
        <f t="shared" si="37"/>
        <v>0</v>
      </c>
      <c r="BJ122" s="47" t="e">
        <f t="shared" si="27"/>
        <v>#REF!</v>
      </c>
      <c r="BK122" s="27" t="e">
        <f t="shared" si="28"/>
        <v>#REF!</v>
      </c>
      <c r="BL122" s="26" t="e">
        <f t="shared" si="29"/>
        <v>#REF!</v>
      </c>
      <c r="BM122" s="96">
        <f>IFERROR(VLOOKUP(H122,'[1]2023sep'!H:CA,54,FALSE),105)</f>
        <v>105</v>
      </c>
      <c r="BN122" s="29">
        <v>1</v>
      </c>
      <c r="BO122" s="30" t="e">
        <f>P122-AC122-AG122-AV122-Tableau5617192223242425262827293031333432353620383961719241822254140424344104746[[#This Row],[Provisions pour risques]]</f>
        <v>#REF!</v>
      </c>
      <c r="BP12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1481.8</v>
      </c>
      <c r="BQ12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22" s="97" t="e">
        <f t="shared" si="34"/>
        <v>#REF!</v>
      </c>
      <c r="BS122" s="34">
        <f>Tableau5617192223242425262827293031333432353620383961719241822254140424344104746[[#This Row],[Consommé global Enregistré à date (€ HT)]]-IFERROR(VLOOKUP(H122,#REF!,50,FALSE),0)</f>
        <v>0</v>
      </c>
      <c r="BT122" s="35" t="e">
        <f t="shared" si="35"/>
        <v>#REF!</v>
      </c>
      <c r="BU122" s="36">
        <f>BD122-IFERROR(VLOOKUP(H122,#REF!,47,FALSE),0)</f>
        <v>0</v>
      </c>
      <c r="BV122" s="37" t="e">
        <f>+BF122+Tableau5617192223242425262827293031333432353620383961719241822254140424344104746[[#This Row],[CA fin N-1]]-IFERROR(VLOOKUP(H122,#REF!,49,FALSE),0)-IFERROR(VLOOKUP(H122,#REF!,50,FALSE),0)</f>
        <v>#REF!</v>
      </c>
      <c r="BW122" s="33">
        <f>BG122-IFERROR(VLOOKUP(H122,#REF!,51,FALSE),0)</f>
        <v>0</v>
      </c>
      <c r="BX122" s="35" t="e">
        <f t="shared" si="36"/>
        <v>#REF!</v>
      </c>
      <c r="BY122" s="36">
        <f>BD122-IFERROR(VLOOKUP(H122,#REF!,48,FALSE),0)</f>
        <v>0</v>
      </c>
      <c r="BZ12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2" s="39" t="e">
        <f>VLOOKUP(Tableau5617192223242425262827293031333432353620383961719241822254140424344104746[[#This Row],[Num Projets]],#REF!,1,FALSE)</f>
        <v>#REF!</v>
      </c>
      <c r="CB122" s="40">
        <v>31</v>
      </c>
      <c r="CC122" s="40">
        <v>0</v>
      </c>
      <c r="CD12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-31</v>
      </c>
    </row>
    <row r="123" spans="1:82" ht="13.5" customHeight="1" x14ac:dyDescent="0.25">
      <c r="A123" s="311"/>
      <c r="B123" s="1"/>
      <c r="C123" s="2" t="e">
        <f>_xlfn.XLOOKUP(Tableau5617192223242425262827293031333432353620383961719241822254140424344104746[[#This Row],[Num Projets]],#REF!,#REF!,FALSE)</f>
        <v>#REF!</v>
      </c>
      <c r="D123" s="3" t="s">
        <v>6</v>
      </c>
      <c r="E123" s="3" t="e">
        <f>_xlfn.XLOOKUP(Tableau5617192223242425262827293031333432353620383961719241822254140424344104746[[#This Row],[Num Projets]],#REF!,#REF!,FALSE)</f>
        <v>#REF!</v>
      </c>
      <c r="F123" s="3" t="e">
        <f>_xlfn.XLOOKUP(Tableau5617192223242425262827293031333432353620383961719241822254140424344104746[[#This Row],[Num Projets]],#REF!,#REF!,"newavr",0)</f>
        <v>#REF!</v>
      </c>
      <c r="G123" s="3" t="s">
        <v>2</v>
      </c>
      <c r="H123" s="3" t="s">
        <v>245</v>
      </c>
      <c r="I12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3" s="4" t="e">
        <f>VLOOKUP(Tableau5617192223242425262827293031333432353620383961719241822254140424344104746[[#This Row],[Num Projets]],#REF!,36,FALSE)</f>
        <v>#REF!</v>
      </c>
      <c r="K123" s="5" t="s">
        <v>9</v>
      </c>
      <c r="L12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3" s="3" t="e">
        <f>SUBSTITUTE(_xlfn.XLOOKUP(Tableau5617192223242425262827293031333432353620383961719241822254140424344104746[[#This Row],[Num Projets]],#REF!,#REF!,FALSE)," ","")</f>
        <v>#REF!</v>
      </c>
      <c r="N123" s="7" t="e">
        <f>VLOOKUP(H123,#REF!,7,FALSE)</f>
        <v>#REF!</v>
      </c>
      <c r="O123" s="7" t="e">
        <f>IF(VLOOKUP(H123,#REF!,27,FALSE)=0,"",VLOOKUP(H123,#REF!,27,FALSE))</f>
        <v>#REF!</v>
      </c>
      <c r="P123" s="8" t="e">
        <f>VLOOKUP(H123,#REF!,2,FALSE)</f>
        <v>#REF!</v>
      </c>
      <c r="Q123" s="9" t="e">
        <f>Tableau5617192223242425262827293031333432353620383961719241822254140424344104746[[#This Row],[Total Budget
€]]-IFERROR(VLOOKUP(H123,#REF!,8,FALSE),0)</f>
        <v>#REF!</v>
      </c>
      <c r="R123" s="15">
        <f>AD123+AI123+Tableau5617192223242425262827293031333432353620383961719241822254140424344104746[[#This Row],[Int Commandé OT
€]]+AX123</f>
        <v>0</v>
      </c>
      <c r="S123" s="15">
        <f>AD123+AJ123+Tableau5617192223242425262827293031333432353620383961719241822254140424344104746[[#This Row],[Int Réalisé OT
€]]+AX123</f>
        <v>1293.69</v>
      </c>
      <c r="T123" s="94" t="e">
        <f t="shared" si="22"/>
        <v>#REF!</v>
      </c>
      <c r="U12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3" s="94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3" s="42" t="e">
        <f>Tableau5617192223242425262827293031333432353620383961719241822254140424344104746[[#This Row],[Budget Heures Valorisées
€]]/105</f>
        <v>#REF!</v>
      </c>
      <c r="X123" s="13">
        <f>IFERROR(VLOOKUP(H123,#REF!,2,FALSE),0)</f>
        <v>0</v>
      </c>
      <c r="Y123" s="13">
        <f>IFERROR(VLOOKUP(H123,#REF!,3,FALSE),0)</f>
        <v>0</v>
      </c>
      <c r="Z12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16</v>
      </c>
      <c r="AA123" s="13">
        <f>IFERROR(VLOOKUP(H123,#REF!,18,FALSE),0)</f>
        <v>0</v>
      </c>
      <c r="AB123" s="13">
        <f>SUM(X123:Y123)-IFERROR(VLOOKUP(H123,#REF!,16,FALSE),0)-IFERROR(VLOOKUP(H123,#REF!,17,FALSE),0)</f>
        <v>0</v>
      </c>
      <c r="AC123" s="15" t="e">
        <f>VLOOKUP(Tableau5617192223242425262827293031333432353620383961719241822254140424344104746[[#This Row],[Num Projets]],#REF!,2,FALSE)</f>
        <v>#REF!</v>
      </c>
      <c r="AD123" s="15">
        <f>IFERROR(VLOOKUP(Tableau5617192223242425262827293031333432353620383961719241822254140424344104746[[#This Row],[Num Projets]],#REF!,2,FALSE),0)</f>
        <v>0</v>
      </c>
      <c r="AE123" s="8">
        <f t="shared" si="23"/>
        <v>764.8</v>
      </c>
      <c r="AF123" s="22" t="e">
        <f t="shared" si="24"/>
        <v>#REF!</v>
      </c>
      <c r="AG123" s="8">
        <f>IFERROR(VLOOKUP(H123,#REF!,3,FALSE),0)+IFERROR(VLOOKUP(H123,#REF!,3,FALSE),0)</f>
        <v>0</v>
      </c>
      <c r="AH123" s="8">
        <f>IFERROR(VLOOKUP(Tableau5617192223242425262827293031333432353620383961719241822254140424344104746[[#This Row],[Num Projets]],#REF!,2,FALSE),0)</f>
        <v>0</v>
      </c>
      <c r="AI123" s="17">
        <f>+IFERROR(VLOOKUP(H123,#REF!,2,FALSE),0)-Tableau5617192223242425262827293031333432353620383961719241822254140424344104746[[#This Row],[Int Commandé OT
€]]</f>
        <v>0</v>
      </c>
      <c r="AJ123" s="8">
        <f>IFERROR(VLOOKUP(H123,#REF!,11,FALSE),0)-IFERROR(VLOOKUP(H123,#REF!,10,FALSE),0)+Tableau5617192223242425262827293031333432353620383961719241822254140424344104746[[#This Row],[dont FNP à date (€ HT)]]</f>
        <v>0</v>
      </c>
      <c r="AK123" s="15">
        <f t="shared" si="30"/>
        <v>0</v>
      </c>
      <c r="AL12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3" s="19">
        <f>IF(Tableau5617192223242425262827293031333432353620383961719241822254140424344104746[[#This Row],[RAF Achats M-1
€]]=0,0,AN123-AO123)</f>
        <v>0</v>
      </c>
      <c r="AN123" s="8">
        <f>IFERROR(VLOOKUP(H123,#REF!,31,FALSE),0)</f>
        <v>0</v>
      </c>
      <c r="AO123" s="8">
        <f>AI123+-IFERROR(VLOOKUP(H123,#REF!,27,FALSE),0)</f>
        <v>0</v>
      </c>
      <c r="AP123" s="20">
        <f>IFERROR(VLOOKUP(Tableau5617192223242425262827293031333432353620383961719241822254140424344104746[[#This Row],[Num Projets]],#REF!,2,FALSE),0)</f>
        <v>0</v>
      </c>
      <c r="AQ123" s="20">
        <f>_xlfn.XLOOKUP(H123,[2]Synth!$N:$N,[2]Synth!$O:$O,0,FALSE)+_xlfn.XLOOKUP(Tableau5617192223242425262827293031333432353620383961719241822254140424344104746[[#This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1293.69</v>
      </c>
      <c r="AR123" s="21">
        <v>0</v>
      </c>
      <c r="AS123" s="20">
        <f>+IFERROR(VLOOKUP(H123,#REF!,36,FALSE),0)</f>
        <v>0</v>
      </c>
      <c r="AT12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3" s="22">
        <f>IF(AG123=0,0,1-((AI123+AM123+Tableau5617192223242425262827293031333432353620383961719241822254140424344104746[[#This Row],[Int Commandé OT
€]]+Tableau5617192223242425262827293031333432353620383961719241822254140424344104746[[#This Row],[RAF Int OT
€]])/AG123))</f>
        <v>0</v>
      </c>
      <c r="AV123" s="8">
        <f>IFERROR(VLOOKUP(H123,#REF!,4,FALSE),0)+IFERROR(VLOOKUP(H123,#REF!,4,FALSE),0)</f>
        <v>0</v>
      </c>
      <c r="AW123" s="8">
        <f>IFERROR(VLOOKUP(Tableau5617192223242425262827293031333432353620383961719241822254140424344104746[[#This Row],[Num Projets]],#REF!,3,FALSE),0)</f>
        <v>0</v>
      </c>
      <c r="AX123" s="95">
        <f>IFERROR(VLOOKUP(Tableau5617192223242425262827293031333432353620383961719241822254140424344104746[[#This Row],[Num Projets]],#REF!,10,FALSE),0)</f>
        <v>0</v>
      </c>
      <c r="AY123" s="23">
        <f>Tableau5617192223242425262827293031333432353620383961719241822254140424344104746[[#This Row],[Budget Mission
 €]]/1.2-AX123</f>
        <v>0</v>
      </c>
      <c r="AZ123" s="8">
        <f>IFERROR(VLOOKUP(H123,#REF!,43,FALSE),0)</f>
        <v>0</v>
      </c>
      <c r="BA123" s="8">
        <f>AX123-IFERROR(VLOOKUP(H123,#REF!,42,FALSE),0)</f>
        <v>0</v>
      </c>
      <c r="BB123" s="47">
        <f t="shared" si="33"/>
        <v>0</v>
      </c>
      <c r="BC123" s="24">
        <f>IFERROR(VLOOKUP(H123,#REF!,47,FALSE),IFERROR(VLOOKUP(H123,#REF!,5,FALSE),0)+IFERROR(VLOOKUP(H123,#REF!,5,FALSE),0))</f>
        <v>0</v>
      </c>
      <c r="BD123" s="25">
        <f>IFERROR(VLOOKUP(H123,#REF!,2,FALSE),0)</f>
        <v>0</v>
      </c>
      <c r="BE123" s="25">
        <f>IFERROR(VLOOKUP(H123,#REF!,49,FALSE),0)</f>
        <v>0</v>
      </c>
      <c r="BF123" s="50" t="e">
        <f t="shared" si="25"/>
        <v>#REF!</v>
      </c>
      <c r="BG123" s="50">
        <f t="shared" si="26"/>
        <v>1293.69</v>
      </c>
      <c r="BH123" s="27">
        <f>AE123+ (AI123-AJ123+AM123+Tableau5617192223242425262827293031333432353620383961719241822254140424344104746[[#This Row],[Int Commandé OT
€]]-Tableau5617192223242425262827293031333432353620383961719241822254140424344104746[[#This Row],[Int Réalisé OT
€]]+AR123) +AY123+BC123</f>
        <v>-528.8900000000001</v>
      </c>
      <c r="BI123" s="47">
        <f t="shared" si="37"/>
        <v>1.6915402719665273</v>
      </c>
      <c r="BJ123" s="47" t="e">
        <f t="shared" si="27"/>
        <v>#REF!</v>
      </c>
      <c r="BK123" s="27" t="e">
        <f t="shared" si="28"/>
        <v>#REF!</v>
      </c>
      <c r="BL123" s="26" t="e">
        <f t="shared" si="29"/>
        <v>#REF!</v>
      </c>
      <c r="BM123" s="96">
        <f>IFERROR(VLOOKUP(H123,'[1]2023sep'!H:CA,54,FALSE),105)</f>
        <v>105</v>
      </c>
      <c r="BN123" s="29">
        <v>1</v>
      </c>
      <c r="BO123" s="30" t="e">
        <f>P123-AC123-AG123-AV123-Tableau5617192223242425262827293031333432353620383961719241822254140424344104746[[#This Row],[Provisions pour risques]]</f>
        <v>#REF!</v>
      </c>
      <c r="BP12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764.8</v>
      </c>
      <c r="BQ12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1.6915402719665273</v>
      </c>
      <c r="BR123" s="97" t="e">
        <f t="shared" si="34"/>
        <v>#REF!</v>
      </c>
      <c r="BS123" s="34">
        <f>Tableau5617192223242425262827293031333432353620383961719241822254140424344104746[[#This Row],[Consommé global Enregistré à date (€ HT)]]-IFERROR(VLOOKUP(H123,#REF!,50,FALSE),0)</f>
        <v>1293.69</v>
      </c>
      <c r="BT123" s="35" t="e">
        <f t="shared" si="35"/>
        <v>#REF!</v>
      </c>
      <c r="BU123" s="36">
        <f>BD123-IFERROR(VLOOKUP(H123,#REF!,47,FALSE),0)</f>
        <v>0</v>
      </c>
      <c r="BV123" s="37" t="e">
        <f>+BF123+Tableau5617192223242425262827293031333432353620383961719241822254140424344104746[[#This Row],[CA fin N-1]]-IFERROR(VLOOKUP(H123,#REF!,49,FALSE),0)-IFERROR(VLOOKUP(H123,#REF!,50,FALSE),0)</f>
        <v>#REF!</v>
      </c>
      <c r="BW123" s="33">
        <f>BG123-IFERROR(VLOOKUP(H123,#REF!,51,FALSE),0)</f>
        <v>1293.69</v>
      </c>
      <c r="BX123" s="35" t="e">
        <f t="shared" si="36"/>
        <v>#REF!</v>
      </c>
      <c r="BY123" s="36">
        <f>BD123-IFERROR(VLOOKUP(H123,#REF!,48,FALSE),0)</f>
        <v>0</v>
      </c>
      <c r="BZ12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3" s="39" t="e">
        <f>VLOOKUP(Tableau5617192223242425262827293031333432353620383961719241822254140424344104746[[#This Row],[Num Projets]],#REF!,1,FALSE)</f>
        <v>#REF!</v>
      </c>
      <c r="CB123" s="40">
        <v>16</v>
      </c>
      <c r="CC123" s="40">
        <v>0</v>
      </c>
      <c r="CD12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</v>
      </c>
    </row>
    <row r="124" spans="1:82" ht="13.5" customHeight="1" x14ac:dyDescent="0.25">
      <c r="A124" s="311" t="s">
        <v>246</v>
      </c>
      <c r="B124" s="1"/>
      <c r="C124" s="2" t="e">
        <f>_xlfn.XLOOKUP(Tableau5617192223242425262827293031333432353620383961719241822254140424344104746[[#This Row],[Num Projets]],#REF!,#REF!,FALSE)</f>
        <v>#REF!</v>
      </c>
      <c r="D124" s="3" t="s">
        <v>1</v>
      </c>
      <c r="E124" s="3" t="e">
        <f>_xlfn.XLOOKUP(Tableau5617192223242425262827293031333432353620383961719241822254140424344104746[[#This Row],[Num Projets]],#REF!,#REF!,FALSE)</f>
        <v>#REF!</v>
      </c>
      <c r="F124" s="3" t="e">
        <f>_xlfn.XLOOKUP(Tableau5617192223242425262827293031333432353620383961719241822254140424344104746[[#This Row],[Num Projets]],#REF!,#REF!,"newavr",0)</f>
        <v>#REF!</v>
      </c>
      <c r="G124" s="3" t="s">
        <v>2</v>
      </c>
      <c r="H124" s="3" t="s">
        <v>247</v>
      </c>
      <c r="I12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4" s="4" t="e">
        <f>VLOOKUP(Tableau5617192223242425262827293031333432353620383961719241822254140424344104746[[#This Row],[Num Projets]],#REF!,36,FALSE)</f>
        <v>#REF!</v>
      </c>
      <c r="K124" s="5" t="s">
        <v>4</v>
      </c>
      <c r="L12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4" s="3" t="e">
        <f>SUBSTITUTE(_xlfn.XLOOKUP(Tableau5617192223242425262827293031333432353620383961719241822254140424344104746[[#This Row],[Num Projets]],#REF!,#REF!,FALSE)," ","")</f>
        <v>#REF!</v>
      </c>
      <c r="N124" s="7" t="e">
        <f>VLOOKUP(H124,#REF!,7,FALSE)</f>
        <v>#REF!</v>
      </c>
      <c r="O124" s="7" t="e">
        <f>IF(VLOOKUP(H124,#REF!,27,FALSE)=0,"",VLOOKUP(H124,#REF!,27,FALSE))</f>
        <v>#REF!</v>
      </c>
      <c r="P124" s="8" t="e">
        <f>VLOOKUP(H124,#REF!,2,FALSE)</f>
        <v>#REF!</v>
      </c>
      <c r="Q124" s="9" t="e">
        <f>Tableau5617192223242425262827293031333432353620383961719241822254140424344104746[[#This Row],[Total Budget
€]]-IFERROR(VLOOKUP(H124,#REF!,8,FALSE),0)</f>
        <v>#REF!</v>
      </c>
      <c r="R124" s="10">
        <f>AD124+AI124+Tableau5617192223242425262827293031333432353620383961719241822254140424344104746[[#This Row],[Int Commandé OT
€]]+AX124</f>
        <v>0</v>
      </c>
      <c r="S124" s="10">
        <f>AD124+AJ124+Tableau5617192223242425262827293031333432353620383961719241822254140424344104746[[#This Row],[Int Réalisé OT
€]]+AX124</f>
        <v>0</v>
      </c>
      <c r="T124" s="11" t="e">
        <f t="shared" si="22"/>
        <v>#REF!</v>
      </c>
      <c r="U12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4" s="12">
        <f>IFERROR(VLOOKUP(H124,#REF!,2,FALSE),0)</f>
        <v>0</v>
      </c>
      <c r="X124" s="13">
        <f>IFERROR(VLOOKUP(H124,#REF!,2,FALSE),0)</f>
        <v>0</v>
      </c>
      <c r="Y124" s="13">
        <f>IFERROR(VLOOKUP(H124,#REF!,3,FALSE),0)</f>
        <v>0</v>
      </c>
      <c r="Z12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38</v>
      </c>
      <c r="AA124" s="13">
        <f>IFERROR(VLOOKUP(H124,#REF!,18,FALSE),0)</f>
        <v>0</v>
      </c>
      <c r="AB124" s="13">
        <f>SUM(X124:Y124)-IFERROR(VLOOKUP(H124,#REF!,16,FALSE),0)-IFERROR(VLOOKUP(H124,#REF!,17,FALSE),0)</f>
        <v>0</v>
      </c>
      <c r="AC124" s="14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24" s="15">
        <f>IFERROR(VLOOKUP(Tableau5617192223242425262827293031333432353620383961719241822254140424344104746[[#This Row],[Num Projets]],#REF!,2,FALSE),0)</f>
        <v>0</v>
      </c>
      <c r="AE124" s="8">
        <f t="shared" si="23"/>
        <v>1816.3999999999999</v>
      </c>
      <c r="AF124" s="22" t="e">
        <f t="shared" si="24"/>
        <v>#REF!</v>
      </c>
      <c r="AG124" s="8">
        <f>IFERROR(VLOOKUP(H124,#REF!,3,FALSE),0)+IFERROR(VLOOKUP(H124,#REF!,3,FALSE),0)</f>
        <v>0</v>
      </c>
      <c r="AH124" s="8">
        <f>IFERROR(VLOOKUP(Tableau5617192223242425262827293031333432353620383961719241822254140424344104746[[#This Row],[Num Projets]],#REF!,2,FALSE),0)</f>
        <v>0</v>
      </c>
      <c r="AI124" s="17">
        <f>+IFERROR(VLOOKUP(H124,#REF!,2,FALSE),0)-Tableau5617192223242425262827293031333432353620383961719241822254140424344104746[[#This Row],[Int Commandé OT
€]]</f>
        <v>0</v>
      </c>
      <c r="AJ124" s="8">
        <f>IFERROR(VLOOKUP(H124,#REF!,11,FALSE),0)-IFERROR(VLOOKUP(H124,#REF!,10,FALSE),0)+Tableau5617192223242425262827293031333432353620383961719241822254140424344104746[[#This Row],[dont FNP à date (€ HT)]]</f>
        <v>0</v>
      </c>
      <c r="AK124" s="23">
        <f t="shared" si="30"/>
        <v>0</v>
      </c>
      <c r="AL12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4" s="19">
        <f>IF(Tableau5617192223242425262827293031333432353620383961719241822254140424344104746[[#This Row],[RAF Achats M-1
€]]=0,0,AN124-AO124)</f>
        <v>0</v>
      </c>
      <c r="AN124" s="8">
        <f>IFERROR(VLOOKUP(H124,#REF!,31,FALSE),0)</f>
        <v>0</v>
      </c>
      <c r="AO124" s="8">
        <f>AI124+-IFERROR(VLOOKUP(H124,#REF!,27,FALSE),0)</f>
        <v>0</v>
      </c>
      <c r="AP124" s="20">
        <f>IFERROR(VLOOKUP(Tableau5617192223242425262827293031333432353620383961719241822254140424344104746[[#This Row],[Num Projets]],#REF!,2,FALSE),0)</f>
        <v>0</v>
      </c>
      <c r="AQ124" s="20">
        <f>_xlfn.XLOOKUP(H124,[2]Synth!$N:$N,[2]Synth!$O:$O,0,FALSE)+_xlfn.XLOOKUP(Tableau5617192223242425262827293031333432353620383961719241822254140424344104746[[#This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4" s="21">
        <v>0</v>
      </c>
      <c r="AS124" s="20">
        <f>+IFERROR(VLOOKUP(H124,#REF!,36,FALSE),0)</f>
        <v>0</v>
      </c>
      <c r="AT12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4" s="22">
        <f>IF(AG124=0,0,1-((AI124+AM124+Tableau5617192223242425262827293031333432353620383961719241822254140424344104746[[#This Row],[Int Commandé OT
€]]+Tableau5617192223242425262827293031333432353620383961719241822254140424344104746[[#This Row],[RAF Int OT
€]])/AG124))</f>
        <v>0</v>
      </c>
      <c r="AV124" s="8">
        <f>IFERROR(VLOOKUP(H124,#REF!,4,FALSE),0)+IFERROR(VLOOKUP(H124,#REF!,4,FALSE),0)</f>
        <v>0</v>
      </c>
      <c r="AW124" s="8">
        <f>IFERROR(VLOOKUP(Tableau5617192223242425262827293031333432353620383961719241822254140424344104746[[#This Row],[Num Projets]],#REF!,3,FALSE),0)</f>
        <v>0</v>
      </c>
      <c r="AX124" s="95">
        <f>IFERROR(VLOOKUP(Tableau5617192223242425262827293031333432353620383961719241822254140424344104746[[#This Row],[Num Projets]],#REF!,10,FALSE),0)</f>
        <v>0</v>
      </c>
      <c r="AY124" s="23">
        <f>Tableau5617192223242425262827293031333432353620383961719241822254140424344104746[[#This Row],[Budget Mission
 €]]/1.2-AX124</f>
        <v>0</v>
      </c>
      <c r="AZ124" s="8">
        <f>IFERROR(VLOOKUP(H124,#REF!,43,FALSE),0)</f>
        <v>0</v>
      </c>
      <c r="BA124" s="8">
        <f>AX124-IFERROR(VLOOKUP(H124,#REF!,42,FALSE),0)</f>
        <v>0</v>
      </c>
      <c r="BB124" s="47">
        <f t="shared" si="33"/>
        <v>0</v>
      </c>
      <c r="BC124" s="24">
        <f>IFERROR(VLOOKUP(H124,#REF!,47,FALSE),IFERROR(VLOOKUP(H124,#REF!,5,FALSE),0)+IFERROR(VLOOKUP(H124,#REF!,5,FALSE),0))</f>
        <v>0</v>
      </c>
      <c r="BD124" s="25">
        <f>IFERROR(VLOOKUP(H124,#REF!,2,FALSE),0)</f>
        <v>0</v>
      </c>
      <c r="BE124" s="25">
        <f>IFERROR(VLOOKUP(H124,#REF!,49,FALSE),0)</f>
        <v>0</v>
      </c>
      <c r="BF124" s="50" t="e">
        <f t="shared" si="25"/>
        <v>#REF!</v>
      </c>
      <c r="BG124" s="50">
        <f t="shared" si="26"/>
        <v>0</v>
      </c>
      <c r="BH124" s="27">
        <f>AE124+ (AI124-AJ124+AM124+Tableau5617192223242425262827293031333432353620383961719241822254140424344104746[[#This Row],[Int Commandé OT
€]]-Tableau5617192223242425262827293031333432353620383961719241822254140424344104746[[#This Row],[Int Réalisé OT
€]]+AR124) +AY124+BC124</f>
        <v>1816.3999999999999</v>
      </c>
      <c r="BI124" s="89" t="e">
        <f>IF((BG124/(BG124+BH124))&lt;VLOOKUP(Tableau5617192223242425262827293031333432353620383961719241822254140424344104746[[#This Row],[Num Projets]],#REF!,53,FALSE),VLOOKUP(Tableau5617192223242425262827293031333432353620383961719241822254140424344104746[[#This Row],[Num Projets]],#REF!,53,FALSE),BG124/(BG124+BH124))</f>
        <v>#REF!</v>
      </c>
      <c r="BJ124" s="47" t="e">
        <f t="shared" si="27"/>
        <v>#REF!</v>
      </c>
      <c r="BK124" s="27" t="e">
        <f t="shared" si="28"/>
        <v>#REF!</v>
      </c>
      <c r="BL124" s="26" t="e">
        <f t="shared" si="29"/>
        <v>#REF!</v>
      </c>
      <c r="BM124" s="96">
        <f>IFERROR(VLOOKUP(H124,'[1]2023dec'!H:CA,54,FALSE),105)</f>
        <v>105</v>
      </c>
      <c r="BN124" s="29">
        <v>1</v>
      </c>
      <c r="BO124" s="30" t="e">
        <f>P124-AC124-AG124-AV124-Tableau5617192223242425262827293031333432353620383961719241822254140424344104746[[#This Row],[Provisions pour risques]]</f>
        <v>#REF!</v>
      </c>
      <c r="BP12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1816.3999999999999</v>
      </c>
      <c r="BQ124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24" s="97" t="e">
        <f t="shared" si="34"/>
        <v>#REF!</v>
      </c>
      <c r="BS124" s="34">
        <f>Tableau5617192223242425262827293031333432353620383961719241822254140424344104746[[#This Row],[Consommé global Enregistré à date (€ HT)]]-IFERROR(VLOOKUP(H124,#REF!,50,FALSE),0)</f>
        <v>0</v>
      </c>
      <c r="BT124" s="35" t="e">
        <f t="shared" si="35"/>
        <v>#REF!</v>
      </c>
      <c r="BU124" s="36">
        <f>BD124-IFERROR(VLOOKUP(H124,#REF!,47,FALSE),0)</f>
        <v>0</v>
      </c>
      <c r="BV124" s="37" t="e">
        <f>+BF124+Tableau5617192223242425262827293031333432353620383961719241822254140424344104746[[#This Row],[CA fin N-1]]-IFERROR(VLOOKUP(H124,#REF!,49,FALSE),0)-IFERROR(VLOOKUP(H124,#REF!,50,FALSE),0)</f>
        <v>#REF!</v>
      </c>
      <c r="BW124" s="33">
        <f>BG124-IFERROR(VLOOKUP(H124,#REF!,51,FALSE),0)</f>
        <v>0</v>
      </c>
      <c r="BX124" s="35" t="e">
        <f t="shared" si="36"/>
        <v>#REF!</v>
      </c>
      <c r="BY124" s="36">
        <f>BD124-IFERROR(VLOOKUP(H124,#REF!,48,FALSE),0)</f>
        <v>0</v>
      </c>
      <c r="BZ12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4" s="39" t="e">
        <f>VLOOKUP(Tableau5617192223242425262827293031333432353620383961719241822254140424344104746[[#This Row],[Num Projets]],#REF!,1,FALSE)</f>
        <v>#REF!</v>
      </c>
      <c r="CB124" s="40">
        <v>36</v>
      </c>
      <c r="CC124" s="40">
        <v>2</v>
      </c>
      <c r="CD12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-36</v>
      </c>
    </row>
    <row r="125" spans="1:82" ht="13.5" customHeight="1" x14ac:dyDescent="0.25">
      <c r="A125" s="313" t="s">
        <v>248</v>
      </c>
      <c r="B125" s="1"/>
      <c r="C125" s="2" t="e">
        <f>_xlfn.XLOOKUP(Tableau5617192223242425262827293031333432353620383961719241822254140424344104746[[#This Row],[Num Projets]],#REF!,#REF!,FALSE)</f>
        <v>#REF!</v>
      </c>
      <c r="D125" s="134" t="s">
        <v>11</v>
      </c>
      <c r="E125" s="3" t="e">
        <f>_xlfn.XLOOKUP(Tableau5617192223242425262827293031333432353620383961719241822254140424344104746[[#This Row],[Num Projets]],#REF!,#REF!,FALSE)</f>
        <v>#REF!</v>
      </c>
      <c r="F125" s="3" t="e">
        <f>_xlfn.XLOOKUP(Tableau5617192223242425262827293031333432353620383961719241822254140424344104746[[#This Row],[Num Projets]],#REF!,#REF!,"newavr",0)</f>
        <v>#REF!</v>
      </c>
      <c r="G125" s="3" t="s">
        <v>12</v>
      </c>
      <c r="H125" s="135" t="s">
        <v>249</v>
      </c>
      <c r="I12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5" s="4" t="e">
        <f>VLOOKUP(Tableau5617192223242425262827293031333432353620383961719241822254140424344104746[[#This Row],[Num Projets]],#REF!,36,FALSE)</f>
        <v>#REF!</v>
      </c>
      <c r="K125" s="5" t="s">
        <v>21</v>
      </c>
      <c r="L12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5" s="3" t="e">
        <f>SUBSTITUTE(_xlfn.XLOOKUP(Tableau5617192223242425262827293031333432353620383961719241822254140424344104746[[#This Row],[Num Projets]],#REF!,#REF!,FALSE)," ","")</f>
        <v>#REF!</v>
      </c>
      <c r="N125" s="7" t="e">
        <f>VLOOKUP(H125,#REF!,7,FALSE)</f>
        <v>#REF!</v>
      </c>
      <c r="O125" s="7" t="e">
        <f>IF(VLOOKUP(H125,#REF!,27,FALSE)=0,"",VLOOKUP(H125,#REF!,27,FALSE))</f>
        <v>#REF!</v>
      </c>
      <c r="P125" s="8" t="e">
        <f>VLOOKUP(H125,#REF!,2,FALSE)</f>
        <v>#REF!</v>
      </c>
      <c r="Q125" s="9" t="e">
        <f>Tableau5617192223242425262827293031333432353620383961719241822254140424344104746[[#This Row],[Total Budget
€]]-IFERROR(VLOOKUP(H125,#REF!,8,FALSE),0)</f>
        <v>#REF!</v>
      </c>
      <c r="R125" s="10">
        <f>AD125+AI125+Tableau5617192223242425262827293031333432353620383961719241822254140424344104746[[#This Row],[Int Commandé OT
€]]+AX125</f>
        <v>0</v>
      </c>
      <c r="S125" s="10">
        <f>AD125+AJ125+Tableau5617192223242425262827293031333432353620383961719241822254140424344104746[[#This Row],[Int Réalisé OT
€]]+AX125</f>
        <v>2661.71</v>
      </c>
      <c r="T125" s="11" t="e">
        <f t="shared" si="22"/>
        <v>#REF!</v>
      </c>
      <c r="U12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5" s="42">
        <f>IFERROR(VLOOKUP(H125,#REF!,2,FALSE),0)-200</f>
        <v>-200</v>
      </c>
      <c r="X125" s="13">
        <f>IFERROR(VLOOKUP(H125,#REF!,2,FALSE),0)</f>
        <v>0</v>
      </c>
      <c r="Y125" s="13">
        <f>IFERROR(VLOOKUP(H125,#REF!,3,FALSE),0)</f>
        <v>0</v>
      </c>
      <c r="Z12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628</v>
      </c>
      <c r="AA125" s="13">
        <f>IFERROR(VLOOKUP(H125,#REF!,18,FALSE),0)</f>
        <v>0</v>
      </c>
      <c r="AB125" s="13">
        <f>SUM(X125:Y125)-IFERROR(VLOOKUP(H125,#REF!,16,FALSE),0)-IFERROR(VLOOKUP(H125,#REF!,17,FALSE),0)</f>
        <v>0</v>
      </c>
      <c r="AC125" s="62">
        <f>Tableau5617192223242425262827293031333432353620383961719241822254140424344104746[[#This Row],[Budget Heures
Hrs]]*105-200*105</f>
        <v>-42000</v>
      </c>
      <c r="AD125" s="15">
        <f>IFERROR(VLOOKUP(Tableau5617192223242425262827293031333432353620383961719241822254140424344104746[[#This Row],[Num Projets]],#REF!,2,FALSE),0)</f>
        <v>0</v>
      </c>
      <c r="AE125" s="8">
        <f t="shared" si="23"/>
        <v>30018.399999999998</v>
      </c>
      <c r="AF125" s="22">
        <f t="shared" si="24"/>
        <v>1.7147238095238095</v>
      </c>
      <c r="AG125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125" s="8">
        <f>IFERROR(VLOOKUP(Tableau5617192223242425262827293031333432353620383961719241822254140424344104746[[#This Row],[Num Projets]],#REF!,2,FALSE),0)</f>
        <v>0</v>
      </c>
      <c r="AI125" s="17">
        <f>+IFERROR(VLOOKUP(H125,#REF!,2,FALSE),0)-Tableau5617192223242425262827293031333432353620383961719241822254140424344104746[[#This Row],[Int Commandé OT
€]]</f>
        <v>0</v>
      </c>
      <c r="AJ125" s="8">
        <f>IFERROR(VLOOKUP(H125,#REF!,11,FALSE),0)-IFERROR(VLOOKUP(H125,#REF!,10,FALSE),0)+Tableau5617192223242425262827293031333432353620383961719241822254140424344104746[[#This Row],[dont FNP à date (€ HT)]]</f>
        <v>0</v>
      </c>
      <c r="AK125" s="15">
        <f t="shared" si="30"/>
        <v>0</v>
      </c>
      <c r="AL12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5" s="19">
        <f>IF(Tableau5617192223242425262827293031333432353620383961719241822254140424344104746[[#This Row],[RAF Achats M-1
€]]=0,0,AN125-AO125)</f>
        <v>0</v>
      </c>
      <c r="AN125" s="8">
        <f>IFERROR(VLOOKUP(H125,#REF!,31,FALSE),0)</f>
        <v>0</v>
      </c>
      <c r="AO125" s="8">
        <f>AI125+-IFERROR(VLOOKUP(H125,#REF!,27,FALSE),0)</f>
        <v>0</v>
      </c>
      <c r="AP125" s="20">
        <f>IFERROR(VLOOKUP(Tableau5617192223242425262827293031333432353620383961719241822254140424344104746[[#This Row],[Num Projets]],#REF!,2,FALSE),0)</f>
        <v>0</v>
      </c>
      <c r="AQ125" s="20">
        <f>_xlfn.XLOOKUP(H125,[2]Synth!$N:$N,[2]Synth!$O:$O,0,FALSE)+_xlfn.XLOOKUP(Tableau5617192223242425262827293031333432353620383961719241822254140424344104746[[#This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2661.71</v>
      </c>
      <c r="AR125" s="21">
        <v>0</v>
      </c>
      <c r="AS125" s="20">
        <f>+IFERROR(VLOOKUP(H125,#REF!,36,FALSE),0)</f>
        <v>0</v>
      </c>
      <c r="AT12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5" s="22" t="e">
        <f>IF(AG125=0,0,1-((AI125+AM125+Tableau5617192223242425262827293031333432353620383961719241822254140424344104746[[#This Row],[Int Commandé OT
€]]+Tableau5617192223242425262827293031333432353620383961719241822254140424344104746[[#This Row],[RAF Int OT
€]])/AG125))</f>
        <v>#REF!</v>
      </c>
      <c r="AV125" s="41">
        <f>200*105</f>
        <v>21000</v>
      </c>
      <c r="AW125" s="8">
        <f>IFERROR(VLOOKUP(Tableau5617192223242425262827293031333432353620383961719241822254140424344104746[[#This Row],[Num Projets]],#REF!,3,FALSE),0)</f>
        <v>0</v>
      </c>
      <c r="AX125" s="95">
        <f>IFERROR(VLOOKUP(Tableau5617192223242425262827293031333432353620383961719241822254140424344104746[[#This Row],[Num Projets]],#REF!,10,FALSE),0)</f>
        <v>0</v>
      </c>
      <c r="AY125" s="23">
        <f>Tableau5617192223242425262827293031333432353620383961719241822254140424344104746[[#This Row],[RAF Mission M-1
€]]</f>
        <v>0</v>
      </c>
      <c r="AZ125" s="8">
        <f>IFERROR(VLOOKUP(H125,#REF!,43,FALSE),0)</f>
        <v>0</v>
      </c>
      <c r="BA125" s="8">
        <f>AX125-IFERROR(VLOOKUP(H125,#REF!,42,FALSE),0)</f>
        <v>0</v>
      </c>
      <c r="BB125" s="47">
        <f t="shared" si="33"/>
        <v>1</v>
      </c>
      <c r="BC125" s="24">
        <f>6000-3000</f>
        <v>3000</v>
      </c>
      <c r="BD125" s="25">
        <f>IFERROR(VLOOKUP(H125,#REF!,2,FALSE),0)</f>
        <v>0</v>
      </c>
      <c r="BE125" s="25">
        <f>IFERROR(VLOOKUP(H125,#REF!,49,FALSE),0)</f>
        <v>0</v>
      </c>
      <c r="BF125" s="50" t="e">
        <f t="shared" si="25"/>
        <v>#REF!</v>
      </c>
      <c r="BG125" s="50">
        <f t="shared" si="26"/>
        <v>2661.71</v>
      </c>
      <c r="BH125" s="27">
        <f>AE125+ (AI125-AJ125+AM125+Tableau5617192223242425262827293031333432353620383961719241822254140424344104746[[#This Row],[Int Commandé OT
€]]-Tableau5617192223242425262827293031333432353620383961719241822254140424344104746[[#This Row],[Int Réalisé OT
€]]+AR125) +AY125+BC125</f>
        <v>30356.69</v>
      </c>
      <c r="BI125" s="47">
        <f t="shared" si="37"/>
        <v>8.0612930971821775E-2</v>
      </c>
      <c r="BJ125" s="47" t="e">
        <f t="shared" si="27"/>
        <v>#REF!</v>
      </c>
      <c r="BK125" s="27" t="e">
        <f t="shared" si="28"/>
        <v>#REF!</v>
      </c>
      <c r="BL125" s="26" t="e">
        <f t="shared" si="29"/>
        <v>#REF!</v>
      </c>
      <c r="BM125" s="96">
        <f>IFERROR(VLOOKUP(H125,'[1]2023dec'!H:CA,54,FALSE),105)</f>
        <v>105</v>
      </c>
      <c r="BN125" s="29">
        <v>1</v>
      </c>
      <c r="BO125" s="30" t="e">
        <f>P125-AC125-AG125-AV125-Tableau5617192223242425262827293031333432353620383961719241822254140424344104746[[#This Row],[Provisions pour risques]]</f>
        <v>#REF!</v>
      </c>
      <c r="BP12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33018.400000000001</v>
      </c>
      <c r="BQ12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8.0612930971821775E-2</v>
      </c>
      <c r="BR125" s="97" t="e">
        <f t="shared" si="34"/>
        <v>#REF!</v>
      </c>
      <c r="BS125" s="34">
        <f>Tableau5617192223242425262827293031333432353620383961719241822254140424344104746[[#This Row],[Consommé global Enregistré à date (€ HT)]]-IFERROR(VLOOKUP(H125,#REF!,50,FALSE),0)</f>
        <v>2661.71</v>
      </c>
      <c r="BT125" s="35" t="e">
        <f t="shared" si="35"/>
        <v>#REF!</v>
      </c>
      <c r="BU125" s="36">
        <f>BD125-IFERROR(VLOOKUP(H125,#REF!,47,FALSE),0)</f>
        <v>0</v>
      </c>
      <c r="BV125" s="37" t="e">
        <f>+BF125+Tableau5617192223242425262827293031333432353620383961719241822254140424344104746[[#This Row],[CA fin N-1]]-IFERROR(VLOOKUP(H125,#REF!,49,FALSE),0)-IFERROR(VLOOKUP(H125,#REF!,50,FALSE),0)</f>
        <v>#REF!</v>
      </c>
      <c r="BW125" s="33">
        <f>BG125-IFERROR(VLOOKUP(H125,#REF!,51,FALSE),0)</f>
        <v>2661.71</v>
      </c>
      <c r="BX125" s="35" t="e">
        <f t="shared" si="36"/>
        <v>#REF!</v>
      </c>
      <c r="BY125" s="36">
        <f>BD125-IFERROR(VLOOKUP(H125,#REF!,48,FALSE),0)</f>
        <v>0</v>
      </c>
      <c r="BZ12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5" s="39" t="e">
        <f>VLOOKUP(Tableau5617192223242425262827293031333432353620383961719241822254140424344104746[[#This Row],[Num Projets]],#REF!,1,FALSE)</f>
        <v>#REF!</v>
      </c>
      <c r="CB125" s="40">
        <v>171</v>
      </c>
      <c r="CC125" s="40">
        <v>457</v>
      </c>
      <c r="CD12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-171</v>
      </c>
    </row>
    <row r="126" spans="1:82" ht="13.5" customHeight="1" x14ac:dyDescent="0.25">
      <c r="A126" s="311"/>
      <c r="B126" s="1"/>
      <c r="C126" s="2" t="e">
        <f>_xlfn.XLOOKUP(Tableau5617192223242425262827293031333432353620383961719241822254140424344104746[[#This Row],[Num Projets]],#REF!,#REF!,FALSE)</f>
        <v>#REF!</v>
      </c>
      <c r="D126" s="3" t="s">
        <v>6</v>
      </c>
      <c r="E126" s="3" t="e">
        <f>_xlfn.XLOOKUP(Tableau5617192223242425262827293031333432353620383961719241822254140424344104746[[#This Row],[Num Projets]],#REF!,#REF!,FALSE)</f>
        <v>#REF!</v>
      </c>
      <c r="F126" s="3" t="e">
        <f>_xlfn.XLOOKUP(Tableau5617192223242425262827293031333432353620383961719241822254140424344104746[[#This Row],[Num Projets]],#REF!,#REF!,"newavr",0)</f>
        <v>#REF!</v>
      </c>
      <c r="G126" s="3" t="s">
        <v>183</v>
      </c>
      <c r="H126" s="3" t="s">
        <v>250</v>
      </c>
      <c r="I12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6" s="4" t="e">
        <f>VLOOKUP(Tableau5617192223242425262827293031333432353620383961719241822254140424344104746[[#This Row],[Num Projets]],#REF!,36,FALSE)</f>
        <v>#REF!</v>
      </c>
      <c r="K126" s="5" t="s">
        <v>9</v>
      </c>
      <c r="L12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6" s="3" t="e">
        <f>SUBSTITUTE(_xlfn.XLOOKUP(Tableau5617192223242425262827293031333432353620383961719241822254140424344104746[[#This Row],[Num Projets]],#REF!,#REF!,FALSE)," ","")</f>
        <v>#REF!</v>
      </c>
      <c r="N126" s="7" t="e">
        <f>VLOOKUP(H126,#REF!,7,FALSE)</f>
        <v>#REF!</v>
      </c>
      <c r="O126" s="7" t="e">
        <f>IF(VLOOKUP(H126,#REF!,27,FALSE)=0,"",VLOOKUP(H126,#REF!,27,FALSE))</f>
        <v>#REF!</v>
      </c>
      <c r="P126" s="8" t="e">
        <f>VLOOKUP(H126,#REF!,2,FALSE)</f>
        <v>#REF!</v>
      </c>
      <c r="Q126" s="9" t="e">
        <f>Tableau5617192223242425262827293031333432353620383961719241822254140424344104746[[#This Row],[Total Budget
€]]-IFERROR(VLOOKUP(H126,#REF!,8,FALSE),0)</f>
        <v>#REF!</v>
      </c>
      <c r="R126" s="10">
        <f>AD126+AI126+Tableau5617192223242425262827293031333432353620383961719241822254140424344104746[[#This Row],[Int Commandé OT
€]]+AX126</f>
        <v>0</v>
      </c>
      <c r="S126" s="10">
        <f>AD126+AJ126+Tableau5617192223242425262827293031333432353620383961719241822254140424344104746[[#This Row],[Int Réalisé OT
€]]+AX126</f>
        <v>0</v>
      </c>
      <c r="T126" s="11" t="e">
        <f t="shared" si="22"/>
        <v>#REF!</v>
      </c>
      <c r="U12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6" s="12">
        <f>IFERROR(VLOOKUP(H126,#REF!,2,FALSE),0)</f>
        <v>0</v>
      </c>
      <c r="X126" s="13">
        <f>IFERROR(VLOOKUP(H126,#REF!,2,FALSE),0)</f>
        <v>0</v>
      </c>
      <c r="Y126" s="13">
        <f>IFERROR(VLOOKUP(H126,#REF!,3,FALSE),0)</f>
        <v>0</v>
      </c>
      <c r="Z12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36.5</v>
      </c>
      <c r="AA126" s="13">
        <f>IFERROR(VLOOKUP(H126,#REF!,18,FALSE),0)</f>
        <v>0</v>
      </c>
      <c r="AB126" s="13">
        <f>SUM(X126:Y126)-IFERROR(VLOOKUP(H126,#REF!,16,FALSE),0)-IFERROR(VLOOKUP(H126,#REF!,17,FALSE),0)</f>
        <v>0</v>
      </c>
      <c r="AC126" s="15" t="e">
        <f>VLOOKUP(Tableau5617192223242425262827293031333432353620383961719241822254140424344104746[[#This Row],[Num Projets]],#REF!,2,FALSE)</f>
        <v>#REF!</v>
      </c>
      <c r="AD126" s="15">
        <f>IFERROR(VLOOKUP(Tableau5617192223242425262827293031333432353620383961719241822254140424344104746[[#This Row],[Num Projets]],#REF!,2,FALSE),0)</f>
        <v>0</v>
      </c>
      <c r="AE126" s="8">
        <f t="shared" si="23"/>
        <v>1744.6999999999998</v>
      </c>
      <c r="AF126" s="22" t="e">
        <f t="shared" si="24"/>
        <v>#REF!</v>
      </c>
      <c r="AG126" s="8">
        <f>IFERROR(VLOOKUP(H126,#REF!,3,FALSE),0)+IFERROR(VLOOKUP(H126,#REF!,3,FALSE),0)</f>
        <v>0</v>
      </c>
      <c r="AH126" s="8">
        <f>IFERROR(VLOOKUP(Tableau5617192223242425262827293031333432353620383961719241822254140424344104746[[#This Row],[Num Projets]],#REF!,2,FALSE),0)</f>
        <v>0</v>
      </c>
      <c r="AI126" s="17">
        <f>+IFERROR(VLOOKUP(H126,#REF!,2,FALSE),0)-Tableau5617192223242425262827293031333432353620383961719241822254140424344104746[[#This Row],[Int Commandé OT
€]]</f>
        <v>0</v>
      </c>
      <c r="AJ126" s="8">
        <f>IFERROR(VLOOKUP(H126,#REF!,11,FALSE),0)-IFERROR(VLOOKUP(H126,#REF!,10,FALSE),0)+Tableau5617192223242425262827293031333432353620383961719241822254140424344104746[[#This Row],[dont FNP à date (€ HT)]]</f>
        <v>0</v>
      </c>
      <c r="AK126" s="15">
        <f t="shared" si="30"/>
        <v>0</v>
      </c>
      <c r="AL12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6" s="19">
        <f>IF(Tableau5617192223242425262827293031333432353620383961719241822254140424344104746[[#This Row],[RAF Achats M-1
€]]=0,0,AN126-AO126)</f>
        <v>0</v>
      </c>
      <c r="AN126" s="8">
        <f>IFERROR(VLOOKUP(H126,#REF!,31,FALSE),0)</f>
        <v>0</v>
      </c>
      <c r="AO126" s="8">
        <f>AI126+-IFERROR(VLOOKUP(H126,#REF!,27,FALSE),0)</f>
        <v>0</v>
      </c>
      <c r="AP126" s="20">
        <f>IFERROR(VLOOKUP(Tableau5617192223242425262827293031333432353620383961719241822254140424344104746[[#This Row],[Num Projets]],#REF!,2,FALSE),0)</f>
        <v>0</v>
      </c>
      <c r="AQ126" s="20">
        <f>_xlfn.XLOOKUP(H126,[2]Synth!$N:$N,[2]Synth!$O:$O,0,FALSE)+_xlfn.XLOOKUP(Tableau5617192223242425262827293031333432353620383961719241822254140424344104746[[#This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26" s="21">
        <v>0</v>
      </c>
      <c r="AS126" s="20">
        <f>+IFERROR(VLOOKUP(H126,#REF!,36,FALSE),0)</f>
        <v>0</v>
      </c>
      <c r="AT12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6" s="22">
        <f>IF(AG126=0,0,1-((AI126+AM126+Tableau5617192223242425262827293031333432353620383961719241822254140424344104746[[#This Row],[Int Commandé OT
€]]+Tableau5617192223242425262827293031333432353620383961719241822254140424344104746[[#This Row],[RAF Int OT
€]])/AG126))</f>
        <v>0</v>
      </c>
      <c r="AV126" s="8">
        <f>IFERROR(VLOOKUP(H126,#REF!,4,FALSE),0)+IFERROR(VLOOKUP(H126,#REF!,4,FALSE),0)</f>
        <v>0</v>
      </c>
      <c r="AW126" s="8">
        <f>IFERROR(VLOOKUP(Tableau5617192223242425262827293031333432353620383961719241822254140424344104746[[#This Row],[Num Projets]],#REF!,3,FALSE),0)</f>
        <v>0</v>
      </c>
      <c r="AX126" s="95">
        <f>IFERROR(VLOOKUP(Tableau5617192223242425262827293031333432353620383961719241822254140424344104746[[#This Row],[Num Projets]],#REF!,10,FALSE),0)</f>
        <v>0</v>
      </c>
      <c r="AY126" s="23">
        <f>Tableau5617192223242425262827293031333432353620383961719241822254140424344104746[[#This Row],[Budget Mission
 €]]/1.2-AX126</f>
        <v>0</v>
      </c>
      <c r="AZ126" s="8">
        <f>IFERROR(VLOOKUP(H126,#REF!,43,FALSE),0)</f>
        <v>0</v>
      </c>
      <c r="BA126" s="8">
        <f>AX126-IFERROR(VLOOKUP(H126,#REF!,42,FALSE),0)</f>
        <v>0</v>
      </c>
      <c r="BB126" s="47">
        <f t="shared" si="33"/>
        <v>0</v>
      </c>
      <c r="BC126" s="24">
        <f>IFERROR(VLOOKUP(H126,#REF!,47,FALSE),IFERROR(VLOOKUP(H126,#REF!,5,FALSE),0)+IFERROR(VLOOKUP(H126,#REF!,5,FALSE),0))</f>
        <v>0</v>
      </c>
      <c r="BD126" s="25">
        <f>IFERROR(VLOOKUP(H126,#REF!,2,FALSE),0)</f>
        <v>0</v>
      </c>
      <c r="BE126" s="25">
        <f>IFERROR(VLOOKUP(H126,#REF!,49,FALSE),0)</f>
        <v>0</v>
      </c>
      <c r="BF126" s="50" t="e">
        <f t="shared" si="25"/>
        <v>#REF!</v>
      </c>
      <c r="BG126" s="50">
        <f t="shared" si="26"/>
        <v>0</v>
      </c>
      <c r="BH126" s="27">
        <f>AE126+ (AI126-AJ126+AM126+Tableau5617192223242425262827293031333432353620383961719241822254140424344104746[[#This Row],[Int Commandé OT
€]]-Tableau5617192223242425262827293031333432353620383961719241822254140424344104746[[#This Row],[Int Réalisé OT
€]]+AR126) +AY126+BC126</f>
        <v>1744.6999999999998</v>
      </c>
      <c r="BI126" s="47">
        <f t="shared" si="37"/>
        <v>0</v>
      </c>
      <c r="BJ126" s="47" t="e">
        <f t="shared" si="27"/>
        <v>#REF!</v>
      </c>
      <c r="BK126" s="27" t="e">
        <f t="shared" si="28"/>
        <v>#REF!</v>
      </c>
      <c r="BL126" s="26" t="e">
        <f t="shared" si="29"/>
        <v>#REF!</v>
      </c>
      <c r="BM126" s="96">
        <f>IFERROR(VLOOKUP(H126,'[1]2023dec'!H:CA,54,FALSE),105)</f>
        <v>105</v>
      </c>
      <c r="BN126" s="29">
        <v>1</v>
      </c>
      <c r="BO126" s="30" t="e">
        <f>P126-AC126-AG126-AV126-Tableau5617192223242425262827293031333432353620383961719241822254140424344104746[[#This Row],[Provisions pour risques]]</f>
        <v>#REF!</v>
      </c>
      <c r="BP12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1744.6999999999998</v>
      </c>
      <c r="BQ12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26" s="97" t="e">
        <f t="shared" si="34"/>
        <v>#REF!</v>
      </c>
      <c r="BS126" s="34">
        <f>Tableau5617192223242425262827293031333432353620383961719241822254140424344104746[[#This Row],[Consommé global Enregistré à date (€ HT)]]-IFERROR(VLOOKUP(H126,#REF!,50,FALSE),0)</f>
        <v>0</v>
      </c>
      <c r="BT126" s="35" t="e">
        <f t="shared" si="35"/>
        <v>#REF!</v>
      </c>
      <c r="BU126" s="36">
        <f>BD126-IFERROR(VLOOKUP(H126,#REF!,47,FALSE),0)</f>
        <v>0</v>
      </c>
      <c r="BV126" s="37" t="e">
        <f>+BF126+Tableau5617192223242425262827293031333432353620383961719241822254140424344104746[[#This Row],[CA fin N-1]]-IFERROR(VLOOKUP(H126,#REF!,49,FALSE),0)-IFERROR(VLOOKUP(H126,#REF!,50,FALSE),0)</f>
        <v>#REF!</v>
      </c>
      <c r="BW126" s="33">
        <f>BG126-IFERROR(VLOOKUP(H126,#REF!,51,FALSE),0)</f>
        <v>0</v>
      </c>
      <c r="BX126" s="35" t="e">
        <f t="shared" si="36"/>
        <v>#REF!</v>
      </c>
      <c r="BY126" s="36">
        <f>BD126-IFERROR(VLOOKUP(H126,#REF!,48,FALSE),0)</f>
        <v>0</v>
      </c>
      <c r="BZ12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6" s="39" t="e">
        <f>VLOOKUP(Tableau5617192223242425262827293031333432353620383961719241822254140424344104746[[#This Row],[Num Projets]],#REF!,1,FALSE)</f>
        <v>#REF!</v>
      </c>
      <c r="CB126" s="40">
        <v>36.5</v>
      </c>
      <c r="CC126" s="40">
        <v>0</v>
      </c>
      <c r="CD12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-36.5</v>
      </c>
    </row>
    <row r="127" spans="1:82" ht="13.5" customHeight="1" x14ac:dyDescent="0.25">
      <c r="A127" s="313" t="s">
        <v>251</v>
      </c>
      <c r="B127" s="1"/>
      <c r="C127" s="2" t="e">
        <f>_xlfn.XLOOKUP(Tableau5617192223242425262827293031333432353620383961719241822254140424344104746[[#This Row],[Num Projets]],#REF!,#REF!,FALSE)</f>
        <v>#REF!</v>
      </c>
      <c r="D127" s="3" t="s">
        <v>1</v>
      </c>
      <c r="E127" s="3" t="e">
        <f>_xlfn.XLOOKUP(Tableau5617192223242425262827293031333432353620383961719241822254140424344104746[[#This Row],[Num Projets]],#REF!,#REF!,FALSE)</f>
        <v>#REF!</v>
      </c>
      <c r="F127" s="3" t="e">
        <f>_xlfn.XLOOKUP(Tableau5617192223242425262827293031333432353620383961719241822254140424344104746[[#This Row],[Num Projets]],#REF!,#REF!,"newavr",0)</f>
        <v>#REF!</v>
      </c>
      <c r="G127" s="3" t="s">
        <v>2</v>
      </c>
      <c r="H127" s="3" t="s">
        <v>252</v>
      </c>
      <c r="I12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7" s="4" t="e">
        <f>VLOOKUP(Tableau5617192223242425262827293031333432353620383961719241822254140424344104746[[#This Row],[Num Projets]],#REF!,36,FALSE)</f>
        <v>#REF!</v>
      </c>
      <c r="K127" s="5" t="s">
        <v>4</v>
      </c>
      <c r="L12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7" s="3" t="e">
        <f>SUBSTITUTE(_xlfn.XLOOKUP(Tableau5617192223242425262827293031333432353620383961719241822254140424344104746[[#This Row],[Num Projets]],#REF!,#REF!,FALSE)," ","")</f>
        <v>#REF!</v>
      </c>
      <c r="N127" s="7" t="e">
        <f>VLOOKUP(H127,#REF!,7,FALSE)</f>
        <v>#REF!</v>
      </c>
      <c r="O127" s="7" t="e">
        <f>IF(VLOOKUP(H127,#REF!,27,FALSE)=0,"",VLOOKUP(H127,#REF!,27,FALSE))</f>
        <v>#REF!</v>
      </c>
      <c r="P127" s="8" t="e">
        <f>VLOOKUP(H127,#REF!,2,FALSE)</f>
        <v>#REF!</v>
      </c>
      <c r="Q127" s="9" t="e">
        <f>Tableau5617192223242425262827293031333432353620383961719241822254140424344104746[[#This Row],[Total Budget
€]]-IFERROR(VLOOKUP(H127,#REF!,8,FALSE),0)</f>
        <v>#REF!</v>
      </c>
      <c r="R127" s="10">
        <f>AD127+AI127+Tableau5617192223242425262827293031333432353620383961719241822254140424344104746[[#This Row],[Int Commandé OT
€]]+AX127</f>
        <v>0</v>
      </c>
      <c r="S127" s="10">
        <f>AD127+AJ127+Tableau5617192223242425262827293031333432353620383961719241822254140424344104746[[#This Row],[Int Réalisé OT
€]]+AX127</f>
        <v>10930</v>
      </c>
      <c r="T127" s="11" t="e">
        <f t="shared" si="22"/>
        <v>#REF!</v>
      </c>
      <c r="U12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7" s="12">
        <f>IFERROR(VLOOKUP(H127,#REF!,2,FALSE),0)</f>
        <v>0</v>
      </c>
      <c r="X127" s="13">
        <f>IFERROR(VLOOKUP(H127,#REF!,2,FALSE),0)</f>
        <v>0</v>
      </c>
      <c r="Y127" s="13">
        <f>IFERROR(VLOOKUP(H127,#REF!,3,FALSE),0)</f>
        <v>0</v>
      </c>
      <c r="Z12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72.5</v>
      </c>
      <c r="AA127" s="13">
        <f>IFERROR(VLOOKUP(H127,#REF!,18,FALSE),0)</f>
        <v>0</v>
      </c>
      <c r="AB127" s="13">
        <f>SUM(X127:Y127)-IFERROR(VLOOKUP(H127,#REF!,16,FALSE),0)-IFERROR(VLOOKUP(H127,#REF!,17,FALSE),0)</f>
        <v>0</v>
      </c>
      <c r="AC127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27" s="15">
        <f>IFERROR(VLOOKUP(Tableau5617192223242425262827293031333432353620383961719241822254140424344104746[[#This Row],[Num Projets]],#REF!,2,FALSE),0)</f>
        <v>0</v>
      </c>
      <c r="AE127" s="8">
        <f t="shared" si="23"/>
        <v>3465.5</v>
      </c>
      <c r="AF127" s="22" t="e">
        <f t="shared" si="24"/>
        <v>#REF!</v>
      </c>
      <c r="AG127" s="8">
        <f>IFERROR(VLOOKUP(H127,#REF!,3,FALSE),0)+IFERROR(VLOOKUP(H127,#REF!,3,FALSE),0)</f>
        <v>0</v>
      </c>
      <c r="AH127" s="8">
        <f>IFERROR(VLOOKUP(Tableau5617192223242425262827293031333432353620383961719241822254140424344104746[[#This Row],[Num Projets]],#REF!,2,FALSE),0)</f>
        <v>0</v>
      </c>
      <c r="AI127" s="17">
        <f>+IFERROR(VLOOKUP(H127,#REF!,2,FALSE),0)-Tableau5617192223242425262827293031333432353620383961719241822254140424344104746[[#This Row],[Int Commandé OT
€]]</f>
        <v>0</v>
      </c>
      <c r="AJ127" s="8">
        <f>IFERROR(VLOOKUP(H127,#REF!,11,FALSE),0)-IFERROR(VLOOKUP(H127,#REF!,10,FALSE),0)+Tableau5617192223242425262827293031333432353620383961719241822254140424344104746[[#This Row],[dont FNP à date (€ HT)]]</f>
        <v>0</v>
      </c>
      <c r="AK127" s="15">
        <f t="shared" si="30"/>
        <v>0</v>
      </c>
      <c r="AL12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7" s="19">
        <f>IF(Tableau5617192223242425262827293031333432353620383961719241822254140424344104746[[#This Row],[RAF Achats M-1
€]]=0,0,AN127-AO127)</f>
        <v>0</v>
      </c>
      <c r="AN127" s="8">
        <f>IFERROR(VLOOKUP(H127,#REF!,31,FALSE),0)</f>
        <v>0</v>
      </c>
      <c r="AO127" s="8">
        <f>AI127+-IFERROR(VLOOKUP(H127,#REF!,27,FALSE),0)</f>
        <v>0</v>
      </c>
      <c r="AP127" s="20">
        <f>IFERROR(VLOOKUP(Tableau5617192223242425262827293031333432353620383961719241822254140424344104746[[#This Row],[Num Projets]],#REF!,2,FALSE),0)</f>
        <v>0</v>
      </c>
      <c r="AQ127" s="20">
        <f>_xlfn.XLOOKUP(H127,[2]Synth!$N:$N,[2]Synth!$O:$O,0,FALSE)+_xlfn.XLOOKUP(Tableau5617192223242425262827293031333432353620383961719241822254140424344104746[[#This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10930</v>
      </c>
      <c r="AR127" s="21">
        <v>0</v>
      </c>
      <c r="AS127" s="20">
        <f>+IFERROR(VLOOKUP(H127,#REF!,36,FALSE),0)</f>
        <v>0</v>
      </c>
      <c r="AT12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7" s="22">
        <f>IF(AG127=0,0,1-((AI127+AM127+Tableau5617192223242425262827293031333432353620383961719241822254140424344104746[[#This Row],[Int Commandé OT
€]]+Tableau5617192223242425262827293031333432353620383961719241822254140424344104746[[#This Row],[RAF Int OT
€]])/AG127))</f>
        <v>0</v>
      </c>
      <c r="AV127" s="8">
        <f>IFERROR(VLOOKUP(H127,#REF!,4,FALSE),0)+IFERROR(VLOOKUP(H127,#REF!,4,FALSE),0)</f>
        <v>0</v>
      </c>
      <c r="AW127" s="8">
        <f>IFERROR(VLOOKUP(Tableau5617192223242425262827293031333432353620383961719241822254140424344104746[[#This Row],[Num Projets]],#REF!,3,FALSE),0)</f>
        <v>0</v>
      </c>
      <c r="AX127" s="95">
        <f>IFERROR(VLOOKUP(Tableau5617192223242425262827293031333432353620383961719241822254140424344104746[[#This Row],[Num Projets]],#REF!,10,FALSE),0)</f>
        <v>0</v>
      </c>
      <c r="AY127" s="23">
        <f>Tableau5617192223242425262827293031333432353620383961719241822254140424344104746[[#This Row],[Budget Mission
 €]]/1.2-AX127</f>
        <v>0</v>
      </c>
      <c r="AZ127" s="8">
        <f>IFERROR(VLOOKUP(H127,#REF!,43,FALSE),0)</f>
        <v>0</v>
      </c>
      <c r="BA127" s="8">
        <f>AX127-IFERROR(VLOOKUP(H127,#REF!,42,FALSE),0)</f>
        <v>0</v>
      </c>
      <c r="BB127" s="47">
        <f t="shared" si="33"/>
        <v>0</v>
      </c>
      <c r="BC127" s="24">
        <f>IFERROR(VLOOKUP(H127,#REF!,47,FALSE),IFERROR(VLOOKUP(H127,#REF!,5,FALSE),0)+IFERROR(VLOOKUP(H127,#REF!,5,FALSE),0))</f>
        <v>0</v>
      </c>
      <c r="BD127" s="25">
        <f>IFERROR(VLOOKUP(H127,#REF!,2,FALSE),0)</f>
        <v>0</v>
      </c>
      <c r="BE127" s="25">
        <f>IFERROR(VLOOKUP(H127,#REF!,49,FALSE),0)</f>
        <v>0</v>
      </c>
      <c r="BF127" s="50" t="e">
        <f t="shared" si="25"/>
        <v>#REF!</v>
      </c>
      <c r="BG127" s="50">
        <f t="shared" si="26"/>
        <v>10930</v>
      </c>
      <c r="BH127" s="27">
        <f>AE127+ (AI127-AJ127+AM127+Tableau5617192223242425262827293031333432353620383961719241822254140424344104746[[#This Row],[Int Commandé OT
€]]-Tableau5617192223242425262827293031333432353620383961719241822254140424344104746[[#This Row],[Int Réalisé OT
€]]+AR127) +AY127+BC127</f>
        <v>-7464.5</v>
      </c>
      <c r="BI127" s="47">
        <f t="shared" si="37"/>
        <v>3.1539460395325349</v>
      </c>
      <c r="BJ127" s="47" t="e">
        <f t="shared" si="27"/>
        <v>#REF!</v>
      </c>
      <c r="BK127" s="27" t="e">
        <f t="shared" si="28"/>
        <v>#REF!</v>
      </c>
      <c r="BL127" s="26" t="e">
        <f t="shared" si="29"/>
        <v>#REF!</v>
      </c>
      <c r="BM127" s="96">
        <f>IFERROR(VLOOKUP(H127,'[1]2023dec'!H:CA,54,FALSE),105)</f>
        <v>105</v>
      </c>
      <c r="BN127" s="29">
        <v>1</v>
      </c>
      <c r="BO127" s="30" t="e">
        <f>P127-AC127-AG127-AV127-Tableau5617192223242425262827293031333432353620383961719241822254140424344104746[[#This Row],[Provisions pour risques]]</f>
        <v>#REF!</v>
      </c>
      <c r="BP12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3465.5</v>
      </c>
      <c r="BQ12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3.1539460395325349</v>
      </c>
      <c r="BR127" s="97" t="e">
        <f t="shared" si="34"/>
        <v>#REF!</v>
      </c>
      <c r="BS127" s="34">
        <f>Tableau5617192223242425262827293031333432353620383961719241822254140424344104746[[#This Row],[Consommé global Enregistré à date (€ HT)]]-IFERROR(VLOOKUP(H127,#REF!,50,FALSE),0)</f>
        <v>10930</v>
      </c>
      <c r="BT127" s="35" t="e">
        <f t="shared" si="35"/>
        <v>#REF!</v>
      </c>
      <c r="BU127" s="36">
        <f>BD127-IFERROR(VLOOKUP(H127,#REF!,47,FALSE),0)</f>
        <v>0</v>
      </c>
      <c r="BV127" s="37" t="e">
        <f>+BF127+Tableau5617192223242425262827293031333432353620383961719241822254140424344104746[[#This Row],[CA fin N-1]]-IFERROR(VLOOKUP(H127,#REF!,49,FALSE),0)-IFERROR(VLOOKUP(H127,#REF!,50,FALSE),0)</f>
        <v>#REF!</v>
      </c>
      <c r="BW127" s="33">
        <f>BG127-IFERROR(VLOOKUP(H127,#REF!,51,FALSE),0)</f>
        <v>10930</v>
      </c>
      <c r="BX127" s="35" t="e">
        <f t="shared" si="36"/>
        <v>#REF!</v>
      </c>
      <c r="BY127" s="36">
        <f>BD127-IFERROR(VLOOKUP(H127,#REF!,48,FALSE),0)</f>
        <v>0</v>
      </c>
      <c r="BZ12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7" s="39" t="e">
        <f>VLOOKUP(Tableau5617192223242425262827293031333432353620383961719241822254140424344104746[[#This Row],[Num Projets]],#REF!,1,FALSE)</f>
        <v>#REF!</v>
      </c>
      <c r="CB127" s="40">
        <v>69.5</v>
      </c>
      <c r="CC127" s="40">
        <v>3</v>
      </c>
      <c r="CD12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-69.5</v>
      </c>
    </row>
    <row r="128" spans="1:82" ht="13.5" customHeight="1" x14ac:dyDescent="0.25">
      <c r="A128" s="311" t="s">
        <v>253</v>
      </c>
      <c r="B128" s="1"/>
      <c r="C128" s="2" t="e">
        <f>_xlfn.XLOOKUP(Tableau5617192223242425262827293031333432353620383961719241822254140424344104746[[#This Row],[Num Projets]],#REF!,#REF!,FALSE)</f>
        <v>#REF!</v>
      </c>
      <c r="D128" s="3" t="s">
        <v>1</v>
      </c>
      <c r="E128" s="3" t="e">
        <f>_xlfn.XLOOKUP(Tableau5617192223242425262827293031333432353620383961719241822254140424344104746[[#This Row],[Num Projets]],#REF!,#REF!,FALSE)</f>
        <v>#REF!</v>
      </c>
      <c r="F128" s="3" t="e">
        <f>_xlfn.XLOOKUP(Tableau5617192223242425262827293031333432353620383961719241822254140424344104746[[#This Row],[Num Projets]],#REF!,#REF!,"newavr",0)</f>
        <v>#REF!</v>
      </c>
      <c r="G128" s="3" t="s">
        <v>2</v>
      </c>
      <c r="H128" s="3" t="s">
        <v>254</v>
      </c>
      <c r="I12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8" s="4" t="e">
        <f>VLOOKUP(Tableau5617192223242425262827293031333432353620383961719241822254140424344104746[[#This Row],[Num Projets]],#REF!,36,FALSE)</f>
        <v>#REF!</v>
      </c>
      <c r="K128" s="5" t="s">
        <v>4</v>
      </c>
      <c r="L12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8" s="3" t="e">
        <f>SUBSTITUTE(_xlfn.XLOOKUP(Tableau5617192223242425262827293031333432353620383961719241822254140424344104746[[#This Row],[Num Projets]],#REF!,#REF!,FALSE)," ","")</f>
        <v>#REF!</v>
      </c>
      <c r="N128" s="7" t="e">
        <f>VLOOKUP(H128,#REF!,7,FALSE)</f>
        <v>#REF!</v>
      </c>
      <c r="O128" s="7" t="e">
        <f>IF(VLOOKUP(H128,#REF!,27,FALSE)=0,"",VLOOKUP(H128,#REF!,27,FALSE))</f>
        <v>#REF!</v>
      </c>
      <c r="P128" s="8" t="e">
        <f>VLOOKUP(H128,#REF!,2,FALSE)</f>
        <v>#REF!</v>
      </c>
      <c r="Q128" s="9" t="e">
        <f>Tableau5617192223242425262827293031333432353620383961719241822254140424344104746[[#This Row],[Total Budget
€]]-IFERROR(VLOOKUP(H128,#REF!,8,FALSE),0)</f>
        <v>#REF!</v>
      </c>
      <c r="R128" s="10">
        <f>AD128+AI128+Tableau5617192223242425262827293031333432353620383961719241822254140424344104746[[#This Row],[Int Commandé OT
€]]+AX128</f>
        <v>0</v>
      </c>
      <c r="S128" s="10">
        <f>AD128+AJ128+Tableau5617192223242425262827293031333432353620383961719241822254140424344104746[[#This Row],[Int Réalisé OT
€]]+AX128</f>
        <v>17330</v>
      </c>
      <c r="T128" s="11" t="e">
        <f t="shared" si="22"/>
        <v>#REF!</v>
      </c>
      <c r="U12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8" s="42">
        <f>IFERROR(VLOOKUP(H128,#REF!,2,FALSE),0)+12</f>
        <v>12</v>
      </c>
      <c r="X128" s="13">
        <f>IFERROR(VLOOKUP(H128,#REF!,2,FALSE),0)</f>
        <v>0</v>
      </c>
      <c r="Y128" s="13">
        <f>IFERROR(VLOOKUP(H128,#REF!,3,FALSE),0)</f>
        <v>0</v>
      </c>
      <c r="Z12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147</v>
      </c>
      <c r="AA128" s="13">
        <f>IFERROR(VLOOKUP(H128,#REF!,18,FALSE),0)</f>
        <v>0</v>
      </c>
      <c r="AB128" s="13">
        <f>SUM(X128:Y128)-IFERROR(VLOOKUP(H128,#REF!,16,FALSE),0)-IFERROR(VLOOKUP(H128,#REF!,17,FALSE),0)</f>
        <v>0</v>
      </c>
      <c r="AC128" s="14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28" s="15">
        <f>IFERROR(VLOOKUP(Tableau5617192223242425262827293031333432353620383961719241822254140424344104746[[#This Row],[Num Projets]],#REF!,2,FALSE),0)</f>
        <v>0</v>
      </c>
      <c r="AE128" s="8">
        <f t="shared" si="23"/>
        <v>7026.5999999999995</v>
      </c>
      <c r="AF128" s="22" t="e">
        <f t="shared" si="24"/>
        <v>#REF!</v>
      </c>
      <c r="AG128" s="41">
        <f>IFERROR(VLOOKUP(H128,#REF!,3,FALSE),0)+IFERROR(VLOOKUP(H128,#REF!,3,FALSE),0)-12*105</f>
        <v>-1260</v>
      </c>
      <c r="AH128" s="8">
        <f>IFERROR(VLOOKUP(Tableau5617192223242425262827293031333432353620383961719241822254140424344104746[[#This Row],[Num Projets]],#REF!,2,FALSE),0)</f>
        <v>0</v>
      </c>
      <c r="AI128" s="17">
        <f>+IFERROR(VLOOKUP(H128,#REF!,2,FALSE),0)-Tableau5617192223242425262827293031333432353620383961719241822254140424344104746[[#This Row],[Int Commandé OT
€]]</f>
        <v>0</v>
      </c>
      <c r="AJ128" s="8">
        <f>IFERROR(VLOOKUP(H128,#REF!,11,FALSE),0)-IFERROR(VLOOKUP(H128,#REF!,10,FALSE),0)+Tableau5617192223242425262827293031333432353620383961719241822254140424344104746[[#This Row],[dont FNP à date (€ HT)]]</f>
        <v>0</v>
      </c>
      <c r="AK128" s="15">
        <f t="shared" si="30"/>
        <v>0</v>
      </c>
      <c r="AL12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8" s="19">
        <f>IF(Tableau5617192223242425262827293031333432353620383961719241822254140424344104746[[#This Row],[RAF Achats M-1
€]]=0,0,AN128-AO128)</f>
        <v>0</v>
      </c>
      <c r="AN128" s="8">
        <f>IFERROR(VLOOKUP(H128,#REF!,31,FALSE),0)</f>
        <v>0</v>
      </c>
      <c r="AO128" s="8">
        <f>AI128+-IFERROR(VLOOKUP(H128,#REF!,27,FALSE),0)</f>
        <v>0</v>
      </c>
      <c r="AP128" s="20">
        <f>IFERROR(VLOOKUP(Tableau5617192223242425262827293031333432353620383961719241822254140424344104746[[#This Row],[Num Projets]],#REF!,2,FALSE),0)</f>
        <v>0</v>
      </c>
      <c r="AQ128" s="20">
        <f>_xlfn.XLOOKUP(H128,[2]Synth!$N:$N,[2]Synth!$O:$O,0,FALSE)+_xlfn.XLOOKUP(Tableau5617192223242425262827293031333432353620383961719241822254140424344104746[[#This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17330</v>
      </c>
      <c r="AR128" s="21">
        <v>0</v>
      </c>
      <c r="AS128" s="20">
        <f>+IFERROR(VLOOKUP(H128,#REF!,36,FALSE),0)</f>
        <v>0</v>
      </c>
      <c r="AT12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8" s="22">
        <f>IF(AG128=0,0,1-((AI128+AM128+Tableau5617192223242425262827293031333432353620383961719241822254140424344104746[[#This Row],[Int Commandé OT
€]]+Tableau5617192223242425262827293031333432353620383961719241822254140424344104746[[#This Row],[RAF Int OT
€]])/AG128))</f>
        <v>1</v>
      </c>
      <c r="AV128" s="8">
        <f>IFERROR(VLOOKUP(H128,#REF!,4,FALSE),0)+IFERROR(VLOOKUP(H128,#REF!,4,FALSE),0)</f>
        <v>0</v>
      </c>
      <c r="AW128" s="8">
        <f>IFERROR(VLOOKUP(Tableau5617192223242425262827293031333432353620383961719241822254140424344104746[[#This Row],[Num Projets]],#REF!,3,FALSE),0)</f>
        <v>0</v>
      </c>
      <c r="AX128" s="95">
        <f>IFERROR(VLOOKUP(Tableau5617192223242425262827293031333432353620383961719241822254140424344104746[[#This Row],[Num Projets]],#REF!,10,FALSE),0)</f>
        <v>0</v>
      </c>
      <c r="AY128" s="23">
        <f>Tableau5617192223242425262827293031333432353620383961719241822254140424344104746[[#This Row],[Budget Mission
 €]]/1.2-AX128</f>
        <v>0</v>
      </c>
      <c r="AZ128" s="8">
        <f>IFERROR(VLOOKUP(H128,#REF!,43,FALSE),0)</f>
        <v>0</v>
      </c>
      <c r="BA128" s="8">
        <f>AX128-IFERROR(VLOOKUP(H128,#REF!,42,FALSE),0)</f>
        <v>0</v>
      </c>
      <c r="BB128" s="47">
        <f t="shared" si="33"/>
        <v>0</v>
      </c>
      <c r="BC128" s="24">
        <f>IFERROR(VLOOKUP(H128,#REF!,47,FALSE),IFERROR(VLOOKUP(H128,#REF!,5,FALSE),0)+IFERROR(VLOOKUP(H128,#REF!,5,FALSE),0))</f>
        <v>0</v>
      </c>
      <c r="BD128" s="25">
        <f>IFERROR(VLOOKUP(H128,#REF!,2,FALSE),0)</f>
        <v>0</v>
      </c>
      <c r="BE128" s="25">
        <f>IFERROR(VLOOKUP(H128,#REF!,49,FALSE),0)</f>
        <v>0</v>
      </c>
      <c r="BF128" s="50" t="e">
        <f t="shared" si="25"/>
        <v>#REF!</v>
      </c>
      <c r="BG128" s="50">
        <f t="shared" si="26"/>
        <v>17330</v>
      </c>
      <c r="BH128" s="27">
        <f>AE128+ (AI128-AJ128+AM128+Tableau5617192223242425262827293031333432353620383961719241822254140424344104746[[#This Row],[Int Commandé OT
€]]-Tableau5617192223242425262827293031333432353620383961719241822254140424344104746[[#This Row],[Int Réalisé OT
€]]+AR128) +AY128+BC128</f>
        <v>-10303.400000000001</v>
      </c>
      <c r="BI128" s="47">
        <f t="shared" si="37"/>
        <v>2.4663421854097294</v>
      </c>
      <c r="BJ128" s="47" t="e">
        <f t="shared" si="27"/>
        <v>#REF!</v>
      </c>
      <c r="BK128" s="27" t="e">
        <f t="shared" si="28"/>
        <v>#REF!</v>
      </c>
      <c r="BL128" s="26" t="e">
        <f t="shared" si="29"/>
        <v>#REF!</v>
      </c>
      <c r="BM128" s="96">
        <f>IFERROR(VLOOKUP(H128,'[1]2023dec'!H:CA,54,FALSE),105)</f>
        <v>105</v>
      </c>
      <c r="BN128" s="29">
        <v>1</v>
      </c>
      <c r="BO128" s="30" t="e">
        <f>P128-AC128-AG128-AV128-Tableau5617192223242425262827293031333432353620383961719241822254140424344104746[[#This Row],[Provisions pour risques]]</f>
        <v>#REF!</v>
      </c>
      <c r="BP12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7026.5999999999985</v>
      </c>
      <c r="BQ12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2.4663421854097294</v>
      </c>
      <c r="BR128" s="97" t="e">
        <f t="shared" si="34"/>
        <v>#REF!</v>
      </c>
      <c r="BS128" s="34">
        <f>Tableau5617192223242425262827293031333432353620383961719241822254140424344104746[[#This Row],[Consommé global Enregistré à date (€ HT)]]-IFERROR(VLOOKUP(H128,#REF!,50,FALSE),0)</f>
        <v>17330</v>
      </c>
      <c r="BT128" s="35" t="e">
        <f t="shared" si="35"/>
        <v>#REF!</v>
      </c>
      <c r="BU128" s="36">
        <f>BD128-IFERROR(VLOOKUP(H128,#REF!,47,FALSE),0)</f>
        <v>0</v>
      </c>
      <c r="BV128" s="37" t="e">
        <f>+BF128+Tableau5617192223242425262827293031333432353620383961719241822254140424344104746[[#This Row],[CA fin N-1]]-IFERROR(VLOOKUP(H128,#REF!,49,FALSE),0)-IFERROR(VLOOKUP(H128,#REF!,50,FALSE),0)</f>
        <v>#REF!</v>
      </c>
      <c r="BW128" s="33">
        <f>BG128-IFERROR(VLOOKUP(H128,#REF!,51,FALSE),0)</f>
        <v>17330</v>
      </c>
      <c r="BX128" s="35" t="e">
        <f t="shared" si="36"/>
        <v>#REF!</v>
      </c>
      <c r="BY128" s="36">
        <f>BD128-IFERROR(VLOOKUP(H128,#REF!,48,FALSE),0)</f>
        <v>0</v>
      </c>
      <c r="BZ12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8" s="39" t="e">
        <f>VLOOKUP(Tableau5617192223242425262827293031333432353620383961719241822254140424344104746[[#This Row],[Num Projets]],#REF!,1,FALSE)</f>
        <v>#REF!</v>
      </c>
      <c r="CB128" s="40">
        <v>136</v>
      </c>
      <c r="CC128" s="40">
        <v>11</v>
      </c>
      <c r="CD12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-136</v>
      </c>
    </row>
    <row r="129" spans="1:82" ht="13.5" customHeight="1" x14ac:dyDescent="0.25">
      <c r="A129" s="316" t="s">
        <v>255</v>
      </c>
      <c r="B129" s="1"/>
      <c r="C129" s="2" t="e">
        <f>_xlfn.XLOOKUP(Tableau5617192223242425262827293031333432353620383961719241822254140424344104746[[#This Row],[Num Projets]],#REF!,#REF!,FALSE)</f>
        <v>#REF!</v>
      </c>
      <c r="D129" s="3" t="s">
        <v>1</v>
      </c>
      <c r="E129" s="3" t="e">
        <f>_xlfn.XLOOKUP(Tableau5617192223242425262827293031333432353620383961719241822254140424344104746[[#This Row],[Num Projets]],#REF!,#REF!,FALSE)</f>
        <v>#REF!</v>
      </c>
      <c r="F129" s="3" t="e">
        <f>_xlfn.XLOOKUP(Tableau5617192223242425262827293031333432353620383961719241822254140424344104746[[#This Row],[Num Projets]],#REF!,#REF!,"newavr",0)</f>
        <v>#REF!</v>
      </c>
      <c r="G129" s="3" t="s">
        <v>2</v>
      </c>
      <c r="H129" s="90" t="s">
        <v>256</v>
      </c>
      <c r="I12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29" s="4" t="e">
        <f>VLOOKUP(Tableau5617192223242425262827293031333432353620383961719241822254140424344104746[[#This Row],[Num Projets]],#REF!,36,FALSE)</f>
        <v>#REF!</v>
      </c>
      <c r="K129" s="5" t="s">
        <v>4</v>
      </c>
      <c r="L12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29" s="3" t="e">
        <f>SUBSTITUTE(_xlfn.XLOOKUP(Tableau5617192223242425262827293031333432353620383961719241822254140424344104746[[#This Row],[Num Projets]],#REF!,#REF!,FALSE)," ","")</f>
        <v>#REF!</v>
      </c>
      <c r="N129" s="7" t="e">
        <f>VLOOKUP(H129,#REF!,7,FALSE)</f>
        <v>#REF!</v>
      </c>
      <c r="O129" s="7" t="e">
        <f>IF(VLOOKUP(H129,#REF!,27,FALSE)=0,"",VLOOKUP(H129,#REF!,27,FALSE))</f>
        <v>#REF!</v>
      </c>
      <c r="P129" s="8" t="e">
        <f>VLOOKUP(H129,#REF!,2,FALSE)</f>
        <v>#REF!</v>
      </c>
      <c r="Q129" s="9" t="e">
        <f>Tableau5617192223242425262827293031333432353620383961719241822254140424344104746[[#This Row],[Total Budget
€]]-IFERROR(VLOOKUP(H129,#REF!,8,FALSE),0)</f>
        <v>#REF!</v>
      </c>
      <c r="R129" s="10">
        <f>AD129+AI129+Tableau5617192223242425262827293031333432353620383961719241822254140424344104746[[#This Row],[Int Commandé OT
€]]+AX129</f>
        <v>0</v>
      </c>
      <c r="S129" s="10">
        <f>AD129+AJ129+Tableau5617192223242425262827293031333432353620383961719241822254140424344104746[[#This Row],[Int Réalisé OT
€]]+AX129</f>
        <v>2795.0372235581472</v>
      </c>
      <c r="T129" s="11" t="e">
        <f t="shared" si="22"/>
        <v>#REF!</v>
      </c>
      <c r="U12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2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29" s="12">
        <f>IFERROR(VLOOKUP(H129,#REF!,2,FALSE),0)</f>
        <v>0</v>
      </c>
      <c r="X129" s="13">
        <f>IFERROR(VLOOKUP(H129,#REF!,2,FALSE),0)</f>
        <v>0</v>
      </c>
      <c r="Y129" s="13">
        <f>IFERROR(VLOOKUP(H129,#REF!,3,FALSE),0)</f>
        <v>0</v>
      </c>
      <c r="Z12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775</v>
      </c>
      <c r="AA129" s="13">
        <f>IFERROR(VLOOKUP(H129,#REF!,18,FALSE),0)</f>
        <v>0</v>
      </c>
      <c r="AB129" s="13">
        <f>SUM(X129:Y129)-IFERROR(VLOOKUP(H129,#REF!,16,FALSE),0)-IFERROR(VLOOKUP(H129,#REF!,17,FALSE),0)</f>
        <v>0</v>
      </c>
      <c r="AC129" s="15" t="e">
        <f>VLOOKUP(Tableau5617192223242425262827293031333432353620383961719241822254140424344104746[[#This Row],[Num Projets]],#REF!,2,FALSE)</f>
        <v>#REF!</v>
      </c>
      <c r="AD129" s="15">
        <f>IFERROR(VLOOKUP(Tableau5617192223242425262827293031333432353620383961719241822254140424344104746[[#This Row],[Num Projets]],#REF!,2,FALSE),0)</f>
        <v>0</v>
      </c>
      <c r="AE129" s="8">
        <f t="shared" si="23"/>
        <v>37045</v>
      </c>
      <c r="AF129" s="22" t="e">
        <f t="shared" si="24"/>
        <v>#REF!</v>
      </c>
      <c r="AG129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</f>
        <v>#REF!</v>
      </c>
      <c r="AH129" s="8">
        <f>IFERROR(VLOOKUP(Tableau5617192223242425262827293031333432353620383961719241822254140424344104746[[#This Row],[Num Projets]],#REF!,2,FALSE),0)</f>
        <v>0</v>
      </c>
      <c r="AI129" s="17">
        <f>+IFERROR(VLOOKUP(H129,#REF!,2,FALSE),0)-Tableau5617192223242425262827293031333432353620383961719241822254140424344104746[[#This Row],[Int Commandé OT
€]]</f>
        <v>0</v>
      </c>
      <c r="AJ129" s="8">
        <f>IFERROR(VLOOKUP(H129,#REF!,11,FALSE),0)-IFERROR(VLOOKUP(H129,#REF!,10,FALSE),0)+Tableau5617192223242425262827293031333432353620383961719241822254140424344104746[[#This Row],[dont FNP à date (€ HT)]]</f>
        <v>0</v>
      </c>
      <c r="AK129" s="15">
        <f t="shared" si="30"/>
        <v>0</v>
      </c>
      <c r="AL12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29" s="19">
        <f>IF(Tableau5617192223242425262827293031333432353620383961719241822254140424344104746[[#This Row],[RAF Achats M-1
€]]=0,0,AN129-AO129)</f>
        <v>0</v>
      </c>
      <c r="AN129" s="8">
        <f>IFERROR(VLOOKUP(H129,#REF!,31,FALSE),0)</f>
        <v>0</v>
      </c>
      <c r="AO129" s="8">
        <f>AI129+-IFERROR(VLOOKUP(H129,#REF!,27,FALSE),0)</f>
        <v>0</v>
      </c>
      <c r="AP129" s="20">
        <f>IFERROR(VLOOKUP(Tableau5617192223242425262827293031333432353620383961719241822254140424344104746[[#This Row],[Num Projets]],#REF!,2,FALSE),0)</f>
        <v>0</v>
      </c>
      <c r="AQ129" s="20">
        <f>_xlfn.XLOOKUP(H129,[2]Synth!$N:$N,[2]Synth!$O:$O,0,FALSE)+_xlfn.XLOOKUP(Tableau5617192223242425262827293031333432353620383961719241822254140424344104746[[#This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2795.0372235581472</v>
      </c>
      <c r="AR129" s="21">
        <v>0</v>
      </c>
      <c r="AS129" s="20">
        <f>+IFERROR(VLOOKUP(H129,#REF!,36,FALSE),0)</f>
        <v>0</v>
      </c>
      <c r="AT12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29" s="22" t="e">
        <f>IF(AG129=0,0,1-((AI129+AM129+Tableau5617192223242425262827293031333432353620383961719241822254140424344104746[[#This Row],[Int Commandé OT
€]]+Tableau5617192223242425262827293031333432353620383961719241822254140424344104746[[#This Row],[RAF Int OT
€]])/AG129))</f>
        <v>#REF!</v>
      </c>
      <c r="AV129" s="8">
        <f>IFERROR(VLOOKUP(H129,#REF!,4,FALSE),0)+IFERROR(VLOOKUP(H129,#REF!,4,FALSE),0)</f>
        <v>0</v>
      </c>
      <c r="AW129" s="8">
        <f>IFERROR(VLOOKUP(Tableau5617192223242425262827293031333432353620383961719241822254140424344104746[[#This Row],[Num Projets]],#REF!,3,FALSE),0)</f>
        <v>0</v>
      </c>
      <c r="AX129" s="95">
        <f>IFERROR(VLOOKUP(Tableau5617192223242425262827293031333432353620383961719241822254140424344104746[[#This Row],[Num Projets]],#REF!,10,FALSE),0)</f>
        <v>0</v>
      </c>
      <c r="AY129" s="23">
        <f>Tableau5617192223242425262827293031333432353620383961719241822254140424344104746[[#This Row],[Budget Mission
 €]]/1.2-AX129</f>
        <v>0</v>
      </c>
      <c r="AZ129" s="8">
        <f>IFERROR(VLOOKUP(H129,#REF!,43,FALSE),0)</f>
        <v>0</v>
      </c>
      <c r="BA129" s="8">
        <f>AX129-IFERROR(VLOOKUP(H129,#REF!,42,FALSE),0)</f>
        <v>0</v>
      </c>
      <c r="BB129" s="47">
        <f t="shared" si="33"/>
        <v>0</v>
      </c>
      <c r="BC129" s="24">
        <f>IFERROR(VLOOKUP(H129,#REF!,47,FALSE),IFERROR(VLOOKUP(H129,#REF!,5,FALSE),0)+IFERROR(VLOOKUP(H129,#REF!,5,FALSE),0))</f>
        <v>0</v>
      </c>
      <c r="BD129" s="25">
        <f>IFERROR(VLOOKUP(H129,#REF!,2,FALSE),0)</f>
        <v>0</v>
      </c>
      <c r="BE129" s="25">
        <f>IFERROR(VLOOKUP(H129,#REF!,49,FALSE),0)</f>
        <v>0</v>
      </c>
      <c r="BF129" s="50" t="e">
        <f t="shared" si="25"/>
        <v>#REF!</v>
      </c>
      <c r="BG129" s="50">
        <f t="shared" si="26"/>
        <v>2795.0372235581472</v>
      </c>
      <c r="BH129" s="27">
        <f>AE129+ (AI129-AJ129+AM129+Tableau5617192223242425262827293031333432353620383961719241822254140424344104746[[#This Row],[Int Commandé OT
€]]-Tableau5617192223242425262827293031333432353620383961719241822254140424344104746[[#This Row],[Int Réalisé OT
€]]+AR129) +AY129+BC129</f>
        <v>34249.962776441855</v>
      </c>
      <c r="BI129" s="47" t="e">
        <f>IF((BG129/(BG129+BH129))&lt;VLOOKUP(Tableau5617192223242425262827293031333432353620383961719241822254140424344104746[[#This Row],[Num Projets]],#REF!,53,FALSE),VLOOKUP(Tableau5617192223242425262827293031333432353620383961719241822254140424344104746[[#This Row],[Num Projets]],#REF!,53,FALSE),BG129/(BG129+BH129))</f>
        <v>#REF!</v>
      </c>
      <c r="BJ129" s="47" t="e">
        <f t="shared" si="27"/>
        <v>#REF!</v>
      </c>
      <c r="BK129" s="27" t="e">
        <f t="shared" si="28"/>
        <v>#REF!</v>
      </c>
      <c r="BL129" s="26" t="e">
        <f t="shared" si="29"/>
        <v>#REF!</v>
      </c>
      <c r="BM129" s="96">
        <f>IFERROR(VLOOKUP(H129,'[1]2023dec'!H:CA,54,FALSE),105)</f>
        <v>105</v>
      </c>
      <c r="BN129" s="29">
        <v>1</v>
      </c>
      <c r="BO129" s="30" t="e">
        <f>P129-AC129-AG129-AV129-Tableau5617192223242425262827293031333432353620383961719241822254140424344104746[[#This Row],[Provisions pour risques]]</f>
        <v>#REF!</v>
      </c>
      <c r="BP12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37045</v>
      </c>
      <c r="BQ129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29" s="97" t="e">
        <f t="shared" si="34"/>
        <v>#REF!</v>
      </c>
      <c r="BS129" s="34">
        <f>Tableau5617192223242425262827293031333432353620383961719241822254140424344104746[[#This Row],[Consommé global Enregistré à date (€ HT)]]-IFERROR(VLOOKUP(H129,#REF!,50,FALSE),0)</f>
        <v>2795.0372235581472</v>
      </c>
      <c r="BT129" s="35" t="e">
        <f t="shared" si="35"/>
        <v>#REF!</v>
      </c>
      <c r="BU129" s="36">
        <f>BD129-IFERROR(VLOOKUP(H129,#REF!,47,FALSE),0)</f>
        <v>0</v>
      </c>
      <c r="BV129" s="37" t="e">
        <f>+BF129+Tableau5617192223242425262827293031333432353620383961719241822254140424344104746[[#This Row],[CA fin N-1]]-IFERROR(VLOOKUP(H129,#REF!,49,FALSE),0)-IFERROR(VLOOKUP(H129,#REF!,50,FALSE),0)</f>
        <v>#REF!</v>
      </c>
      <c r="BW129" s="33">
        <f>BG129-IFERROR(VLOOKUP(H129,#REF!,51,FALSE),0)</f>
        <v>2795.0372235581472</v>
      </c>
      <c r="BX129" s="35" t="e">
        <f t="shared" si="36"/>
        <v>#REF!</v>
      </c>
      <c r="BY129" s="36">
        <f>BD129-IFERROR(VLOOKUP(H129,#REF!,48,FALSE),0)</f>
        <v>0</v>
      </c>
      <c r="BZ12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29" s="39" t="e">
        <f>VLOOKUP(Tableau5617192223242425262827293031333432353620383961719241822254140424344104746[[#This Row],[Num Projets]],#REF!,1,FALSE)</f>
        <v>#REF!</v>
      </c>
      <c r="CB129" s="40">
        <v>284</v>
      </c>
      <c r="CC129" s="40">
        <v>491</v>
      </c>
      <c r="CD12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-284</v>
      </c>
    </row>
    <row r="130" spans="1:82" ht="13.5" customHeight="1" x14ac:dyDescent="0.25">
      <c r="A130" s="313"/>
      <c r="B130" s="1"/>
      <c r="C130" s="2" t="e">
        <f>_xlfn.XLOOKUP(Tableau5617192223242425262827293031333432353620383961719241822254140424344104746[[#This Row],[Num Projets]],#REF!,#REF!,FALSE)</f>
        <v>#REF!</v>
      </c>
      <c r="D130" s="3" t="s">
        <v>1</v>
      </c>
      <c r="E130" s="3" t="e">
        <f>_xlfn.XLOOKUP(Tableau5617192223242425262827293031333432353620383961719241822254140424344104746[[#This Row],[Num Projets]],#REF!,#REF!,FALSE)</f>
        <v>#REF!</v>
      </c>
      <c r="F130" s="3" t="e">
        <f>_xlfn.XLOOKUP(Tableau5617192223242425262827293031333432353620383961719241822254140424344104746[[#This Row],[Num Projets]],#REF!,#REF!,"newavr",0)</f>
        <v>#REF!</v>
      </c>
      <c r="G130" s="3" t="s">
        <v>2</v>
      </c>
      <c r="H130" s="3" t="s">
        <v>257</v>
      </c>
      <c r="I13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0" s="4" t="e">
        <f>VLOOKUP(Tableau5617192223242425262827293031333432353620383961719241822254140424344104746[[#This Row],[Num Projets]],#REF!,36,FALSE)</f>
        <v>#REF!</v>
      </c>
      <c r="K130" s="5" t="s">
        <v>4</v>
      </c>
      <c r="L13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0" s="3" t="e">
        <f>SUBSTITUTE(_xlfn.XLOOKUP(Tableau5617192223242425262827293031333432353620383961719241822254140424344104746[[#This Row],[Num Projets]],#REF!,#REF!,FALSE)," ","")</f>
        <v>#REF!</v>
      </c>
      <c r="N130" s="7" t="e">
        <f>VLOOKUP(H130,#REF!,7,FALSE)</f>
        <v>#REF!</v>
      </c>
      <c r="O130" s="7">
        <v>45747</v>
      </c>
      <c r="P130" s="8" t="e">
        <f>VLOOKUP(H130,#REF!,2,FALSE)</f>
        <v>#REF!</v>
      </c>
      <c r="Q130" s="9" t="e">
        <f>Tableau5617192223242425262827293031333432353620383961719241822254140424344104746[[#This Row],[Total Budget
€]]-IFERROR(VLOOKUP(H130,#REF!,8,FALSE),0)</f>
        <v>#REF!</v>
      </c>
      <c r="R130" s="10">
        <f>AD130+AI130+Tableau5617192223242425262827293031333432353620383961719241822254140424344104746[[#This Row],[Int Commandé OT
€]]+AX130</f>
        <v>0</v>
      </c>
      <c r="S130" s="10">
        <f>AD130+AJ130+Tableau5617192223242425262827293031333432353620383961719241822254140424344104746[[#This Row],[Int Réalisé OT
€]]+AX130</f>
        <v>0</v>
      </c>
      <c r="T130" s="11" t="e">
        <f t="shared" si="22"/>
        <v>#REF!</v>
      </c>
      <c r="U13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0" s="12">
        <f>IFERROR(VLOOKUP(H130,#REF!,2,FALSE),0)</f>
        <v>0</v>
      </c>
      <c r="X130" s="13">
        <f>IFERROR(VLOOKUP(H130,#REF!,2,FALSE),0)</f>
        <v>0</v>
      </c>
      <c r="Y130" s="13">
        <f>IFERROR(VLOOKUP(H130,#REF!,3,FALSE),0)</f>
        <v>0</v>
      </c>
      <c r="Z13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37.5</v>
      </c>
      <c r="AA130" s="13">
        <f>IFERROR(VLOOKUP(H130,#REF!,18,FALSE),0)</f>
        <v>0</v>
      </c>
      <c r="AB130" s="13">
        <f>SUM(X130:Y130)-IFERROR(VLOOKUP(H130,#REF!,16,FALSE),0)-IFERROR(VLOOKUP(H130,#REF!,17,FALSE),0)</f>
        <v>0</v>
      </c>
      <c r="AC130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30" s="15">
        <f>IFERROR(VLOOKUP(Tableau5617192223242425262827293031333432353620383961719241822254140424344104746[[#This Row],[Num Projets]],#REF!,2,FALSE),0)</f>
        <v>0</v>
      </c>
      <c r="AE130" s="8">
        <f t="shared" si="23"/>
        <v>1792.5</v>
      </c>
      <c r="AF130" s="22" t="e">
        <f t="shared" si="24"/>
        <v>#REF!</v>
      </c>
      <c r="AG130" s="8">
        <f>IFERROR(VLOOKUP(H130,#REF!,3,FALSE),0)+IFERROR(VLOOKUP(H130,#REF!,3,FALSE),0)</f>
        <v>0</v>
      </c>
      <c r="AH130" s="8">
        <f>IFERROR(VLOOKUP(Tableau5617192223242425262827293031333432353620383961719241822254140424344104746[[#This Row],[Num Projets]],#REF!,2,FALSE),0)</f>
        <v>0</v>
      </c>
      <c r="AI130" s="17">
        <f>+IFERROR(VLOOKUP(H130,#REF!,2,FALSE),0)-Tableau5617192223242425262827293031333432353620383961719241822254140424344104746[[#This Row],[Int Commandé OT
€]]</f>
        <v>0</v>
      </c>
      <c r="AJ130" s="8">
        <f>IFERROR(VLOOKUP(H130,#REF!,11,FALSE),0)-IFERROR(VLOOKUP(H130,#REF!,10,FALSE),0)+Tableau5617192223242425262827293031333432353620383961719241822254140424344104746[[#This Row],[dont FNP à date (€ HT)]]</f>
        <v>0</v>
      </c>
      <c r="AK130" s="15">
        <f t="shared" si="30"/>
        <v>0</v>
      </c>
      <c r="AL13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0" s="19">
        <f>IF(Tableau5617192223242425262827293031333432353620383961719241822254140424344104746[[#This Row],[RAF Achats M-1
€]]=0,0,AN130-AO130)</f>
        <v>0</v>
      </c>
      <c r="AN130" s="8">
        <f>IFERROR(VLOOKUP(H130,#REF!,31,FALSE),0)</f>
        <v>0</v>
      </c>
      <c r="AO130" s="8">
        <f>AI130+-IFERROR(VLOOKUP(H130,#REF!,27,FALSE),0)</f>
        <v>0</v>
      </c>
      <c r="AP130" s="20">
        <f>IFERROR(VLOOKUP(Tableau5617192223242425262827293031333432353620383961719241822254140424344104746[[#This Row],[Num Projets]],#REF!,2,FALSE),0)</f>
        <v>0</v>
      </c>
      <c r="AQ130" s="20">
        <f>_xlfn.XLOOKUP(H130,[2]Synth!$N:$N,[2]Synth!$O:$O,0,FALSE)+_xlfn.XLOOKUP(Tableau5617192223242425262827293031333432353620383961719241822254140424344104746[[#This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0" s="21">
        <v>0</v>
      </c>
      <c r="AS130" s="20">
        <f>+IFERROR(VLOOKUP(H130,#REF!,36,FALSE),0)</f>
        <v>0</v>
      </c>
      <c r="AT13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0" s="22">
        <f>IF(AG130=0,0,1-((AI130+AM130+Tableau5617192223242425262827293031333432353620383961719241822254140424344104746[[#This Row],[Int Commandé OT
€]]+Tableau5617192223242425262827293031333432353620383961719241822254140424344104746[[#This Row],[RAF Int OT
€]])/AG130))</f>
        <v>0</v>
      </c>
      <c r="AV130" s="8">
        <f>IFERROR(VLOOKUP(H130,#REF!,4,FALSE),0)+IFERROR(VLOOKUP(H130,#REF!,4,FALSE),0)</f>
        <v>0</v>
      </c>
      <c r="AW130" s="8">
        <f>IFERROR(VLOOKUP(Tableau5617192223242425262827293031333432353620383961719241822254140424344104746[[#This Row],[Num Projets]],#REF!,3,FALSE),0)</f>
        <v>0</v>
      </c>
      <c r="AX130" s="95">
        <f>IFERROR(VLOOKUP(Tableau5617192223242425262827293031333432353620383961719241822254140424344104746[[#This Row],[Num Projets]],#REF!,10,FALSE),0)</f>
        <v>0</v>
      </c>
      <c r="AY130" s="23">
        <f>Tableau5617192223242425262827293031333432353620383961719241822254140424344104746[[#This Row],[Budget Mission
 €]]/1.2-AX130</f>
        <v>0</v>
      </c>
      <c r="AZ130" s="8">
        <f>IFERROR(VLOOKUP(H130,#REF!,43,FALSE),0)</f>
        <v>0</v>
      </c>
      <c r="BA130" s="8">
        <f>AX130-IFERROR(VLOOKUP(H130,#REF!,42,FALSE),0)</f>
        <v>0</v>
      </c>
      <c r="BB130" s="47">
        <f t="shared" si="33"/>
        <v>0</v>
      </c>
      <c r="BC130" s="24">
        <f>IFERROR(VLOOKUP(H130,#REF!,47,FALSE),IFERROR(VLOOKUP(H130,#REF!,5,FALSE),0)+IFERROR(VLOOKUP(H130,#REF!,5,FALSE),0))</f>
        <v>0</v>
      </c>
      <c r="BD130" s="25">
        <f>IFERROR(VLOOKUP(H130,#REF!,2,FALSE),0)</f>
        <v>0</v>
      </c>
      <c r="BE130" s="25">
        <f>IFERROR(VLOOKUP(H130,#REF!,49,FALSE),0)</f>
        <v>0</v>
      </c>
      <c r="BF130" s="50" t="e">
        <f t="shared" si="25"/>
        <v>#REF!</v>
      </c>
      <c r="BG130" s="50">
        <f t="shared" si="26"/>
        <v>0</v>
      </c>
      <c r="BH130" s="27">
        <f>AE130+ (AI130-AJ130+AM130+Tableau5617192223242425262827293031333432353620383961719241822254140424344104746[[#This Row],[Int Commandé OT
€]]-Tableau5617192223242425262827293031333432353620383961719241822254140424344104746[[#This Row],[Int Réalisé OT
€]]+AR130) +AY130+BC130</f>
        <v>1792.5</v>
      </c>
      <c r="BI130" s="47">
        <f t="shared" si="37"/>
        <v>0</v>
      </c>
      <c r="BJ130" s="47" t="e">
        <f t="shared" si="27"/>
        <v>#REF!</v>
      </c>
      <c r="BK130" s="27" t="e">
        <f t="shared" si="28"/>
        <v>#REF!</v>
      </c>
      <c r="BL130" s="26" t="e">
        <f t="shared" si="29"/>
        <v>#REF!</v>
      </c>
      <c r="BM130" s="96">
        <f>IFERROR(VLOOKUP(H130,'[1]2023dec'!H:CA,54,FALSE),105)</f>
        <v>105</v>
      </c>
      <c r="BN130" s="29">
        <v>1</v>
      </c>
      <c r="BO130" s="30" t="e">
        <f>P130-AC130-AG130-AV130-Tableau5617192223242425262827293031333432353620383961719241822254140424344104746[[#This Row],[Provisions pour risques]]</f>
        <v>#REF!</v>
      </c>
      <c r="BP13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1792.5</v>
      </c>
      <c r="BQ13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0" s="97" t="e">
        <f t="shared" si="34"/>
        <v>#REF!</v>
      </c>
      <c r="BS130" s="34">
        <f>Tableau5617192223242425262827293031333432353620383961719241822254140424344104746[[#This Row],[Consommé global Enregistré à date (€ HT)]]-IFERROR(VLOOKUP(H130,#REF!,50,FALSE),0)</f>
        <v>0</v>
      </c>
      <c r="BT130" s="35" t="e">
        <f t="shared" si="35"/>
        <v>#REF!</v>
      </c>
      <c r="BU130" s="36">
        <f>BD130-IFERROR(VLOOKUP(H130,#REF!,47,FALSE),0)</f>
        <v>0</v>
      </c>
      <c r="BV130" s="37" t="e">
        <f>+BF130+Tableau5617192223242425262827293031333432353620383961719241822254140424344104746[[#This Row],[CA fin N-1]]-IFERROR(VLOOKUP(H130,#REF!,49,FALSE),0)-IFERROR(VLOOKUP(H130,#REF!,50,FALSE),0)</f>
        <v>#REF!</v>
      </c>
      <c r="BW130" s="33">
        <f>BG130-IFERROR(VLOOKUP(H130,#REF!,51,FALSE),0)</f>
        <v>0</v>
      </c>
      <c r="BX130" s="35" t="e">
        <f t="shared" si="36"/>
        <v>#REF!</v>
      </c>
      <c r="BY130" s="36">
        <f>BD130-IFERROR(VLOOKUP(H130,#REF!,48,FALSE),0)</f>
        <v>0</v>
      </c>
      <c r="BZ13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0" s="39" t="e">
        <f>VLOOKUP(Tableau5617192223242425262827293031333432353620383961719241822254140424344104746[[#This Row],[Num Projets]],#REF!,1,FALSE)</f>
        <v>#REF!</v>
      </c>
      <c r="CB130" s="40">
        <v>37.5</v>
      </c>
      <c r="CC130" s="40">
        <v>0</v>
      </c>
      <c r="CD13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-37.5</v>
      </c>
    </row>
    <row r="131" spans="1:82" ht="13.5" customHeight="1" x14ac:dyDescent="0.25">
      <c r="A131" s="311"/>
      <c r="B131" s="1"/>
      <c r="C131" s="2" t="e">
        <f>_xlfn.XLOOKUP(Tableau5617192223242425262827293031333432353620383961719241822254140424344104746[[#This Row],[Num Projets]],#REF!,#REF!,FALSE)</f>
        <v>#REF!</v>
      </c>
      <c r="D131" s="3" t="s">
        <v>6</v>
      </c>
      <c r="E131" s="3" t="e">
        <f>_xlfn.XLOOKUP(Tableau5617192223242425262827293031333432353620383961719241822254140424344104746[[#This Row],[Num Projets]],#REF!,#REF!,FALSE)</f>
        <v>#REF!</v>
      </c>
      <c r="F131" s="3" t="e">
        <f>_xlfn.XLOOKUP(Tableau5617192223242425262827293031333432353620383961719241822254140424344104746[[#This Row],[Num Projets]],#REF!,#REF!,"newavr",0)</f>
        <v>#REF!</v>
      </c>
      <c r="G131" s="3" t="s">
        <v>2</v>
      </c>
      <c r="H131" s="3" t="s">
        <v>258</v>
      </c>
      <c r="I13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1" s="4" t="e">
        <f>VLOOKUP(Tableau5617192223242425262827293031333432353620383961719241822254140424344104746[[#This Row],[Num Projets]],#REF!,36,FALSE)</f>
        <v>#REF!</v>
      </c>
      <c r="K131" s="5" t="s">
        <v>9</v>
      </c>
      <c r="L13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1" s="3" t="e">
        <f>SUBSTITUTE(_xlfn.XLOOKUP(Tableau5617192223242425262827293031333432353620383961719241822254140424344104746[[#This Row],[Num Projets]],#REF!,#REF!,FALSE)," ","")</f>
        <v>#REF!</v>
      </c>
      <c r="N131" s="7" t="e">
        <f>VLOOKUP(H131,#REF!,7,FALSE)</f>
        <v>#REF!</v>
      </c>
      <c r="O131" s="7" t="e">
        <f>IF(VLOOKUP(H131,#REF!,27,FALSE)=0,"",VLOOKUP(H131,#REF!,27,FALSE))</f>
        <v>#REF!</v>
      </c>
      <c r="P131" s="8" t="e">
        <f>VLOOKUP(H131,#REF!,2,FALSE)</f>
        <v>#REF!</v>
      </c>
      <c r="Q131" s="9" t="e">
        <f>Tableau5617192223242425262827293031333432353620383961719241822254140424344104746[[#This Row],[Total Budget
€]]-IFERROR(VLOOKUP(H131,#REF!,8,FALSE),0)</f>
        <v>#REF!</v>
      </c>
      <c r="R131" s="10">
        <f>AD131+AI131+Tableau5617192223242425262827293031333432353620383961719241822254140424344104746[[#This Row],[Int Commandé OT
€]]+AX131</f>
        <v>0</v>
      </c>
      <c r="S131" s="10">
        <f>AD131+AJ131+Tableau5617192223242425262827293031333432353620383961719241822254140424344104746[[#This Row],[Int Réalisé OT
€]]+AX131</f>
        <v>0</v>
      </c>
      <c r="T131" s="11" t="e">
        <f t="shared" si="22"/>
        <v>#REF!</v>
      </c>
      <c r="U13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1" s="12">
        <f>IFERROR(VLOOKUP(H131,#REF!,2,FALSE),0)</f>
        <v>0</v>
      </c>
      <c r="X131" s="13">
        <f>IFERROR(VLOOKUP(H131,#REF!,2,FALSE),0)</f>
        <v>0</v>
      </c>
      <c r="Y131" s="13">
        <f>IFERROR(VLOOKUP(H131,#REF!,3,FALSE),0)</f>
        <v>0</v>
      </c>
      <c r="Z13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</v>
      </c>
      <c r="AA131" s="13">
        <f>IFERROR(VLOOKUP(H131,#REF!,18,FALSE),0)</f>
        <v>0</v>
      </c>
      <c r="AB131" s="13">
        <f>SUM(X131:Y131)-IFERROR(VLOOKUP(H131,#REF!,16,FALSE),0)-IFERROR(VLOOKUP(H131,#REF!,17,FALSE),0)</f>
        <v>0</v>
      </c>
      <c r="AC131" s="15">
        <v>2000</v>
      </c>
      <c r="AD131" s="15">
        <f>IFERROR(VLOOKUP(Tableau5617192223242425262827293031333432353620383961719241822254140424344104746[[#This Row],[Num Projets]],#REF!,2,FALSE),0)</f>
        <v>0</v>
      </c>
      <c r="AE131" s="8">
        <f t="shared" si="23"/>
        <v>1195</v>
      </c>
      <c r="AF131" s="22">
        <f t="shared" si="24"/>
        <v>0.40249999999999997</v>
      </c>
      <c r="AG131" s="41">
        <f>2500</f>
        <v>2500</v>
      </c>
      <c r="AH131" s="8">
        <f>IFERROR(VLOOKUP(Tableau5617192223242425262827293031333432353620383961719241822254140424344104746[[#This Row],[Num Projets]],#REF!,2,FALSE),0)</f>
        <v>0</v>
      </c>
      <c r="AI131" s="17">
        <f>+IFERROR(VLOOKUP(H131,#REF!,2,FALSE),0)-Tableau5617192223242425262827293031333432353620383961719241822254140424344104746[[#This Row],[Int Commandé OT
€]]</f>
        <v>0</v>
      </c>
      <c r="AJ131" s="8">
        <f>IFERROR(VLOOKUP(H131,#REF!,11,FALSE),0)-IFERROR(VLOOKUP(H131,#REF!,10,FALSE),0)+Tableau5617192223242425262827293031333432353620383961719241822254140424344104746[[#This Row],[dont FNP à date (€ HT)]]</f>
        <v>0</v>
      </c>
      <c r="AK131" s="15">
        <f t="shared" si="30"/>
        <v>0</v>
      </c>
      <c r="AL13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1" s="19">
        <f>IF(Tableau5617192223242425262827293031333432353620383961719241822254140424344104746[[#This Row],[RAF Achats M-1
€]]=0,0,AN131-AO131)</f>
        <v>0</v>
      </c>
      <c r="AN131" s="8">
        <f>IFERROR(VLOOKUP(H131,#REF!,31,FALSE),0)</f>
        <v>0</v>
      </c>
      <c r="AO131" s="8">
        <f>AI131+-IFERROR(VLOOKUP(H131,#REF!,27,FALSE),0)</f>
        <v>0</v>
      </c>
      <c r="AP131" s="20">
        <f>IFERROR(VLOOKUP(Tableau5617192223242425262827293031333432353620383961719241822254140424344104746[[#This Row],[Num Projets]],#REF!,2,FALSE),0)</f>
        <v>0</v>
      </c>
      <c r="AQ131" s="20">
        <f>_xlfn.XLOOKUP(H131,[2]Synth!$N:$N,[2]Synth!$O:$O,0,FALSE)+_xlfn.XLOOKUP(Tableau5617192223242425262827293031333432353620383961719241822254140424344104746[[#This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1" s="21">
        <v>0</v>
      </c>
      <c r="AS131" s="20">
        <f>+IFERROR(VLOOKUP(H131,#REF!,36,FALSE),0)</f>
        <v>0</v>
      </c>
      <c r="AT13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1" s="22">
        <f>IF(AG131=0,0,1-((AI131+AM131+Tableau5617192223242425262827293031333432353620383961719241822254140424344104746[[#This Row],[Int Commandé OT
€]]+Tableau5617192223242425262827293031333432353620383961719241822254140424344104746[[#This Row],[RAF Int OT
€]])/AG131))</f>
        <v>1</v>
      </c>
      <c r="AV131" s="8">
        <f>IFERROR(VLOOKUP(H131,#REF!,4,FALSE),0)+IFERROR(VLOOKUP(H131,#REF!,4,FALSE),0)</f>
        <v>0</v>
      </c>
      <c r="AW131" s="8">
        <f>IFERROR(VLOOKUP(Tableau5617192223242425262827293031333432353620383961719241822254140424344104746[[#This Row],[Num Projets]],#REF!,3,FALSE),0)</f>
        <v>0</v>
      </c>
      <c r="AX131" s="95">
        <f>IFERROR(VLOOKUP(Tableau5617192223242425262827293031333432353620383961719241822254140424344104746[[#This Row],[Num Projets]],#REF!,10,FALSE),0)</f>
        <v>0</v>
      </c>
      <c r="AY131" s="23">
        <f>Tableau5617192223242425262827293031333432353620383961719241822254140424344104746[[#This Row],[Budget Mission
 €]]/1.2-AX131</f>
        <v>0</v>
      </c>
      <c r="AZ131" s="8">
        <f>IFERROR(VLOOKUP(H131,#REF!,43,FALSE),0)</f>
        <v>0</v>
      </c>
      <c r="BA131" s="8">
        <f>AX131-IFERROR(VLOOKUP(H131,#REF!,42,FALSE),0)</f>
        <v>0</v>
      </c>
      <c r="BB131" s="47">
        <f t="shared" si="33"/>
        <v>0</v>
      </c>
      <c r="BC131" s="24">
        <f>IFERROR(VLOOKUP(H131,#REF!,47,FALSE),IFERROR(VLOOKUP(H131,#REF!,5,FALSE),0)+IFERROR(VLOOKUP(H131,#REF!,5,FALSE),0))</f>
        <v>0</v>
      </c>
      <c r="BD131" s="25">
        <f>IFERROR(VLOOKUP(H131,#REF!,2,FALSE),0)</f>
        <v>0</v>
      </c>
      <c r="BE131" s="25">
        <f>IFERROR(VLOOKUP(H131,#REF!,49,FALSE),0)</f>
        <v>0</v>
      </c>
      <c r="BF131" s="50" t="e">
        <f t="shared" si="25"/>
        <v>#REF!</v>
      </c>
      <c r="BG131" s="50">
        <f t="shared" si="26"/>
        <v>0</v>
      </c>
      <c r="BH131" s="27">
        <f>AE131+ (AI131-AJ131+AM131+Tableau5617192223242425262827293031333432353620383961719241822254140424344104746[[#This Row],[Int Commandé OT
€]]-Tableau5617192223242425262827293031333432353620383961719241822254140424344104746[[#This Row],[Int Réalisé OT
€]]+AR131) +AY131+BC131</f>
        <v>1195</v>
      </c>
      <c r="BI131" s="47">
        <f t="shared" si="37"/>
        <v>0</v>
      </c>
      <c r="BJ131" s="47" t="e">
        <f t="shared" si="27"/>
        <v>#REF!</v>
      </c>
      <c r="BK131" s="27" t="e">
        <f t="shared" si="28"/>
        <v>#REF!</v>
      </c>
      <c r="BL131" s="26" t="e">
        <f t="shared" si="29"/>
        <v>#REF!</v>
      </c>
      <c r="BM131" s="96">
        <f>IFERROR(VLOOKUP(H131,'[1]2023dec'!H:CA,54,FALSE),105)</f>
        <v>105</v>
      </c>
      <c r="BN131" s="29">
        <v>1</v>
      </c>
      <c r="BO131" s="30" t="e">
        <f>P131-AC131-AG131-AV131-Tableau5617192223242425262827293031333432353620383961719241822254140424344104746[[#This Row],[Provisions pour risques]]</f>
        <v>#REF!</v>
      </c>
      <c r="BP13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1195</v>
      </c>
      <c r="BQ13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1" s="97" t="e">
        <f t="shared" si="34"/>
        <v>#REF!</v>
      </c>
      <c r="BS131" s="34">
        <f>Tableau5617192223242425262827293031333432353620383961719241822254140424344104746[[#This Row],[Consommé global Enregistré à date (€ HT)]]-IFERROR(VLOOKUP(H131,#REF!,50,FALSE),0)</f>
        <v>0</v>
      </c>
      <c r="BT131" s="35" t="e">
        <f t="shared" si="35"/>
        <v>#REF!</v>
      </c>
      <c r="BU131" s="36">
        <f>BD131-IFERROR(VLOOKUP(H131,#REF!,47,FALSE),0)</f>
        <v>0</v>
      </c>
      <c r="BV131" s="37" t="e">
        <f>+BF131+Tableau5617192223242425262827293031333432353620383961719241822254140424344104746[[#This Row],[CA fin N-1]]-IFERROR(VLOOKUP(H131,#REF!,49,FALSE),0)-IFERROR(VLOOKUP(H131,#REF!,50,FALSE),0)</f>
        <v>#REF!</v>
      </c>
      <c r="BW131" s="33">
        <f>BG131-IFERROR(VLOOKUP(H131,#REF!,51,FALSE),0)</f>
        <v>0</v>
      </c>
      <c r="BX131" s="35" t="e">
        <f t="shared" si="36"/>
        <v>#REF!</v>
      </c>
      <c r="BY131" s="36">
        <f>BD131-IFERROR(VLOOKUP(H131,#REF!,48,FALSE),0)</f>
        <v>0</v>
      </c>
      <c r="BZ13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1" s="39" t="e">
        <f>VLOOKUP(Tableau5617192223242425262827293031333432353620383961719241822254140424344104746[[#This Row],[Num Projets]],#REF!,1,FALSE)</f>
        <v>#REF!</v>
      </c>
      <c r="CB131" s="40">
        <v>25</v>
      </c>
      <c r="CC131" s="40">
        <v>0</v>
      </c>
      <c r="CD13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</v>
      </c>
    </row>
    <row r="132" spans="1:82" ht="13.5" customHeight="1" x14ac:dyDescent="0.25">
      <c r="A132" s="311"/>
      <c r="B132" s="1"/>
      <c r="C132" s="2" t="e">
        <f>_xlfn.XLOOKUP(Tableau5617192223242425262827293031333432353620383961719241822254140424344104746[[#This Row],[Num Projets]],#REF!,#REF!,FALSE)</f>
        <v>#REF!</v>
      </c>
      <c r="D132" s="3" t="s">
        <v>1</v>
      </c>
      <c r="E132" s="3" t="e">
        <f>_xlfn.XLOOKUP(Tableau5617192223242425262827293031333432353620383961719241822254140424344104746[[#This Row],[Num Projets]],#REF!,#REF!,FALSE)</f>
        <v>#REF!</v>
      </c>
      <c r="F132" s="3" t="e">
        <f>_xlfn.XLOOKUP(Tableau5617192223242425262827293031333432353620383961719241822254140424344104746[[#This Row],[Num Projets]],#REF!,#REF!,"newavr",0)</f>
        <v>#REF!</v>
      </c>
      <c r="G132" s="3" t="s">
        <v>2</v>
      </c>
      <c r="H132" s="3" t="s">
        <v>259</v>
      </c>
      <c r="I13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2" s="4" t="e">
        <f>VLOOKUP(Tableau5617192223242425262827293031333432353620383961719241822254140424344104746[[#This Row],[Num Projets]],#REF!,36,FALSE)</f>
        <v>#REF!</v>
      </c>
      <c r="K132" s="5" t="s">
        <v>4</v>
      </c>
      <c r="L13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2" s="3" t="e">
        <f>SUBSTITUTE(_xlfn.XLOOKUP(Tableau5617192223242425262827293031333432353620383961719241822254140424344104746[[#This Row],[Num Projets]],#REF!,#REF!,FALSE)," ","")</f>
        <v>#REF!</v>
      </c>
      <c r="N132" s="7" t="e">
        <f>VLOOKUP(H132,#REF!,7,FALSE)</f>
        <v>#REF!</v>
      </c>
      <c r="O132" s="7" t="e">
        <f>IF(VLOOKUP(H132,#REF!,27,FALSE)=0,"",VLOOKUP(H132,#REF!,27,FALSE))</f>
        <v>#REF!</v>
      </c>
      <c r="P132" s="8" t="e">
        <f>VLOOKUP(H132,#REF!,2,FALSE)</f>
        <v>#REF!</v>
      </c>
      <c r="Q132" s="9" t="e">
        <f>Tableau5617192223242425262827293031333432353620383961719241822254140424344104746[[#This Row],[Total Budget
€]]-IFERROR(VLOOKUP(H132,#REF!,8,FALSE),0)</f>
        <v>#REF!</v>
      </c>
      <c r="R132" s="10">
        <f>AD132+AI132+Tableau5617192223242425262827293031333432353620383961719241822254140424344104746[[#This Row],[Int Commandé OT
€]]+AX132</f>
        <v>0</v>
      </c>
      <c r="S132" s="10">
        <f>AD132+AJ132+Tableau5617192223242425262827293031333432353620383961719241822254140424344104746[[#This Row],[Int Réalisé OT
€]]+AX132</f>
        <v>0</v>
      </c>
      <c r="T132" s="11" t="e">
        <f t="shared" si="22"/>
        <v>#REF!</v>
      </c>
      <c r="U13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2" s="12">
        <f>IFERROR(VLOOKUP(H132,#REF!,2,FALSE),0)</f>
        <v>0</v>
      </c>
      <c r="X132" s="13">
        <f>IFERROR(VLOOKUP(H132,#REF!,2,FALSE),0)</f>
        <v>0</v>
      </c>
      <c r="Y132" s="13">
        <f>IFERROR(VLOOKUP(H132,#REF!,3,FALSE),0)</f>
        <v>0</v>
      </c>
      <c r="Z13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</v>
      </c>
      <c r="AA132" s="13">
        <f>IFERROR(VLOOKUP(H132,#REF!,18,FALSE),0)</f>
        <v>0</v>
      </c>
      <c r="AB132" s="13">
        <f>SUM(X132:Y132)-IFERROR(VLOOKUP(H132,#REF!,16,FALSE),0)-IFERROR(VLOOKUP(H132,#REF!,17,FALSE),0)</f>
        <v>0</v>
      </c>
      <c r="AC132" s="14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32" s="15">
        <f>IFERROR(VLOOKUP(Tableau5617192223242425262827293031333432353620383961719241822254140424344104746[[#This Row],[Num Projets]],#REF!,2,FALSE),0)</f>
        <v>0</v>
      </c>
      <c r="AE132" s="8">
        <f t="shared" si="23"/>
        <v>669.19999999999993</v>
      </c>
      <c r="AF132" s="22" t="e">
        <f t="shared" si="24"/>
        <v>#REF!</v>
      </c>
      <c r="AG132" s="8">
        <f>IFERROR(VLOOKUP(H132,#REF!,3,FALSE),0)+IFERROR(VLOOKUP(H132,#REF!,3,FALSE),0)</f>
        <v>0</v>
      </c>
      <c r="AH132" s="8">
        <f>IFERROR(VLOOKUP(Tableau5617192223242425262827293031333432353620383961719241822254140424344104746[[#This Row],[Num Projets]],#REF!,2,FALSE),0)</f>
        <v>0</v>
      </c>
      <c r="AI132" s="17">
        <f>+IFERROR(VLOOKUP(H132,#REF!,2,FALSE),0)-Tableau5617192223242425262827293031333432353620383961719241822254140424344104746[[#This Row],[Int Commandé OT
€]]</f>
        <v>0</v>
      </c>
      <c r="AJ132" s="8">
        <f>IFERROR(VLOOKUP(H132,#REF!,11,FALSE),0)-IFERROR(VLOOKUP(H132,#REF!,10,FALSE),0)+Tableau5617192223242425262827293031333432353620383961719241822254140424344104746[[#This Row],[dont FNP à date (€ HT)]]</f>
        <v>0</v>
      </c>
      <c r="AK132" s="15">
        <f t="shared" si="30"/>
        <v>0</v>
      </c>
      <c r="AL13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2" s="19">
        <f>IF(Tableau5617192223242425262827293031333432353620383961719241822254140424344104746[[#This Row],[RAF Achats M-1
€]]=0,0,AN132-AO132)</f>
        <v>0</v>
      </c>
      <c r="AN132" s="8">
        <f>IFERROR(VLOOKUP(H132,#REF!,31,FALSE),0)</f>
        <v>0</v>
      </c>
      <c r="AO132" s="8">
        <f>AI132+-IFERROR(VLOOKUP(H132,#REF!,27,FALSE),0)</f>
        <v>0</v>
      </c>
      <c r="AP132" s="20">
        <f>IFERROR(VLOOKUP(Tableau5617192223242425262827293031333432353620383961719241822254140424344104746[[#This Row],[Num Projets]],#REF!,2,FALSE),0)</f>
        <v>0</v>
      </c>
      <c r="AQ132" s="20">
        <f>_xlfn.XLOOKUP(H132,[2]Synth!$N:$N,[2]Synth!$O:$O,0,FALSE)+_xlfn.XLOOKUP(Tableau5617192223242425262827293031333432353620383961719241822254140424344104746[[#This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2" s="21">
        <v>0</v>
      </c>
      <c r="AS132" s="20">
        <f>+IFERROR(VLOOKUP(H132,#REF!,36,FALSE),0)</f>
        <v>0</v>
      </c>
      <c r="AT13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2" s="22">
        <f>IF(AG132=0,0,1-((AI132+AM132+Tableau5617192223242425262827293031333432353620383961719241822254140424344104746[[#This Row],[Int Commandé OT
€]]+Tableau5617192223242425262827293031333432353620383961719241822254140424344104746[[#This Row],[RAF Int OT
€]])/AG132))</f>
        <v>0</v>
      </c>
      <c r="AV132" s="8">
        <f>IFERROR(VLOOKUP(H132,#REF!,4,FALSE),0)+IFERROR(VLOOKUP(H132,#REF!,4,FALSE),0)</f>
        <v>0</v>
      </c>
      <c r="AW132" s="8">
        <f>IFERROR(VLOOKUP(Tableau5617192223242425262827293031333432353620383961719241822254140424344104746[[#This Row],[Num Projets]],#REF!,3,FALSE),0)</f>
        <v>0</v>
      </c>
      <c r="AX132" s="95">
        <f>IFERROR(VLOOKUP(Tableau5617192223242425262827293031333432353620383961719241822254140424344104746[[#This Row],[Num Projets]],#REF!,10,FALSE),0)</f>
        <v>0</v>
      </c>
      <c r="AY132" s="23">
        <f>Tableau5617192223242425262827293031333432353620383961719241822254140424344104746[[#This Row],[Budget Mission
 €]]/1.2-AX132</f>
        <v>0</v>
      </c>
      <c r="AZ132" s="8">
        <f>IFERROR(VLOOKUP(H132,#REF!,43,FALSE),0)</f>
        <v>0</v>
      </c>
      <c r="BA132" s="8">
        <f>AX132-IFERROR(VLOOKUP(H132,#REF!,42,FALSE),0)</f>
        <v>0</v>
      </c>
      <c r="BB132" s="47">
        <f t="shared" si="33"/>
        <v>0</v>
      </c>
      <c r="BC132" s="24">
        <f>IFERROR(VLOOKUP(H132,#REF!,47,FALSE),IFERROR(VLOOKUP(H132,#REF!,5,FALSE),0)+IFERROR(VLOOKUP(H132,#REF!,5,FALSE),0))</f>
        <v>0</v>
      </c>
      <c r="BD132" s="25">
        <f>IFERROR(VLOOKUP(H132,#REF!,2,FALSE),0)</f>
        <v>0</v>
      </c>
      <c r="BE132" s="25">
        <f>IFERROR(VLOOKUP(H132,#REF!,49,FALSE),0)</f>
        <v>0</v>
      </c>
      <c r="BF132" s="50" t="e">
        <f t="shared" si="25"/>
        <v>#REF!</v>
      </c>
      <c r="BG132" s="50">
        <f t="shared" si="26"/>
        <v>0</v>
      </c>
      <c r="BH132" s="27">
        <f>AE132+ (AI132-AJ132+AM132+Tableau5617192223242425262827293031333432353620383961719241822254140424344104746[[#This Row],[Int Commandé OT
€]]-Tableau5617192223242425262827293031333432353620383961719241822254140424344104746[[#This Row],[Int Réalisé OT
€]]+AR132) +AY132+BC132</f>
        <v>669.19999999999993</v>
      </c>
      <c r="BI132" s="47">
        <f t="shared" si="37"/>
        <v>0</v>
      </c>
      <c r="BJ132" s="47" t="e">
        <f t="shared" si="27"/>
        <v>#REF!</v>
      </c>
      <c r="BK132" s="27" t="e">
        <f t="shared" si="28"/>
        <v>#REF!</v>
      </c>
      <c r="BL132" s="26" t="e">
        <f t="shared" si="29"/>
        <v>#REF!</v>
      </c>
      <c r="BM132" s="96">
        <f>IFERROR(VLOOKUP(H132,'[1]2023dec'!H:CA,54,FALSE),105)</f>
        <v>105</v>
      </c>
      <c r="BN132" s="29">
        <v>1</v>
      </c>
      <c r="BO132" s="30" t="e">
        <f>P132-AC132-AG132-AV132-Tableau5617192223242425262827293031333432353620383961719241822254140424344104746[[#This Row],[Provisions pour risques]]</f>
        <v>#REF!</v>
      </c>
      <c r="BP13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669.19999999999993</v>
      </c>
      <c r="BQ13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2" s="97" t="e">
        <f t="shared" si="34"/>
        <v>#REF!</v>
      </c>
      <c r="BS132" s="34">
        <f>Tableau5617192223242425262827293031333432353620383961719241822254140424344104746[[#This Row],[Consommé global Enregistré à date (€ HT)]]-IFERROR(VLOOKUP(H132,#REF!,50,FALSE),0)</f>
        <v>0</v>
      </c>
      <c r="BT132" s="35" t="e">
        <f t="shared" si="35"/>
        <v>#REF!</v>
      </c>
      <c r="BU132" s="36">
        <f>BD132-IFERROR(VLOOKUP(H132,#REF!,47,FALSE),0)</f>
        <v>0</v>
      </c>
      <c r="BV132" s="37" t="e">
        <f>+BF132+Tableau5617192223242425262827293031333432353620383961719241822254140424344104746[[#This Row],[CA fin N-1]]-IFERROR(VLOOKUP(H132,#REF!,49,FALSE),0)-IFERROR(VLOOKUP(H132,#REF!,50,FALSE),0)</f>
        <v>#REF!</v>
      </c>
      <c r="BW132" s="33">
        <f>BG132-IFERROR(VLOOKUP(H132,#REF!,51,FALSE),0)</f>
        <v>0</v>
      </c>
      <c r="BX132" s="35" t="e">
        <f t="shared" si="36"/>
        <v>#REF!</v>
      </c>
      <c r="BY132" s="36">
        <f>BD132-IFERROR(VLOOKUP(H132,#REF!,48,FALSE),0)</f>
        <v>0</v>
      </c>
      <c r="BZ13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2" s="39" t="e">
        <f>VLOOKUP(Tableau5617192223242425262827293031333432353620383961719241822254140424344104746[[#This Row],[Num Projets]],#REF!,1,FALSE)</f>
        <v>#REF!</v>
      </c>
      <c r="CB132" s="40">
        <v>14</v>
      </c>
      <c r="CC132" s="40">
        <v>0</v>
      </c>
      <c r="CD13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</v>
      </c>
    </row>
    <row r="133" spans="1:82" ht="13.5" customHeight="1" x14ac:dyDescent="0.25">
      <c r="A133" s="311"/>
      <c r="B133" s="1"/>
      <c r="C133" s="2" t="e">
        <f>_xlfn.XLOOKUP(Tableau5617192223242425262827293031333432353620383961719241822254140424344104746[[#This Row],[Num Projets]],#REF!,#REF!,FALSE)</f>
        <v>#REF!</v>
      </c>
      <c r="D133" s="3" t="s">
        <v>6</v>
      </c>
      <c r="E133" s="3" t="e">
        <f>_xlfn.XLOOKUP(Tableau5617192223242425262827293031333432353620383961719241822254140424344104746[[#This Row],[Num Projets]],#REF!,#REF!,FALSE)</f>
        <v>#REF!</v>
      </c>
      <c r="F133" s="3" t="e">
        <f>_xlfn.XLOOKUP(Tableau5617192223242425262827293031333432353620383961719241822254140424344104746[[#This Row],[Num Projets]],#REF!,#REF!,"newavr",0)</f>
        <v>#REF!</v>
      </c>
      <c r="G133" s="3" t="s">
        <v>183</v>
      </c>
      <c r="H133" s="3" t="s">
        <v>260</v>
      </c>
      <c r="I13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3" s="4" t="e">
        <f>VLOOKUP(Tableau5617192223242425262827293031333432353620383961719241822254140424344104746[[#This Row],[Num Projets]],#REF!,36,FALSE)</f>
        <v>#REF!</v>
      </c>
      <c r="K133" s="5" t="s">
        <v>9</v>
      </c>
      <c r="L13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3" s="3" t="e">
        <f>SUBSTITUTE(_xlfn.XLOOKUP(Tableau5617192223242425262827293031333432353620383961719241822254140424344104746[[#This Row],[Num Projets]],#REF!,#REF!,FALSE)," ","")</f>
        <v>#REF!</v>
      </c>
      <c r="N133" s="7" t="e">
        <f>VLOOKUP(H133,#REF!,7,FALSE)</f>
        <v>#REF!</v>
      </c>
      <c r="O133" s="7" t="e">
        <f>IF(VLOOKUP(H133,#REF!,27,FALSE)=0,"",VLOOKUP(H133,#REF!,27,FALSE))</f>
        <v>#REF!</v>
      </c>
      <c r="P133" s="8" t="e">
        <f>VLOOKUP(H133,#REF!,2,FALSE)</f>
        <v>#REF!</v>
      </c>
      <c r="Q133" s="9" t="e">
        <f>Tableau5617192223242425262827293031333432353620383961719241822254140424344104746[[#This Row],[Total Budget
€]]-IFERROR(VLOOKUP(H133,#REF!,8,FALSE),0)</f>
        <v>#REF!</v>
      </c>
      <c r="R133" s="10">
        <f>AD133+AI133+Tableau5617192223242425262827293031333432353620383961719241822254140424344104746[[#This Row],[Int Commandé OT
€]]+AX133</f>
        <v>0</v>
      </c>
      <c r="S133" s="10">
        <f>AD133+AJ133+Tableau5617192223242425262827293031333432353620383961719241822254140424344104746[[#This Row],[Int Réalisé OT
€]]+AX133</f>
        <v>0</v>
      </c>
      <c r="T133" s="11" t="e">
        <f t="shared" ref="T133:T190" si="38">IF(P133=0,0,1-(((AD133+AI133+AX133+AP133)+(AE133+AM133+AY133+BC133+AR133))/P133))</f>
        <v>#REF!</v>
      </c>
      <c r="U13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3" s="12">
        <f>IFERROR(VLOOKUP(H133,#REF!,2,FALSE),0)</f>
        <v>0</v>
      </c>
      <c r="X133" s="13">
        <f>IFERROR(VLOOKUP(H133,#REF!,2,FALSE),0)</f>
        <v>0</v>
      </c>
      <c r="Y133" s="13">
        <f>IFERROR(VLOOKUP(H133,#REF!,3,FALSE),0)</f>
        <v>0</v>
      </c>
      <c r="Z13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7.5</v>
      </c>
      <c r="AA133" s="13">
        <f>IFERROR(VLOOKUP(H133,#REF!,18,FALSE),0)</f>
        <v>0</v>
      </c>
      <c r="AB133" s="13">
        <f>SUM(X133:Y133)-IFERROR(VLOOKUP(H133,#REF!,16,FALSE),0)-IFERROR(VLOOKUP(H133,#REF!,17,FALSE),0)</f>
        <v>0</v>
      </c>
      <c r="AC133" s="15" t="e">
        <f>VLOOKUP(Tableau5617192223242425262827293031333432353620383961719241822254140424344104746[[#This Row],[Num Projets]],#REF!,2,FALSE)</f>
        <v>#REF!</v>
      </c>
      <c r="AD133" s="15">
        <f>IFERROR(VLOOKUP(Tableau5617192223242425262827293031333432353620383961719241822254140424344104746[[#This Row],[Num Projets]],#REF!,2,FALSE),0)</f>
        <v>0</v>
      </c>
      <c r="AE133" s="8">
        <f t="shared" ref="AE133:AE190" si="39">Z133*47.8</f>
        <v>358.5</v>
      </c>
      <c r="AF133" s="22" t="e">
        <f t="shared" ref="AF133:AF190" si="40">IF(AC133=0,0,1-((AD133+AE133)/AC133))</f>
        <v>#REF!</v>
      </c>
      <c r="AG133" s="8">
        <f>IFERROR(VLOOKUP(H133,#REF!,3,FALSE),0)+IFERROR(VLOOKUP(H133,#REF!,3,FALSE),0)</f>
        <v>0</v>
      </c>
      <c r="AH133" s="8">
        <f>IFERROR(VLOOKUP(Tableau5617192223242425262827293031333432353620383961719241822254140424344104746[[#This Row],[Num Projets]],#REF!,2,FALSE),0)</f>
        <v>0</v>
      </c>
      <c r="AI133" s="17">
        <f>+IFERROR(VLOOKUP(H133,#REF!,2,FALSE),0)-Tableau5617192223242425262827293031333432353620383961719241822254140424344104746[[#This Row],[Int Commandé OT
€]]</f>
        <v>0</v>
      </c>
      <c r="AJ133" s="8">
        <f>IFERROR(VLOOKUP(H133,#REF!,11,FALSE),0)-IFERROR(VLOOKUP(H133,#REF!,10,FALSE),0)+Tableau5617192223242425262827293031333432353620383961719241822254140424344104746[[#This Row],[dont FNP à date (€ HT)]]</f>
        <v>0</v>
      </c>
      <c r="AK133" s="15">
        <f t="shared" si="30"/>
        <v>0</v>
      </c>
      <c r="AL13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3" s="19">
        <f>IF(Tableau5617192223242425262827293031333432353620383961719241822254140424344104746[[#This Row],[RAF Achats M-1
€]]=0,0,AN133-AO133)</f>
        <v>0</v>
      </c>
      <c r="AN133" s="8">
        <f>IFERROR(VLOOKUP(H133,#REF!,31,FALSE),0)</f>
        <v>0</v>
      </c>
      <c r="AO133" s="8">
        <f>AI133+-IFERROR(VLOOKUP(H133,#REF!,27,FALSE),0)</f>
        <v>0</v>
      </c>
      <c r="AP133" s="20">
        <f>IFERROR(VLOOKUP(Tableau5617192223242425262827293031333432353620383961719241822254140424344104746[[#This Row],[Num Projets]],#REF!,2,FALSE),0)</f>
        <v>0</v>
      </c>
      <c r="AQ133" s="20">
        <f>_xlfn.XLOOKUP(H133,[2]Synth!$N:$N,[2]Synth!$O:$O,0,FALSE)+_xlfn.XLOOKUP(Tableau5617192223242425262827293031333432353620383961719241822254140424344104746[[#This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3" s="21">
        <v>0</v>
      </c>
      <c r="AS133" s="20">
        <f>+IFERROR(VLOOKUP(H133,#REF!,36,FALSE),0)</f>
        <v>0</v>
      </c>
      <c r="AT13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3" s="22">
        <f>IF(AG133=0,0,1-((AI133+AM133+Tableau5617192223242425262827293031333432353620383961719241822254140424344104746[[#This Row],[Int Commandé OT
€]]+Tableau5617192223242425262827293031333432353620383961719241822254140424344104746[[#This Row],[RAF Int OT
€]])/AG133))</f>
        <v>0</v>
      </c>
      <c r="AV133" s="8">
        <f>IFERROR(VLOOKUP(H133,#REF!,4,FALSE),0)+IFERROR(VLOOKUP(H133,#REF!,4,FALSE),0)</f>
        <v>0</v>
      </c>
      <c r="AW133" s="8">
        <f>IFERROR(VLOOKUP(Tableau5617192223242425262827293031333432353620383961719241822254140424344104746[[#This Row],[Num Projets]],#REF!,3,FALSE),0)</f>
        <v>0</v>
      </c>
      <c r="AX133" s="95">
        <f>IFERROR(VLOOKUP(Tableau5617192223242425262827293031333432353620383961719241822254140424344104746[[#This Row],[Num Projets]],#REF!,10,FALSE),0)</f>
        <v>0</v>
      </c>
      <c r="AY133" s="23">
        <f>Tableau5617192223242425262827293031333432353620383961719241822254140424344104746[[#This Row],[Budget Mission
 €]]/1.2-AX133</f>
        <v>0</v>
      </c>
      <c r="AZ133" s="8">
        <f>IFERROR(VLOOKUP(H133,#REF!,43,FALSE),0)</f>
        <v>0</v>
      </c>
      <c r="BA133" s="8">
        <f>AX133-IFERROR(VLOOKUP(H133,#REF!,42,FALSE),0)</f>
        <v>0</v>
      </c>
      <c r="BB133" s="47">
        <f t="shared" si="33"/>
        <v>0</v>
      </c>
      <c r="BC133" s="24">
        <f>IFERROR(VLOOKUP(H133,#REF!,47,FALSE),IFERROR(VLOOKUP(H133,#REF!,5,FALSE),0)+IFERROR(VLOOKUP(H133,#REF!,5,FALSE),0))</f>
        <v>0</v>
      </c>
      <c r="BD133" s="25">
        <f>IFERROR(VLOOKUP(H133,#REF!,2,FALSE),0)</f>
        <v>0</v>
      </c>
      <c r="BE133" s="25">
        <f>IFERROR(VLOOKUP(H133,#REF!,49,FALSE),0)</f>
        <v>0</v>
      </c>
      <c r="BF133" s="50" t="e">
        <f t="shared" ref="BF133:BF190" si="41">BI133*P133-BE133</f>
        <v>#REF!</v>
      </c>
      <c r="BG133" s="50">
        <f t="shared" ref="BG133:BG190" si="42">S133</f>
        <v>0</v>
      </c>
      <c r="BH133" s="27">
        <f>AE133+ (AI133-AJ133+AM133+Tableau5617192223242425262827293031333432353620383961719241822254140424344104746[[#This Row],[Int Commandé OT
€]]-Tableau5617192223242425262827293031333432353620383961719241822254140424344104746[[#This Row],[Int Réalisé OT
€]]+AR133) +AY133+BC133</f>
        <v>358.5</v>
      </c>
      <c r="BI133" s="47">
        <f t="shared" si="37"/>
        <v>0</v>
      </c>
      <c r="BJ133" s="47" t="e">
        <f t="shared" ref="BJ133:BJ190" si="43">IF(P133=0, 0, BD133/P133)</f>
        <v>#REF!</v>
      </c>
      <c r="BK133" s="27" t="e">
        <f t="shared" ref="BK133:BK196" si="44">IF((BI133-BJ133)&gt;0,0,(BI133-BJ133)*P133)</f>
        <v>#REF!</v>
      </c>
      <c r="BL133" s="26" t="e">
        <f t="shared" ref="BL133:BL196" si="45">IF((BI133-BJ133)&gt;0,(BI133-BJ133)*P133,0)</f>
        <v>#REF!</v>
      </c>
      <c r="BM133" s="96">
        <f>IFERROR(VLOOKUP(H133,'[1]2023dec'!H:CA,54,FALSE),105)</f>
        <v>105</v>
      </c>
      <c r="BN133" s="29">
        <v>1</v>
      </c>
      <c r="BO133" s="30" t="e">
        <f>P133-AC133-AG133-AV133-Tableau5617192223242425262827293031333432353620383961719241822254140424344104746[[#This Row],[Provisions pour risques]]</f>
        <v>#REF!</v>
      </c>
      <c r="BP13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358.5</v>
      </c>
      <c r="BQ13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3" s="97" t="e">
        <f t="shared" si="34"/>
        <v>#REF!</v>
      </c>
      <c r="BS133" s="34">
        <f>Tableau5617192223242425262827293031333432353620383961719241822254140424344104746[[#This Row],[Consommé global Enregistré à date (€ HT)]]-IFERROR(VLOOKUP(H133,#REF!,50,FALSE),0)</f>
        <v>0</v>
      </c>
      <c r="BT133" s="35" t="e">
        <f t="shared" si="35"/>
        <v>#REF!</v>
      </c>
      <c r="BU133" s="36">
        <f>BD133-IFERROR(VLOOKUP(H133,#REF!,47,FALSE),0)</f>
        <v>0</v>
      </c>
      <c r="BV133" s="37" t="e">
        <f>+BF133+Tableau5617192223242425262827293031333432353620383961719241822254140424344104746[[#This Row],[CA fin N-1]]-IFERROR(VLOOKUP(H133,#REF!,49,FALSE),0)-IFERROR(VLOOKUP(H133,#REF!,50,FALSE),0)</f>
        <v>#REF!</v>
      </c>
      <c r="BW133" s="33">
        <f>BG133-IFERROR(VLOOKUP(H133,#REF!,51,FALSE),0)</f>
        <v>0</v>
      </c>
      <c r="BX133" s="35" t="e">
        <f t="shared" si="36"/>
        <v>#REF!</v>
      </c>
      <c r="BY133" s="36">
        <f>BD133-IFERROR(VLOOKUP(H133,#REF!,48,FALSE),0)</f>
        <v>0</v>
      </c>
      <c r="BZ13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3" s="39" t="e">
        <f>VLOOKUP(Tableau5617192223242425262827293031333432353620383961719241822254140424344104746[[#This Row],[Num Projets]],#REF!,1,FALSE)</f>
        <v>#REF!</v>
      </c>
      <c r="CB133" s="40">
        <v>7.5</v>
      </c>
      <c r="CC133" s="40">
        <v>0</v>
      </c>
      <c r="CD13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-7.5</v>
      </c>
    </row>
    <row r="134" spans="1:82" ht="13.5" customHeight="1" x14ac:dyDescent="0.25">
      <c r="A134" s="313" t="s">
        <v>261</v>
      </c>
      <c r="B134" s="1"/>
      <c r="C134" s="2" t="e">
        <f>_xlfn.XLOOKUP(Tableau5617192223242425262827293031333432353620383961719241822254140424344104746[[#This Row],[Num Projets]],#REF!,#REF!,FALSE)</f>
        <v>#REF!</v>
      </c>
      <c r="D134" s="3" t="s">
        <v>1</v>
      </c>
      <c r="E134" s="3" t="e">
        <f>_xlfn.XLOOKUP(Tableau5617192223242425262827293031333432353620383961719241822254140424344104746[[#This Row],[Num Projets]],#REF!,#REF!,FALSE)</f>
        <v>#REF!</v>
      </c>
      <c r="F134" s="3" t="e">
        <f>_xlfn.XLOOKUP(Tableau5617192223242425262827293031333432353620383961719241822254140424344104746[[#This Row],[Num Projets]],#REF!,#REF!,"newavr",0)</f>
        <v>#REF!</v>
      </c>
      <c r="G134" s="3" t="s">
        <v>2</v>
      </c>
      <c r="H134" s="3" t="s">
        <v>262</v>
      </c>
      <c r="I13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4" s="4" t="e">
        <f>VLOOKUP(Tableau5617192223242425262827293031333432353620383961719241822254140424344104746[[#This Row],[Num Projets]],#REF!,36,FALSE)</f>
        <v>#REF!</v>
      </c>
      <c r="K134" s="5" t="s">
        <v>4</v>
      </c>
      <c r="L13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4" s="3" t="e">
        <f>SUBSTITUTE(_xlfn.XLOOKUP(Tableau5617192223242425262827293031333432353620383961719241822254140424344104746[[#This Row],[Num Projets]],#REF!,#REF!,FALSE)," ","")</f>
        <v>#REF!</v>
      </c>
      <c r="N134" s="7" t="e">
        <f>VLOOKUP(H134,#REF!,7,FALSE)</f>
        <v>#REF!</v>
      </c>
      <c r="O134" s="7" t="e">
        <f>IF(VLOOKUP(H134,#REF!,27,FALSE)=0,"",VLOOKUP(H134,#REF!,27,FALSE))</f>
        <v>#REF!</v>
      </c>
      <c r="P134" s="8" t="e">
        <f>VLOOKUP(H134,#REF!,2,FALSE)</f>
        <v>#REF!</v>
      </c>
      <c r="Q134" s="9" t="e">
        <f>Tableau5617192223242425262827293031333432353620383961719241822254140424344104746[[#This Row],[Total Budget
€]]-IFERROR(VLOOKUP(H134,#REF!,8,FALSE),0)</f>
        <v>#REF!</v>
      </c>
      <c r="R134" s="10">
        <f>AD134+AI134+Tableau5617192223242425262827293031333432353620383961719241822254140424344104746[[#This Row],[Int Commandé OT
€]]+AX134</f>
        <v>0</v>
      </c>
      <c r="S134" s="10">
        <f>AD134+AJ134+Tableau5617192223242425262827293031333432353620383961719241822254140424344104746[[#This Row],[Int Réalisé OT
€]]+AX134</f>
        <v>0</v>
      </c>
      <c r="T134" s="11" t="e">
        <f t="shared" si="38"/>
        <v>#REF!</v>
      </c>
      <c r="U13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4" s="128">
        <f>IFERROR(VLOOKUP(H134,#REF!,2,FALSE),0)</f>
        <v>0</v>
      </c>
      <c r="X134" s="13">
        <f>IFERROR(VLOOKUP(H134,#REF!,2,FALSE),0)</f>
        <v>0</v>
      </c>
      <c r="Y134" s="13">
        <f>IFERROR(VLOOKUP(H134,#REF!,3,FALSE),0)</f>
        <v>0</v>
      </c>
      <c r="Z13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48.5</v>
      </c>
      <c r="AA134" s="13">
        <f>IFERROR(VLOOKUP(H134,#REF!,18,FALSE),0)</f>
        <v>0</v>
      </c>
      <c r="AB134" s="13">
        <f>SUM(X134:Y134)-IFERROR(VLOOKUP(H134,#REF!,16,FALSE),0)-IFERROR(VLOOKUP(H134,#REF!,17,FALSE),0)</f>
        <v>0</v>
      </c>
      <c r="AC134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34" s="15">
        <f>IFERROR(VLOOKUP(Tableau5617192223242425262827293031333432353620383961719241822254140424344104746[[#This Row],[Num Projets]],#REF!,2,FALSE),0)</f>
        <v>0</v>
      </c>
      <c r="AE134" s="8">
        <f t="shared" si="39"/>
        <v>2318.2999999999997</v>
      </c>
      <c r="AF134" s="22" t="e">
        <f t="shared" si="40"/>
        <v>#REF!</v>
      </c>
      <c r="AG134" s="8">
        <f>IFERROR(VLOOKUP(H134,#REF!,3,FALSE),0)+IFERROR(VLOOKUP(H134,#REF!,3,FALSE),0)</f>
        <v>0</v>
      </c>
      <c r="AH134" s="8">
        <f>IFERROR(VLOOKUP(Tableau5617192223242425262827293031333432353620383961719241822254140424344104746[[#This Row],[Num Projets]],#REF!,2,FALSE),0)</f>
        <v>0</v>
      </c>
      <c r="AI134" s="17">
        <f>+IFERROR(VLOOKUP(H134,#REF!,2,FALSE),0)-Tableau5617192223242425262827293031333432353620383961719241822254140424344104746[[#This Row],[Int Commandé OT
€]]</f>
        <v>0</v>
      </c>
      <c r="AJ134" s="8">
        <f>IFERROR(VLOOKUP(H134,#REF!,11,FALSE),0)-IFERROR(VLOOKUP(H134,#REF!,10,FALSE),0)+Tableau5617192223242425262827293031333432353620383961719241822254140424344104746[[#This Row],[dont FNP à date (€ HT)]]</f>
        <v>0</v>
      </c>
      <c r="AK134" s="15">
        <f t="shared" ref="AK134:AK190" si="46">AI134-AJ134</f>
        <v>0</v>
      </c>
      <c r="AL13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4" s="19">
        <f>IF(Tableau5617192223242425262827293031333432353620383961719241822254140424344104746[[#This Row],[RAF Achats M-1
€]]=0,0,AN134-AO134)</f>
        <v>0</v>
      </c>
      <c r="AN134" s="8">
        <f>IFERROR(VLOOKUP(H134,#REF!,31,FALSE),0)</f>
        <v>0</v>
      </c>
      <c r="AO134" s="8">
        <f>AI134+-IFERROR(VLOOKUP(H134,#REF!,27,FALSE),0)</f>
        <v>0</v>
      </c>
      <c r="AP134" s="20">
        <f>IFERROR(VLOOKUP(Tableau5617192223242425262827293031333432353620383961719241822254140424344104746[[#This Row],[Num Projets]],#REF!,2,FALSE),0)</f>
        <v>0</v>
      </c>
      <c r="AQ134" s="20">
        <f>_xlfn.XLOOKUP(H134,[2]Synth!$N:$N,[2]Synth!$O:$O,0,FALSE)+_xlfn.XLOOKUP(Tableau5617192223242425262827293031333432353620383961719241822254140424344104746[[#This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4" s="21">
        <v>0</v>
      </c>
      <c r="AS134" s="20">
        <f>+IFERROR(VLOOKUP(H134,#REF!,36,FALSE),0)</f>
        <v>0</v>
      </c>
      <c r="AT13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4" s="22">
        <f>IF(AG134=0,0,1-((AI134+AM134+Tableau5617192223242425262827293031333432353620383961719241822254140424344104746[[#This Row],[Int Commandé OT
€]]+Tableau5617192223242425262827293031333432353620383961719241822254140424344104746[[#This Row],[RAF Int OT
€]])/AG134))</f>
        <v>0</v>
      </c>
      <c r="AV134" s="41">
        <f>138*1.2</f>
        <v>165.6</v>
      </c>
      <c r="AW134" s="8">
        <f>IFERROR(VLOOKUP(Tableau5617192223242425262827293031333432353620383961719241822254140424344104746[[#This Row],[Num Projets]],#REF!,3,FALSE),0)</f>
        <v>0</v>
      </c>
      <c r="AX134" s="95">
        <f>IFERROR(VLOOKUP(Tableau5617192223242425262827293031333432353620383961719241822254140424344104746[[#This Row],[Num Projets]],#REF!,10,FALSE),0)</f>
        <v>0</v>
      </c>
      <c r="AY134" s="23">
        <f>Tableau5617192223242425262827293031333432353620383961719241822254140424344104746[[#This Row],[Budget Mission
 €]]/1.2-AX134</f>
        <v>138</v>
      </c>
      <c r="AZ134" s="8">
        <f>IFERROR(VLOOKUP(H134,#REF!,43,FALSE),0)</f>
        <v>0</v>
      </c>
      <c r="BA134" s="8">
        <f>AX134-IFERROR(VLOOKUP(H134,#REF!,42,FALSE),0)</f>
        <v>0</v>
      </c>
      <c r="BB134" s="47">
        <f t="shared" si="33"/>
        <v>0.16666666666666663</v>
      </c>
      <c r="BC134" s="24">
        <f>IFERROR(VLOOKUP(H134,#REF!,47,FALSE),IFERROR(VLOOKUP(H134,#REF!,5,FALSE),0)+IFERROR(VLOOKUP(H134,#REF!,5,FALSE),0))</f>
        <v>0</v>
      </c>
      <c r="BD134" s="25">
        <f>IFERROR(VLOOKUP(H134,#REF!,2,FALSE),0)</f>
        <v>0</v>
      </c>
      <c r="BE134" s="25">
        <f>IFERROR(VLOOKUP(H134,#REF!,49,FALSE),0)</f>
        <v>0</v>
      </c>
      <c r="BF134" s="50" t="e">
        <f t="shared" si="41"/>
        <v>#REF!</v>
      </c>
      <c r="BG134" s="50">
        <f t="shared" si="42"/>
        <v>0</v>
      </c>
      <c r="BH134" s="27">
        <f>AE134+ (AI134-AJ134+AM134+Tableau5617192223242425262827293031333432353620383961719241822254140424344104746[[#This Row],[Int Commandé OT
€]]-Tableau5617192223242425262827293031333432353620383961719241822254140424344104746[[#This Row],[Int Réalisé OT
€]]+AR134) +AY134+BC134</f>
        <v>2456.2999999999997</v>
      </c>
      <c r="BI134" s="47">
        <f t="shared" si="37"/>
        <v>0</v>
      </c>
      <c r="BJ134" s="47" t="e">
        <f t="shared" si="43"/>
        <v>#REF!</v>
      </c>
      <c r="BK134" s="27" t="e">
        <f t="shared" si="44"/>
        <v>#REF!</v>
      </c>
      <c r="BL134" s="26" t="e">
        <f t="shared" si="45"/>
        <v>#REF!</v>
      </c>
      <c r="BM134" s="96">
        <f>IFERROR(VLOOKUP(H134,'[1]2023dec'!H:CA,54,FALSE),105)</f>
        <v>105</v>
      </c>
      <c r="BN134" s="29">
        <v>1</v>
      </c>
      <c r="BO134" s="30" t="e">
        <f>P134-AC134-AG134-AV134-Tableau5617192223242425262827293031333432353620383961719241822254140424344104746[[#This Row],[Provisions pour risques]]</f>
        <v>#REF!</v>
      </c>
      <c r="BP13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2456.2999999999997</v>
      </c>
      <c r="BQ13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4" s="97" t="e">
        <f t="shared" si="34"/>
        <v>#REF!</v>
      </c>
      <c r="BS134" s="34">
        <f>Tableau5617192223242425262827293031333432353620383961719241822254140424344104746[[#This Row],[Consommé global Enregistré à date (€ HT)]]-IFERROR(VLOOKUP(H134,#REF!,50,FALSE),0)</f>
        <v>0</v>
      </c>
      <c r="BT134" s="35" t="e">
        <f t="shared" si="35"/>
        <v>#REF!</v>
      </c>
      <c r="BU134" s="36">
        <f>BD134-IFERROR(VLOOKUP(H134,#REF!,47,FALSE),0)</f>
        <v>0</v>
      </c>
      <c r="BV134" s="37" t="e">
        <f>+BF134+Tableau5617192223242425262827293031333432353620383961719241822254140424344104746[[#This Row],[CA fin N-1]]-IFERROR(VLOOKUP(H134,#REF!,49,FALSE),0)-IFERROR(VLOOKUP(H134,#REF!,50,FALSE),0)</f>
        <v>#REF!</v>
      </c>
      <c r="BW134" s="33">
        <f>BG134-IFERROR(VLOOKUP(H134,#REF!,51,FALSE),0)</f>
        <v>0</v>
      </c>
      <c r="BX134" s="35" t="e">
        <f t="shared" si="36"/>
        <v>#REF!</v>
      </c>
      <c r="BY134" s="36">
        <f>BD134-IFERROR(VLOOKUP(H134,#REF!,48,FALSE),0)</f>
        <v>0</v>
      </c>
      <c r="BZ13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4" s="39" t="e">
        <f>VLOOKUP(Tableau5617192223242425262827293031333432353620383961719241822254140424344104746[[#This Row],[Num Projets]],#REF!,1,FALSE)</f>
        <v>#REF!</v>
      </c>
      <c r="CB134" s="40">
        <v>28.5</v>
      </c>
      <c r="CC134" s="40">
        <v>20</v>
      </c>
      <c r="CD13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-28.5</v>
      </c>
    </row>
    <row r="135" spans="1:82" ht="13.5" customHeight="1" x14ac:dyDescent="0.25">
      <c r="A135" s="311"/>
      <c r="B135" s="1"/>
      <c r="C135" s="2" t="e">
        <f>_xlfn.XLOOKUP(Tableau5617192223242425262827293031333432353620383961719241822254140424344104746[[#This Row],[Num Projets]],#REF!,#REF!,FALSE)</f>
        <v>#REF!</v>
      </c>
      <c r="D135" s="3" t="s">
        <v>6</v>
      </c>
      <c r="E135" s="3" t="e">
        <f>_xlfn.XLOOKUP(Tableau5617192223242425262827293031333432353620383961719241822254140424344104746[[#This Row],[Num Projets]],#REF!,#REF!,FALSE)</f>
        <v>#REF!</v>
      </c>
      <c r="F135" s="3" t="e">
        <f>_xlfn.XLOOKUP(Tableau5617192223242425262827293031333432353620383961719241822254140424344104746[[#This Row],[Num Projets]],#REF!,#REF!,"newavr",0)</f>
        <v>#REF!</v>
      </c>
      <c r="G135" s="3" t="s">
        <v>2</v>
      </c>
      <c r="H135" s="3" t="s">
        <v>263</v>
      </c>
      <c r="I13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5" s="4" t="e">
        <f>VLOOKUP(Tableau5617192223242425262827293031333432353620383961719241822254140424344104746[[#This Row],[Num Projets]],#REF!,36,FALSE)</f>
        <v>#REF!</v>
      </c>
      <c r="K135" s="5" t="s">
        <v>9</v>
      </c>
      <c r="L13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5" s="3" t="e">
        <f>SUBSTITUTE(_xlfn.XLOOKUP(Tableau5617192223242425262827293031333432353620383961719241822254140424344104746[[#This Row],[Num Projets]],#REF!,#REF!,FALSE)," ","")</f>
        <v>#REF!</v>
      </c>
      <c r="N135" s="7" t="e">
        <f>VLOOKUP(H135,#REF!,7,FALSE)</f>
        <v>#REF!</v>
      </c>
      <c r="O135" s="7" t="e">
        <f>IF(VLOOKUP(H135,#REF!,27,FALSE)=0,"",VLOOKUP(H135,#REF!,27,FALSE))</f>
        <v>#REF!</v>
      </c>
      <c r="P135" s="8" t="e">
        <f>VLOOKUP(H135,#REF!,2,FALSE)</f>
        <v>#REF!</v>
      </c>
      <c r="Q135" s="9" t="e">
        <f>Tableau5617192223242425262827293031333432353620383961719241822254140424344104746[[#This Row],[Total Budget
€]]-IFERROR(VLOOKUP(H135,#REF!,8,FALSE),0)</f>
        <v>#REF!</v>
      </c>
      <c r="R135" s="10">
        <f>AD135+AI135+Tableau5617192223242425262827293031333432353620383961719241822254140424344104746[[#This Row],[Int Commandé OT
€]]+AX135</f>
        <v>0</v>
      </c>
      <c r="S135" s="10">
        <f>AD135+AJ135+Tableau5617192223242425262827293031333432353620383961719241822254140424344104746[[#This Row],[Int Réalisé OT
€]]+AX135</f>
        <v>0</v>
      </c>
      <c r="T135" s="11" t="e">
        <f t="shared" si="38"/>
        <v>#REF!</v>
      </c>
      <c r="U13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5" s="12">
        <f>IFERROR(VLOOKUP(H135,#REF!,2,FALSE),0)</f>
        <v>0</v>
      </c>
      <c r="X135" s="13">
        <f>IFERROR(VLOOKUP(H135,#REF!,2,FALSE),0)</f>
        <v>0</v>
      </c>
      <c r="Y135" s="13">
        <f>IFERROR(VLOOKUP(H135,#REF!,3,FALSE),0)</f>
        <v>0</v>
      </c>
      <c r="Z13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</v>
      </c>
      <c r="AA135" s="13">
        <f>IFERROR(VLOOKUP(H135,#REF!,18,FALSE),0)</f>
        <v>0</v>
      </c>
      <c r="AB135" s="13">
        <f>SUM(X135:Y135)-IFERROR(VLOOKUP(H135,#REF!,16,FALSE),0)-IFERROR(VLOOKUP(H135,#REF!,17,FALSE),0)</f>
        <v>0</v>
      </c>
      <c r="AC135" s="15" t="e">
        <f>VLOOKUP(Tableau5617192223242425262827293031333432353620383961719241822254140424344104746[[#This Row],[Num Projets]],#REF!,2,FALSE)</f>
        <v>#REF!</v>
      </c>
      <c r="AD135" s="15">
        <f>IFERROR(VLOOKUP(Tableau5617192223242425262827293031333432353620383961719241822254140424344104746[[#This Row],[Num Projets]],#REF!,2,FALSE),0)</f>
        <v>0</v>
      </c>
      <c r="AE135" s="8">
        <f t="shared" si="39"/>
        <v>191.2</v>
      </c>
      <c r="AF135" s="22" t="e">
        <f t="shared" si="40"/>
        <v>#REF!</v>
      </c>
      <c r="AG135" s="8">
        <f>IFERROR(VLOOKUP(H135,#REF!,3,FALSE),0)+IFERROR(VLOOKUP(H135,#REF!,3,FALSE),0)</f>
        <v>0</v>
      </c>
      <c r="AH135" s="8">
        <f>IFERROR(VLOOKUP(Tableau5617192223242425262827293031333432353620383961719241822254140424344104746[[#This Row],[Num Projets]],#REF!,2,FALSE),0)</f>
        <v>0</v>
      </c>
      <c r="AI135" s="17">
        <f>+IFERROR(VLOOKUP(H135,#REF!,2,FALSE),0)-Tableau5617192223242425262827293031333432353620383961719241822254140424344104746[[#This Row],[Int Commandé OT
€]]</f>
        <v>0</v>
      </c>
      <c r="AJ135" s="8">
        <f>IFERROR(VLOOKUP(H135,#REF!,11,FALSE),0)-IFERROR(VLOOKUP(H135,#REF!,10,FALSE),0)+Tableau5617192223242425262827293031333432353620383961719241822254140424344104746[[#This Row],[dont FNP à date (€ HT)]]</f>
        <v>0</v>
      </c>
      <c r="AK135" s="15">
        <f t="shared" si="46"/>
        <v>0</v>
      </c>
      <c r="AL13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5" s="19">
        <f>IF(Tableau5617192223242425262827293031333432353620383961719241822254140424344104746[[#This Row],[RAF Achats M-1
€]]=0,0,AN135-AO135)</f>
        <v>0</v>
      </c>
      <c r="AN135" s="8">
        <f>IFERROR(VLOOKUP(H135,#REF!,31,FALSE),0)</f>
        <v>0</v>
      </c>
      <c r="AO135" s="8">
        <f>AI135+-IFERROR(VLOOKUP(H135,#REF!,27,FALSE),0)</f>
        <v>0</v>
      </c>
      <c r="AP135" s="20">
        <f>IFERROR(VLOOKUP(Tableau5617192223242425262827293031333432353620383961719241822254140424344104746[[#This Row],[Num Projets]],#REF!,2,FALSE),0)</f>
        <v>0</v>
      </c>
      <c r="AQ135" s="20">
        <f>_xlfn.XLOOKUP(H135,[2]Synth!$N:$N,[2]Synth!$O:$O,0,FALSE)+_xlfn.XLOOKUP(Tableau5617192223242425262827293031333432353620383961719241822254140424344104746[[#This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5" s="21">
        <v>0</v>
      </c>
      <c r="AS135" s="20">
        <f>+IFERROR(VLOOKUP(H135,#REF!,36,FALSE),0)</f>
        <v>0</v>
      </c>
      <c r="AT13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5" s="22">
        <f>IF(AG135=0,0,1-((AI135+AM135+Tableau5617192223242425262827293031333432353620383961719241822254140424344104746[[#This Row],[Int Commandé OT
€]]+Tableau5617192223242425262827293031333432353620383961719241822254140424344104746[[#This Row],[RAF Int OT
€]])/AG135))</f>
        <v>0</v>
      </c>
      <c r="AV135" s="8">
        <f>IFERROR(VLOOKUP(H135,#REF!,4,FALSE),0)+IFERROR(VLOOKUP(H135,#REF!,4,FALSE),0)</f>
        <v>0</v>
      </c>
      <c r="AW135" s="8">
        <f>IFERROR(VLOOKUP(Tableau5617192223242425262827293031333432353620383961719241822254140424344104746[[#This Row],[Num Projets]],#REF!,3,FALSE),0)</f>
        <v>0</v>
      </c>
      <c r="AX135" s="95">
        <f>IFERROR(VLOOKUP(Tableau5617192223242425262827293031333432353620383961719241822254140424344104746[[#This Row],[Num Projets]],#REF!,10,FALSE),0)</f>
        <v>0</v>
      </c>
      <c r="AY135" s="23">
        <f>Tableau5617192223242425262827293031333432353620383961719241822254140424344104746[[#This Row],[Budget Mission
 €]]/1.2-AX135</f>
        <v>0</v>
      </c>
      <c r="AZ135" s="8">
        <f>IFERROR(VLOOKUP(H135,#REF!,43,FALSE),0)</f>
        <v>0</v>
      </c>
      <c r="BA135" s="8">
        <f>AX135-IFERROR(VLOOKUP(H135,#REF!,42,FALSE),0)</f>
        <v>0</v>
      </c>
      <c r="BB135" s="47">
        <f t="shared" si="33"/>
        <v>0</v>
      </c>
      <c r="BC135" s="24">
        <f>IFERROR(VLOOKUP(H135,#REF!,47,FALSE),IFERROR(VLOOKUP(H135,#REF!,5,FALSE),0)+IFERROR(VLOOKUP(H135,#REF!,5,FALSE),0))</f>
        <v>0</v>
      </c>
      <c r="BD135" s="25">
        <f>IFERROR(VLOOKUP(H135,#REF!,2,FALSE),0)</f>
        <v>0</v>
      </c>
      <c r="BE135" s="25">
        <f>IFERROR(VLOOKUP(H135,#REF!,49,FALSE),0)</f>
        <v>0</v>
      </c>
      <c r="BF135" s="50" t="e">
        <f t="shared" si="41"/>
        <v>#REF!</v>
      </c>
      <c r="BG135" s="50">
        <f t="shared" si="42"/>
        <v>0</v>
      </c>
      <c r="BH135" s="27">
        <f>AE135+ (AI135-AJ135+AM135+Tableau5617192223242425262827293031333432353620383961719241822254140424344104746[[#This Row],[Int Commandé OT
€]]-Tableau5617192223242425262827293031333432353620383961719241822254140424344104746[[#This Row],[Int Réalisé OT
€]]+AR135) +AY135+BC135</f>
        <v>191.2</v>
      </c>
      <c r="BI135" s="47">
        <f t="shared" si="37"/>
        <v>0</v>
      </c>
      <c r="BJ135" s="47" t="e">
        <f t="shared" si="43"/>
        <v>#REF!</v>
      </c>
      <c r="BK135" s="27" t="e">
        <f t="shared" si="44"/>
        <v>#REF!</v>
      </c>
      <c r="BL135" s="26" t="e">
        <f t="shared" si="45"/>
        <v>#REF!</v>
      </c>
      <c r="BM135" s="96">
        <f>IFERROR(VLOOKUP(H135,'[1]2023dec'!H:CA,54,FALSE),105)</f>
        <v>105</v>
      </c>
      <c r="BN135" s="29">
        <v>1</v>
      </c>
      <c r="BO135" s="30" t="e">
        <f>P135-AC135-AG135-AV135-Tableau5617192223242425262827293031333432353620383961719241822254140424344104746[[#This Row],[Provisions pour risques]]</f>
        <v>#REF!</v>
      </c>
      <c r="BP13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191.2</v>
      </c>
      <c r="BQ13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5" s="97" t="e">
        <f t="shared" si="34"/>
        <v>#REF!</v>
      </c>
      <c r="BS135" s="34">
        <f>Tableau5617192223242425262827293031333432353620383961719241822254140424344104746[[#This Row],[Consommé global Enregistré à date (€ HT)]]-IFERROR(VLOOKUP(H135,#REF!,50,FALSE),0)</f>
        <v>0</v>
      </c>
      <c r="BT135" s="35" t="e">
        <f t="shared" si="35"/>
        <v>#REF!</v>
      </c>
      <c r="BU135" s="36">
        <f>BD135-IFERROR(VLOOKUP(H135,#REF!,47,FALSE),0)</f>
        <v>0</v>
      </c>
      <c r="BV135" s="37" t="e">
        <f>+BF135+Tableau5617192223242425262827293031333432353620383961719241822254140424344104746[[#This Row],[CA fin N-1]]-IFERROR(VLOOKUP(H135,#REF!,49,FALSE),0)-IFERROR(VLOOKUP(H135,#REF!,50,FALSE),0)</f>
        <v>#REF!</v>
      </c>
      <c r="BW135" s="33">
        <f>BG135-IFERROR(VLOOKUP(H135,#REF!,51,FALSE),0)</f>
        <v>0</v>
      </c>
      <c r="BX135" s="35" t="e">
        <f t="shared" si="36"/>
        <v>#REF!</v>
      </c>
      <c r="BY135" s="36">
        <f>BD135-IFERROR(VLOOKUP(H135,#REF!,48,FALSE),0)</f>
        <v>0</v>
      </c>
      <c r="BZ13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5" s="39" t="e">
        <f>VLOOKUP(Tableau5617192223242425262827293031333432353620383961719241822254140424344104746[[#This Row],[Num Projets]],#REF!,1,FALSE)</f>
        <v>#REF!</v>
      </c>
      <c r="CB135" s="40">
        <v>4</v>
      </c>
      <c r="CC135" s="40">
        <v>0</v>
      </c>
      <c r="CD13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</v>
      </c>
    </row>
    <row r="136" spans="1:82" ht="13.5" customHeight="1" x14ac:dyDescent="0.25">
      <c r="A136" s="311"/>
      <c r="B136" s="1"/>
      <c r="C136" s="2" t="e">
        <f>_xlfn.XLOOKUP(Tableau5617192223242425262827293031333432353620383961719241822254140424344104746[[#This Row],[Num Projets]],#REF!,#REF!,FALSE)</f>
        <v>#REF!</v>
      </c>
      <c r="D136" s="3" t="s">
        <v>6</v>
      </c>
      <c r="E136" s="3" t="e">
        <f>_xlfn.XLOOKUP(Tableau5617192223242425262827293031333432353620383961719241822254140424344104746[[#This Row],[Num Projets]],#REF!,#REF!,FALSE)</f>
        <v>#REF!</v>
      </c>
      <c r="F136" s="3" t="e">
        <f>_xlfn.XLOOKUP(Tableau5617192223242425262827293031333432353620383961719241822254140424344104746[[#This Row],[Num Projets]],#REF!,#REF!,"newavr",0)</f>
        <v>#REF!</v>
      </c>
      <c r="G136" s="3" t="s">
        <v>2</v>
      </c>
      <c r="H136" s="3" t="s">
        <v>264</v>
      </c>
      <c r="I13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6" s="4" t="e">
        <f>VLOOKUP(Tableau5617192223242425262827293031333432353620383961719241822254140424344104746[[#This Row],[Num Projets]],#REF!,36,FALSE)</f>
        <v>#REF!</v>
      </c>
      <c r="K136" s="5" t="s">
        <v>9</v>
      </c>
      <c r="L13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6" s="3" t="e">
        <f>SUBSTITUTE(_xlfn.XLOOKUP(Tableau5617192223242425262827293031333432353620383961719241822254140424344104746[[#This Row],[Num Projets]],#REF!,#REF!,FALSE)," ","")</f>
        <v>#REF!</v>
      </c>
      <c r="N136" s="7" t="e">
        <f>VLOOKUP(H136,#REF!,7,FALSE)</f>
        <v>#REF!</v>
      </c>
      <c r="O136" s="7" t="e">
        <f>IF(VLOOKUP(H136,#REF!,27,FALSE)=0,"",VLOOKUP(H136,#REF!,27,FALSE))</f>
        <v>#REF!</v>
      </c>
      <c r="P136" s="8" t="e">
        <f>VLOOKUP(H136,#REF!,2,FALSE)</f>
        <v>#REF!</v>
      </c>
      <c r="Q136" s="9" t="e">
        <f>Tableau5617192223242425262827293031333432353620383961719241822254140424344104746[[#This Row],[Total Budget
€]]-IFERROR(VLOOKUP(H136,#REF!,8,FALSE),0)</f>
        <v>#REF!</v>
      </c>
      <c r="R136" s="10">
        <f>AD136+AI136+Tableau5617192223242425262827293031333432353620383961719241822254140424344104746[[#This Row],[Int Commandé OT
€]]+AX136</f>
        <v>0</v>
      </c>
      <c r="S136" s="10">
        <f>AD136+AJ136+Tableau5617192223242425262827293031333432353620383961719241822254140424344104746[[#This Row],[Int Réalisé OT
€]]+AX136</f>
        <v>0</v>
      </c>
      <c r="T136" s="11" t="e">
        <f t="shared" si="38"/>
        <v>#REF!</v>
      </c>
      <c r="U13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6" s="12">
        <f>IFERROR(VLOOKUP(H136,#REF!,2,FALSE),0)</f>
        <v>0</v>
      </c>
      <c r="X136" s="13">
        <f>IFERROR(VLOOKUP(H136,#REF!,2,FALSE),0)</f>
        <v>0</v>
      </c>
      <c r="Y136" s="13">
        <f>IFERROR(VLOOKUP(H136,#REF!,3,FALSE),0)</f>
        <v>0</v>
      </c>
      <c r="Z13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40</v>
      </c>
      <c r="AA136" s="13">
        <f>IFERROR(VLOOKUP(H136,#REF!,18,FALSE),0)</f>
        <v>0</v>
      </c>
      <c r="AB136" s="13">
        <f>SUM(X136:Y136)-IFERROR(VLOOKUP(H136,#REF!,16,FALSE),0)-IFERROR(VLOOKUP(H136,#REF!,17,FALSE),0)</f>
        <v>0</v>
      </c>
      <c r="AC136" s="15" t="e">
        <f>VLOOKUP(Tableau5617192223242425262827293031333432353620383961719241822254140424344104746[[#This Row],[Num Projets]],#REF!,2,FALSE)</f>
        <v>#REF!</v>
      </c>
      <c r="AD136" s="15">
        <f>IFERROR(VLOOKUP(Tableau5617192223242425262827293031333432353620383961719241822254140424344104746[[#This Row],[Num Projets]],#REF!,2,FALSE),0)</f>
        <v>0</v>
      </c>
      <c r="AE136" s="8">
        <f t="shared" si="39"/>
        <v>1912</v>
      </c>
      <c r="AF136" s="22" t="e">
        <f t="shared" si="40"/>
        <v>#REF!</v>
      </c>
      <c r="AG136" s="8">
        <f>IFERROR(VLOOKUP(H136,#REF!,3,FALSE),0)+IFERROR(VLOOKUP(H136,#REF!,3,FALSE),0)</f>
        <v>0</v>
      </c>
      <c r="AH136" s="8">
        <f>IFERROR(VLOOKUP(Tableau5617192223242425262827293031333432353620383961719241822254140424344104746[[#This Row],[Num Projets]],#REF!,2,FALSE),0)</f>
        <v>0</v>
      </c>
      <c r="AI136" s="17">
        <f>+IFERROR(VLOOKUP(H136,#REF!,2,FALSE),0)-Tableau5617192223242425262827293031333432353620383961719241822254140424344104746[[#This Row],[Int Commandé OT
€]]</f>
        <v>0</v>
      </c>
      <c r="AJ136" s="8">
        <f>IFERROR(VLOOKUP(H136,#REF!,11,FALSE),0)-IFERROR(VLOOKUP(H136,#REF!,10,FALSE),0)+Tableau5617192223242425262827293031333432353620383961719241822254140424344104746[[#This Row],[dont FNP à date (€ HT)]]</f>
        <v>0</v>
      </c>
      <c r="AK136" s="15">
        <f t="shared" si="46"/>
        <v>0</v>
      </c>
      <c r="AL13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6" s="19">
        <f>IF(Tableau5617192223242425262827293031333432353620383961719241822254140424344104746[[#This Row],[RAF Achats M-1
€]]=0,0,AN136-AO136)</f>
        <v>0</v>
      </c>
      <c r="AN136" s="8">
        <f>IFERROR(VLOOKUP(H136,#REF!,31,FALSE),0)</f>
        <v>0</v>
      </c>
      <c r="AO136" s="8">
        <f>AI136+-IFERROR(VLOOKUP(H136,#REF!,27,FALSE),0)</f>
        <v>0</v>
      </c>
      <c r="AP136" s="20">
        <f>IFERROR(VLOOKUP(Tableau5617192223242425262827293031333432353620383961719241822254140424344104746[[#This Row],[Num Projets]],#REF!,2,FALSE),0)</f>
        <v>0</v>
      </c>
      <c r="AQ136" s="20">
        <f>_xlfn.XLOOKUP(H136,[2]Synth!$N:$N,[2]Synth!$O:$O,0,FALSE)+_xlfn.XLOOKUP(Tableau5617192223242425262827293031333432353620383961719241822254140424344104746[[#This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6" s="21">
        <v>0</v>
      </c>
      <c r="AS136" s="20">
        <f>+IFERROR(VLOOKUP(H136,#REF!,36,FALSE),0)</f>
        <v>0</v>
      </c>
      <c r="AT13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6" s="22">
        <f>IF(AG136=0,0,1-((AI136+AM136+Tableau5617192223242425262827293031333432353620383961719241822254140424344104746[[#This Row],[Int Commandé OT
€]]+Tableau5617192223242425262827293031333432353620383961719241822254140424344104746[[#This Row],[RAF Int OT
€]])/AG136))</f>
        <v>0</v>
      </c>
      <c r="AV136" s="8">
        <f>IFERROR(VLOOKUP(H136,#REF!,4,FALSE),0)+IFERROR(VLOOKUP(H136,#REF!,4,FALSE),0)</f>
        <v>0</v>
      </c>
      <c r="AW136" s="8">
        <f>IFERROR(VLOOKUP(Tableau5617192223242425262827293031333432353620383961719241822254140424344104746[[#This Row],[Num Projets]],#REF!,3,FALSE),0)</f>
        <v>0</v>
      </c>
      <c r="AX136" s="95">
        <f>IFERROR(VLOOKUP(Tableau5617192223242425262827293031333432353620383961719241822254140424344104746[[#This Row],[Num Projets]],#REF!,10,FALSE),0)</f>
        <v>0</v>
      </c>
      <c r="AY136" s="23">
        <f>Tableau5617192223242425262827293031333432353620383961719241822254140424344104746[[#This Row],[Budget Mission
 €]]/1.2-AX136</f>
        <v>0</v>
      </c>
      <c r="AZ136" s="8">
        <f>IFERROR(VLOOKUP(H136,#REF!,43,FALSE),0)</f>
        <v>0</v>
      </c>
      <c r="BA136" s="8">
        <f>AX136-IFERROR(VLOOKUP(H136,#REF!,42,FALSE),0)</f>
        <v>0</v>
      </c>
      <c r="BB136" s="47">
        <f t="shared" si="33"/>
        <v>0</v>
      </c>
      <c r="BC136" s="24">
        <f>IFERROR(VLOOKUP(H136,#REF!,47,FALSE),IFERROR(VLOOKUP(H136,#REF!,5,FALSE),0)+IFERROR(VLOOKUP(H136,#REF!,5,FALSE),0))</f>
        <v>0</v>
      </c>
      <c r="BD136" s="25">
        <f>IFERROR(VLOOKUP(H136,#REF!,2,FALSE),0)</f>
        <v>0</v>
      </c>
      <c r="BE136" s="25">
        <f>IFERROR(VLOOKUP(H136,#REF!,49,FALSE),0)</f>
        <v>0</v>
      </c>
      <c r="BF136" s="50" t="e">
        <f t="shared" si="41"/>
        <v>#REF!</v>
      </c>
      <c r="BG136" s="50">
        <f t="shared" si="42"/>
        <v>0</v>
      </c>
      <c r="BH136" s="27">
        <f>AE136+ (AI136-AJ136+AM136+Tableau5617192223242425262827293031333432353620383961719241822254140424344104746[[#This Row],[Int Commandé OT
€]]-Tableau5617192223242425262827293031333432353620383961719241822254140424344104746[[#This Row],[Int Réalisé OT
€]]+AR136) +AY136+BC136</f>
        <v>1912</v>
      </c>
      <c r="BI136" s="47">
        <f t="shared" si="37"/>
        <v>0</v>
      </c>
      <c r="BJ136" s="47" t="e">
        <f t="shared" si="43"/>
        <v>#REF!</v>
      </c>
      <c r="BK136" s="27" t="e">
        <f t="shared" si="44"/>
        <v>#REF!</v>
      </c>
      <c r="BL136" s="26" t="e">
        <f t="shared" si="45"/>
        <v>#REF!</v>
      </c>
      <c r="BM136" s="96">
        <f>IFERROR(VLOOKUP(H136,'[1]2023dec'!H:CA,54,FALSE),105)</f>
        <v>105</v>
      </c>
      <c r="BN136" s="29">
        <v>1</v>
      </c>
      <c r="BO136" s="30" t="e">
        <f>P136-AC136-AG136-AV136-Tableau5617192223242425262827293031333432353620383961719241822254140424344104746[[#This Row],[Provisions pour risques]]</f>
        <v>#REF!</v>
      </c>
      <c r="BP13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1912</v>
      </c>
      <c r="BQ13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6" s="97" t="e">
        <f t="shared" si="34"/>
        <v>#REF!</v>
      </c>
      <c r="BS136" s="34">
        <f>Tableau5617192223242425262827293031333432353620383961719241822254140424344104746[[#This Row],[Consommé global Enregistré à date (€ HT)]]-IFERROR(VLOOKUP(H136,#REF!,50,FALSE),0)</f>
        <v>0</v>
      </c>
      <c r="BT136" s="35" t="e">
        <f t="shared" si="35"/>
        <v>#REF!</v>
      </c>
      <c r="BU136" s="36">
        <f>BD136-IFERROR(VLOOKUP(H136,#REF!,47,FALSE),0)</f>
        <v>0</v>
      </c>
      <c r="BV136" s="37" t="e">
        <f>+BF136+Tableau5617192223242425262827293031333432353620383961719241822254140424344104746[[#This Row],[CA fin N-1]]-IFERROR(VLOOKUP(H136,#REF!,49,FALSE),0)-IFERROR(VLOOKUP(H136,#REF!,50,FALSE),0)</f>
        <v>#REF!</v>
      </c>
      <c r="BW136" s="33">
        <f>BG136-IFERROR(VLOOKUP(H136,#REF!,51,FALSE),0)</f>
        <v>0</v>
      </c>
      <c r="BX136" s="35" t="e">
        <f t="shared" si="36"/>
        <v>#REF!</v>
      </c>
      <c r="BY136" s="36">
        <f>BD136-IFERROR(VLOOKUP(H136,#REF!,48,FALSE),0)</f>
        <v>0</v>
      </c>
      <c r="BZ13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6" s="39" t="e">
        <f>VLOOKUP(Tableau5617192223242425262827293031333432353620383961719241822254140424344104746[[#This Row],[Num Projets]],#REF!,1,FALSE)</f>
        <v>#REF!</v>
      </c>
      <c r="CB136" s="40">
        <v>40</v>
      </c>
      <c r="CC136" s="40">
        <v>0</v>
      </c>
      <c r="CD13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-40</v>
      </c>
    </row>
    <row r="137" spans="1:82" ht="13.5" customHeight="1" x14ac:dyDescent="0.25">
      <c r="A137" s="311"/>
      <c r="B137" s="1"/>
      <c r="C137" s="2" t="e">
        <f>_xlfn.XLOOKUP(Tableau5617192223242425262827293031333432353620383961719241822254140424344104746[[#This Row],[Num Projets]],#REF!,#REF!,FALSE)</f>
        <v>#REF!</v>
      </c>
      <c r="D137" s="3" t="s">
        <v>6</v>
      </c>
      <c r="E137" s="3" t="e">
        <f>_xlfn.XLOOKUP(Tableau5617192223242425262827293031333432353620383961719241822254140424344104746[[#This Row],[Num Projets]],#REF!,#REF!,FALSE)</f>
        <v>#REF!</v>
      </c>
      <c r="F137" s="3" t="e">
        <f>_xlfn.XLOOKUP(Tableau5617192223242425262827293031333432353620383961719241822254140424344104746[[#This Row],[Num Projets]],#REF!,#REF!,"newavr",0)</f>
        <v>#REF!</v>
      </c>
      <c r="G137" s="3" t="s">
        <v>2</v>
      </c>
      <c r="H137" s="3" t="s">
        <v>265</v>
      </c>
      <c r="I13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7" s="4" t="e">
        <f>VLOOKUP(Tableau5617192223242425262827293031333432353620383961719241822254140424344104746[[#This Row],[Num Projets]],#REF!,36,FALSE)</f>
        <v>#REF!</v>
      </c>
      <c r="K137" s="5" t="s">
        <v>9</v>
      </c>
      <c r="L13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7" s="3" t="e">
        <f>SUBSTITUTE(_xlfn.XLOOKUP(Tableau5617192223242425262827293031333432353620383961719241822254140424344104746[[#This Row],[Num Projets]],#REF!,#REF!,FALSE)," ","")</f>
        <v>#REF!</v>
      </c>
      <c r="N137" s="7" t="e">
        <f>VLOOKUP(H137,#REF!,7,FALSE)</f>
        <v>#REF!</v>
      </c>
      <c r="O137" s="7" t="e">
        <f>IF(VLOOKUP(H137,#REF!,27,FALSE)=0,"",VLOOKUP(H137,#REF!,27,FALSE))</f>
        <v>#REF!</v>
      </c>
      <c r="P137" s="8" t="e">
        <f>VLOOKUP(H137,#REF!,2,FALSE)</f>
        <v>#REF!</v>
      </c>
      <c r="Q137" s="9" t="e">
        <f>Tableau5617192223242425262827293031333432353620383961719241822254140424344104746[[#This Row],[Total Budget
€]]-IFERROR(VLOOKUP(H137,#REF!,8,FALSE),0)</f>
        <v>#REF!</v>
      </c>
      <c r="R137" s="10">
        <f>AD137+AI137+Tableau5617192223242425262827293031333432353620383961719241822254140424344104746[[#This Row],[Int Commandé OT
€]]+AX137</f>
        <v>0</v>
      </c>
      <c r="S137" s="10">
        <f>AD137+AJ137+Tableau5617192223242425262827293031333432353620383961719241822254140424344104746[[#This Row],[Int Réalisé OT
€]]+AX137</f>
        <v>0</v>
      </c>
      <c r="T137" s="11" t="e">
        <f t="shared" si="38"/>
        <v>#REF!</v>
      </c>
      <c r="U13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7" s="12">
        <f>IFERROR(VLOOKUP(H137,#REF!,2,FALSE),0)</f>
        <v>0</v>
      </c>
      <c r="X137" s="13">
        <f>IFERROR(VLOOKUP(H137,#REF!,2,FALSE),0)</f>
        <v>0</v>
      </c>
      <c r="Y137" s="13">
        <f>IFERROR(VLOOKUP(H137,#REF!,3,FALSE),0)</f>
        <v>0</v>
      </c>
      <c r="Z13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37.5</v>
      </c>
      <c r="AA137" s="13">
        <f>IFERROR(VLOOKUP(H137,#REF!,18,FALSE),0)</f>
        <v>0</v>
      </c>
      <c r="AB137" s="13">
        <f>SUM(X137:Y137)-IFERROR(VLOOKUP(H137,#REF!,16,FALSE),0)-IFERROR(VLOOKUP(H137,#REF!,17,FALSE),0)</f>
        <v>0</v>
      </c>
      <c r="AC137" s="15" t="e">
        <f>VLOOKUP(Tableau5617192223242425262827293031333432353620383961719241822254140424344104746[[#This Row],[Num Projets]],#REF!,2,FALSE)</f>
        <v>#REF!</v>
      </c>
      <c r="AD137" s="15">
        <f>IFERROR(VLOOKUP(Tableau5617192223242425262827293031333432353620383961719241822254140424344104746[[#This Row],[Num Projets]],#REF!,2,FALSE),0)</f>
        <v>0</v>
      </c>
      <c r="AE137" s="8">
        <f t="shared" si="39"/>
        <v>1792.5</v>
      </c>
      <c r="AF137" s="22" t="e">
        <f t="shared" si="40"/>
        <v>#REF!</v>
      </c>
      <c r="AG137" s="8">
        <f>IFERROR(VLOOKUP(H137,#REF!,3,FALSE),0)+IFERROR(VLOOKUP(H137,#REF!,3,FALSE),0)</f>
        <v>0</v>
      </c>
      <c r="AH137" s="8">
        <f>IFERROR(VLOOKUP(Tableau5617192223242425262827293031333432353620383961719241822254140424344104746[[#This Row],[Num Projets]],#REF!,2,FALSE),0)</f>
        <v>0</v>
      </c>
      <c r="AI137" s="17">
        <f>+IFERROR(VLOOKUP(H137,#REF!,2,FALSE),0)-Tableau5617192223242425262827293031333432353620383961719241822254140424344104746[[#This Row],[Int Commandé OT
€]]</f>
        <v>0</v>
      </c>
      <c r="AJ137" s="8">
        <f>IFERROR(VLOOKUP(H137,#REF!,11,FALSE),0)-IFERROR(VLOOKUP(H137,#REF!,10,FALSE),0)+Tableau5617192223242425262827293031333432353620383961719241822254140424344104746[[#This Row],[dont FNP à date (€ HT)]]</f>
        <v>0</v>
      </c>
      <c r="AK137" s="15">
        <f t="shared" si="46"/>
        <v>0</v>
      </c>
      <c r="AL13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7" s="19">
        <f>IF(Tableau5617192223242425262827293031333432353620383961719241822254140424344104746[[#This Row],[RAF Achats M-1
€]]=0,0,AN137-AO137)</f>
        <v>0</v>
      </c>
      <c r="AN137" s="8">
        <f>IFERROR(VLOOKUP(H137,#REF!,31,FALSE),0)</f>
        <v>0</v>
      </c>
      <c r="AO137" s="8">
        <f>AI137+-IFERROR(VLOOKUP(H137,#REF!,27,FALSE),0)</f>
        <v>0</v>
      </c>
      <c r="AP137" s="20">
        <f>IFERROR(VLOOKUP(Tableau5617192223242425262827293031333432353620383961719241822254140424344104746[[#This Row],[Num Projets]],#REF!,2,FALSE),0)</f>
        <v>0</v>
      </c>
      <c r="AQ137" s="20">
        <f>_xlfn.XLOOKUP(H137,[2]Synth!$N:$N,[2]Synth!$O:$O,0,FALSE)+_xlfn.XLOOKUP(Tableau5617192223242425262827293031333432353620383961719241822254140424344104746[[#This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7" s="21">
        <v>0</v>
      </c>
      <c r="AS137" s="20">
        <f>+IFERROR(VLOOKUP(H137,#REF!,36,FALSE),0)</f>
        <v>0</v>
      </c>
      <c r="AT13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7" s="22">
        <f>IF(AG137=0,0,1-((AI137+AM137+Tableau5617192223242425262827293031333432353620383961719241822254140424344104746[[#This Row],[Int Commandé OT
€]]+Tableau5617192223242425262827293031333432353620383961719241822254140424344104746[[#This Row],[RAF Int OT
€]])/AG137))</f>
        <v>0</v>
      </c>
      <c r="AV137" s="8">
        <f>IFERROR(VLOOKUP(H137,#REF!,4,FALSE),0)+IFERROR(VLOOKUP(H137,#REF!,4,FALSE),0)</f>
        <v>0</v>
      </c>
      <c r="AW137" s="8">
        <f>IFERROR(VLOOKUP(Tableau5617192223242425262827293031333432353620383961719241822254140424344104746[[#This Row],[Num Projets]],#REF!,3,FALSE),0)</f>
        <v>0</v>
      </c>
      <c r="AX137" s="95">
        <f>IFERROR(VLOOKUP(Tableau5617192223242425262827293031333432353620383961719241822254140424344104746[[#This Row],[Num Projets]],#REF!,10,FALSE),0)</f>
        <v>0</v>
      </c>
      <c r="AY137" s="23">
        <f>Tableau5617192223242425262827293031333432353620383961719241822254140424344104746[[#This Row],[Budget Mission
 €]]/1.2-AX137</f>
        <v>0</v>
      </c>
      <c r="AZ137" s="8">
        <f>IFERROR(VLOOKUP(H137,#REF!,43,FALSE),0)</f>
        <v>0</v>
      </c>
      <c r="BA137" s="8">
        <f>AX137-IFERROR(VLOOKUP(H137,#REF!,42,FALSE),0)</f>
        <v>0</v>
      </c>
      <c r="BB137" s="47">
        <f t="shared" si="33"/>
        <v>0</v>
      </c>
      <c r="BC137" s="24">
        <f>IFERROR(VLOOKUP(H137,#REF!,47,FALSE),IFERROR(VLOOKUP(H137,#REF!,5,FALSE),0)+IFERROR(VLOOKUP(H137,#REF!,5,FALSE),0))</f>
        <v>0</v>
      </c>
      <c r="BD137" s="25">
        <f>IFERROR(VLOOKUP(H137,#REF!,2,FALSE),0)</f>
        <v>0</v>
      </c>
      <c r="BE137" s="25">
        <f>IFERROR(VLOOKUP(H137,#REF!,49,FALSE),0)</f>
        <v>0</v>
      </c>
      <c r="BF137" s="50" t="e">
        <f t="shared" si="41"/>
        <v>#REF!</v>
      </c>
      <c r="BG137" s="50">
        <f t="shared" si="42"/>
        <v>0</v>
      </c>
      <c r="BH137" s="27">
        <f>AE137+ (AI137-AJ137+AM137+Tableau5617192223242425262827293031333432353620383961719241822254140424344104746[[#This Row],[Int Commandé OT
€]]-Tableau5617192223242425262827293031333432353620383961719241822254140424344104746[[#This Row],[Int Réalisé OT
€]]+AR137) +AY137+BC137</f>
        <v>1792.5</v>
      </c>
      <c r="BI137" s="47">
        <f t="shared" si="37"/>
        <v>0</v>
      </c>
      <c r="BJ137" s="47" t="e">
        <f t="shared" si="43"/>
        <v>#REF!</v>
      </c>
      <c r="BK137" s="27" t="e">
        <f t="shared" si="44"/>
        <v>#REF!</v>
      </c>
      <c r="BL137" s="26" t="e">
        <f t="shared" si="45"/>
        <v>#REF!</v>
      </c>
      <c r="BM137" s="96">
        <f>IFERROR(VLOOKUP(H137,'[1]2023dec'!H:CA,54,FALSE),105)</f>
        <v>105</v>
      </c>
      <c r="BN137" s="29">
        <v>1</v>
      </c>
      <c r="BO137" s="30" t="e">
        <f>P137-AC137-AG137-AV137-Tableau5617192223242425262827293031333432353620383961719241822254140424344104746[[#This Row],[Provisions pour risques]]</f>
        <v>#REF!</v>
      </c>
      <c r="BP13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1792.5</v>
      </c>
      <c r="BQ13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7" s="97" t="e">
        <f t="shared" si="34"/>
        <v>#REF!</v>
      </c>
      <c r="BS137" s="34">
        <f>Tableau5617192223242425262827293031333432353620383961719241822254140424344104746[[#This Row],[Consommé global Enregistré à date (€ HT)]]-IFERROR(VLOOKUP(H137,#REF!,50,FALSE),0)</f>
        <v>0</v>
      </c>
      <c r="BT137" s="35" t="e">
        <f t="shared" si="35"/>
        <v>#REF!</v>
      </c>
      <c r="BU137" s="36">
        <f>BD137-IFERROR(VLOOKUP(H137,#REF!,47,FALSE),0)</f>
        <v>0</v>
      </c>
      <c r="BV137" s="37" t="e">
        <f>+BF137+Tableau5617192223242425262827293031333432353620383961719241822254140424344104746[[#This Row],[CA fin N-1]]-IFERROR(VLOOKUP(H137,#REF!,49,FALSE),0)-IFERROR(VLOOKUP(H137,#REF!,50,FALSE),0)</f>
        <v>#REF!</v>
      </c>
      <c r="BW137" s="33">
        <f>BG137-IFERROR(VLOOKUP(H137,#REF!,51,FALSE),0)</f>
        <v>0</v>
      </c>
      <c r="BX137" s="35" t="e">
        <f t="shared" si="36"/>
        <v>#REF!</v>
      </c>
      <c r="BY137" s="36">
        <f>BD137-IFERROR(VLOOKUP(H137,#REF!,48,FALSE),0)</f>
        <v>0</v>
      </c>
      <c r="BZ13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7" s="39" t="e">
        <f>VLOOKUP(Tableau5617192223242425262827293031333432353620383961719241822254140424344104746[[#This Row],[Num Projets]],#REF!,1,FALSE)</f>
        <v>#REF!</v>
      </c>
      <c r="CB137" s="40">
        <v>37.5</v>
      </c>
      <c r="CC137" s="40">
        <v>0</v>
      </c>
      <c r="CD13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-37.5</v>
      </c>
    </row>
    <row r="138" spans="1:82" ht="13.5" customHeight="1" x14ac:dyDescent="0.25">
      <c r="A138" s="311"/>
      <c r="B138" s="1"/>
      <c r="C138" s="2" t="e">
        <f>_xlfn.XLOOKUP(Tableau5617192223242425262827293031333432353620383961719241822254140424344104746[[#This Row],[Num Projets]],#REF!,#REF!,FALSE)</f>
        <v>#REF!</v>
      </c>
      <c r="D138" s="3" t="s">
        <v>6</v>
      </c>
      <c r="E138" s="3" t="e">
        <f>_xlfn.XLOOKUP(Tableau5617192223242425262827293031333432353620383961719241822254140424344104746[[#This Row],[Num Projets]],#REF!,#REF!,FALSE)</f>
        <v>#REF!</v>
      </c>
      <c r="F138" s="3" t="e">
        <f>_xlfn.XLOOKUP(Tableau5617192223242425262827293031333432353620383961719241822254140424344104746[[#This Row],[Num Projets]],#REF!,#REF!,"newavr",0)</f>
        <v>#REF!</v>
      </c>
      <c r="G138" s="3" t="s">
        <v>2</v>
      </c>
      <c r="H138" s="3" t="s">
        <v>266</v>
      </c>
      <c r="I13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8" s="4" t="e">
        <f>VLOOKUP(Tableau5617192223242425262827293031333432353620383961719241822254140424344104746[[#This Row],[Num Projets]],#REF!,36,FALSE)</f>
        <v>#REF!</v>
      </c>
      <c r="K138" s="5" t="s">
        <v>9</v>
      </c>
      <c r="L13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8" s="3" t="e">
        <f>SUBSTITUTE(_xlfn.XLOOKUP(Tableau5617192223242425262827293031333432353620383961719241822254140424344104746[[#This Row],[Num Projets]],#REF!,#REF!,FALSE)," ","")</f>
        <v>#REF!</v>
      </c>
      <c r="N138" s="7" t="e">
        <f>VLOOKUP(H138,#REF!,7,FALSE)</f>
        <v>#REF!</v>
      </c>
      <c r="O138" s="7" t="e">
        <f>IF(VLOOKUP(H138,#REF!,27,FALSE)=0,"",VLOOKUP(H138,#REF!,27,FALSE))</f>
        <v>#REF!</v>
      </c>
      <c r="P138" s="8" t="e">
        <f>VLOOKUP(H138,#REF!,2,FALSE)</f>
        <v>#REF!</v>
      </c>
      <c r="Q138" s="9" t="e">
        <f>Tableau5617192223242425262827293031333432353620383961719241822254140424344104746[[#This Row],[Total Budget
€]]-IFERROR(VLOOKUP(H138,#REF!,8,FALSE),0)</f>
        <v>#REF!</v>
      </c>
      <c r="R138" s="10">
        <f>AD138+AI138+Tableau5617192223242425262827293031333432353620383961719241822254140424344104746[[#This Row],[Int Commandé OT
€]]+AX138</f>
        <v>0</v>
      </c>
      <c r="S138" s="10">
        <f>AD138+AJ138+Tableau5617192223242425262827293031333432353620383961719241822254140424344104746[[#This Row],[Int Réalisé OT
€]]+AX138</f>
        <v>0</v>
      </c>
      <c r="T138" s="11" t="e">
        <f t="shared" si="38"/>
        <v>#REF!</v>
      </c>
      <c r="U13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8" s="12">
        <f>IFERROR(VLOOKUP(H138,#REF!,2,FALSE),0)</f>
        <v>0</v>
      </c>
      <c r="X138" s="13">
        <f>IFERROR(VLOOKUP(H138,#REF!,2,FALSE),0)</f>
        <v>0</v>
      </c>
      <c r="Y138" s="13">
        <f>IFERROR(VLOOKUP(H138,#REF!,3,FALSE),0)</f>
        <v>0</v>
      </c>
      <c r="Z13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73.5</v>
      </c>
      <c r="AA138" s="13">
        <f>IFERROR(VLOOKUP(H138,#REF!,18,FALSE),0)</f>
        <v>0</v>
      </c>
      <c r="AB138" s="13">
        <f>SUM(X138:Y138)-IFERROR(VLOOKUP(H138,#REF!,16,FALSE),0)-IFERROR(VLOOKUP(H138,#REF!,17,FALSE),0)</f>
        <v>0</v>
      </c>
      <c r="AC138" s="15" t="e">
        <f>VLOOKUP(Tableau5617192223242425262827293031333432353620383961719241822254140424344104746[[#This Row],[Num Projets]],#REF!,2,FALSE)</f>
        <v>#REF!</v>
      </c>
      <c r="AD138" s="15">
        <f>IFERROR(VLOOKUP(Tableau5617192223242425262827293031333432353620383961719241822254140424344104746[[#This Row],[Num Projets]],#REF!,2,FALSE),0)</f>
        <v>0</v>
      </c>
      <c r="AE138" s="8">
        <f t="shared" si="39"/>
        <v>3513.2999999999997</v>
      </c>
      <c r="AF138" s="22" t="e">
        <f t="shared" si="40"/>
        <v>#REF!</v>
      </c>
      <c r="AG138" s="8">
        <f>IFERROR(VLOOKUP(H138,#REF!,3,FALSE),0)+IFERROR(VLOOKUP(H138,#REF!,3,FALSE),0)</f>
        <v>0</v>
      </c>
      <c r="AH138" s="8">
        <f>IFERROR(VLOOKUP(Tableau5617192223242425262827293031333432353620383961719241822254140424344104746[[#This Row],[Num Projets]],#REF!,2,FALSE),0)</f>
        <v>0</v>
      </c>
      <c r="AI138" s="17">
        <f>+IFERROR(VLOOKUP(H138,#REF!,2,FALSE),0)-Tableau5617192223242425262827293031333432353620383961719241822254140424344104746[[#This Row],[Int Commandé OT
€]]</f>
        <v>0</v>
      </c>
      <c r="AJ138" s="8">
        <f>IFERROR(VLOOKUP(H138,#REF!,11,FALSE),0)-IFERROR(VLOOKUP(H138,#REF!,10,FALSE),0)+Tableau5617192223242425262827293031333432353620383961719241822254140424344104746[[#This Row],[dont FNP à date (€ HT)]]</f>
        <v>0</v>
      </c>
      <c r="AK138" s="15">
        <f t="shared" si="46"/>
        <v>0</v>
      </c>
      <c r="AL13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8" s="19">
        <f>IF(Tableau5617192223242425262827293031333432353620383961719241822254140424344104746[[#This Row],[RAF Achats M-1
€]]=0,0,AN138-AO138)</f>
        <v>0</v>
      </c>
      <c r="AN138" s="8">
        <f>IFERROR(VLOOKUP(H138,#REF!,31,FALSE),0)</f>
        <v>0</v>
      </c>
      <c r="AO138" s="8">
        <f>AI138+-IFERROR(VLOOKUP(H138,#REF!,27,FALSE),0)</f>
        <v>0</v>
      </c>
      <c r="AP138" s="20">
        <f>IFERROR(VLOOKUP(Tableau5617192223242425262827293031333432353620383961719241822254140424344104746[[#This Row],[Num Projets]],#REF!,2,FALSE),0)</f>
        <v>0</v>
      </c>
      <c r="AQ138" s="20">
        <f>_xlfn.XLOOKUP(H138,[2]Synth!$N:$N,[2]Synth!$O:$O,0,FALSE)+_xlfn.XLOOKUP(Tableau5617192223242425262827293031333432353620383961719241822254140424344104746[[#This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8" s="21">
        <v>0</v>
      </c>
      <c r="AS138" s="20">
        <f>+IFERROR(VLOOKUP(H138,#REF!,36,FALSE),0)</f>
        <v>0</v>
      </c>
      <c r="AT13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8" s="22">
        <f>IF(AG138=0,0,1-((AI138+AM138+Tableau5617192223242425262827293031333432353620383961719241822254140424344104746[[#This Row],[Int Commandé OT
€]]+Tableau5617192223242425262827293031333432353620383961719241822254140424344104746[[#This Row],[RAF Int OT
€]])/AG138))</f>
        <v>0</v>
      </c>
      <c r="AV138" s="8">
        <f>IFERROR(VLOOKUP(H138,#REF!,4,FALSE),0)+IFERROR(VLOOKUP(H138,#REF!,4,FALSE),0)</f>
        <v>0</v>
      </c>
      <c r="AW138" s="8">
        <f>IFERROR(VLOOKUP(Tableau5617192223242425262827293031333432353620383961719241822254140424344104746[[#This Row],[Num Projets]],#REF!,3,FALSE),0)</f>
        <v>0</v>
      </c>
      <c r="AX138" s="95">
        <f>IFERROR(VLOOKUP(Tableau5617192223242425262827293031333432353620383961719241822254140424344104746[[#This Row],[Num Projets]],#REF!,10,FALSE),0)</f>
        <v>0</v>
      </c>
      <c r="AY138" s="23">
        <f>Tableau5617192223242425262827293031333432353620383961719241822254140424344104746[[#This Row],[Budget Mission
 €]]/1.2-AX138</f>
        <v>0</v>
      </c>
      <c r="AZ138" s="8">
        <f>IFERROR(VLOOKUP(H138,#REF!,43,FALSE),0)</f>
        <v>0</v>
      </c>
      <c r="BA138" s="8">
        <f>AX138-IFERROR(VLOOKUP(H138,#REF!,42,FALSE),0)</f>
        <v>0</v>
      </c>
      <c r="BB138" s="47">
        <f t="shared" si="33"/>
        <v>0</v>
      </c>
      <c r="BC138" s="24">
        <f>IFERROR(VLOOKUP(H138,#REF!,47,FALSE),IFERROR(VLOOKUP(H138,#REF!,5,FALSE),0)+IFERROR(VLOOKUP(H138,#REF!,5,FALSE),0))</f>
        <v>0</v>
      </c>
      <c r="BD138" s="25">
        <f>IFERROR(VLOOKUP(H138,#REF!,2,FALSE),0)</f>
        <v>0</v>
      </c>
      <c r="BE138" s="25">
        <f>IFERROR(VLOOKUP(H138,#REF!,49,FALSE),0)</f>
        <v>0</v>
      </c>
      <c r="BF138" s="50" t="e">
        <f t="shared" si="41"/>
        <v>#REF!</v>
      </c>
      <c r="BG138" s="50">
        <f t="shared" si="42"/>
        <v>0</v>
      </c>
      <c r="BH138" s="27">
        <f>AE138+ (AI138-AJ138+AM138+Tableau5617192223242425262827293031333432353620383961719241822254140424344104746[[#This Row],[Int Commandé OT
€]]-Tableau5617192223242425262827293031333432353620383961719241822254140424344104746[[#This Row],[Int Réalisé OT
€]]+AR138) +AY138+BC138</f>
        <v>3513.2999999999997</v>
      </c>
      <c r="BI138" s="47">
        <f t="shared" si="37"/>
        <v>0</v>
      </c>
      <c r="BJ138" s="47" t="e">
        <f t="shared" si="43"/>
        <v>#REF!</v>
      </c>
      <c r="BK138" s="27" t="e">
        <f t="shared" si="44"/>
        <v>#REF!</v>
      </c>
      <c r="BL138" s="26" t="e">
        <f t="shared" si="45"/>
        <v>#REF!</v>
      </c>
      <c r="BM138" s="96">
        <f>IFERROR(VLOOKUP(H138,'[1]2023dec'!H:CA,54,FALSE),105)</f>
        <v>105</v>
      </c>
      <c r="BN138" s="29">
        <v>1</v>
      </c>
      <c r="BO138" s="30" t="e">
        <f>P138-AC138-AG138-AV138-Tableau5617192223242425262827293031333432353620383961719241822254140424344104746[[#This Row],[Provisions pour risques]]</f>
        <v>#REF!</v>
      </c>
      <c r="BP13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3513.2999999999997</v>
      </c>
      <c r="BQ13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8" s="97" t="e">
        <f t="shared" si="34"/>
        <v>#REF!</v>
      </c>
      <c r="BS138" s="34">
        <f>Tableau5617192223242425262827293031333432353620383961719241822254140424344104746[[#This Row],[Consommé global Enregistré à date (€ HT)]]-IFERROR(VLOOKUP(H138,#REF!,50,FALSE),0)</f>
        <v>0</v>
      </c>
      <c r="BT138" s="35" t="e">
        <f t="shared" si="35"/>
        <v>#REF!</v>
      </c>
      <c r="BU138" s="36">
        <f>BD138-IFERROR(VLOOKUP(H138,#REF!,47,FALSE),0)</f>
        <v>0</v>
      </c>
      <c r="BV138" s="37" t="e">
        <f>+BF138+Tableau5617192223242425262827293031333432353620383961719241822254140424344104746[[#This Row],[CA fin N-1]]-IFERROR(VLOOKUP(H138,#REF!,49,FALSE),0)-IFERROR(VLOOKUP(H138,#REF!,50,FALSE),0)</f>
        <v>#REF!</v>
      </c>
      <c r="BW138" s="33">
        <f>BG138-IFERROR(VLOOKUP(H138,#REF!,51,FALSE),0)</f>
        <v>0</v>
      </c>
      <c r="BX138" s="35" t="e">
        <f t="shared" si="36"/>
        <v>#REF!</v>
      </c>
      <c r="BY138" s="36">
        <f>BD138-IFERROR(VLOOKUP(H138,#REF!,48,FALSE),0)</f>
        <v>0</v>
      </c>
      <c r="BZ13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8" s="39" t="e">
        <f>VLOOKUP(Tableau5617192223242425262827293031333432353620383961719241822254140424344104746[[#This Row],[Num Projets]],#REF!,1,FALSE)</f>
        <v>#REF!</v>
      </c>
      <c r="CB138" s="40">
        <v>73.5</v>
      </c>
      <c r="CC138" s="40">
        <v>0</v>
      </c>
      <c r="CD13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-73.5</v>
      </c>
    </row>
    <row r="139" spans="1:82" ht="13.5" customHeight="1" x14ac:dyDescent="0.25">
      <c r="A139" s="311" t="s">
        <v>267</v>
      </c>
      <c r="B139" s="1"/>
      <c r="C139" s="2" t="e">
        <f>_xlfn.XLOOKUP(Tableau5617192223242425262827293031333432353620383961719241822254140424344104746[[#This Row],[Num Projets]],#REF!,#REF!,FALSE)</f>
        <v>#REF!</v>
      </c>
      <c r="D139" s="3" t="s">
        <v>6</v>
      </c>
      <c r="E139" s="3" t="e">
        <f>_xlfn.XLOOKUP(Tableau5617192223242425262827293031333432353620383961719241822254140424344104746[[#This Row],[Num Projets]],#REF!,#REF!,FALSE)</f>
        <v>#REF!</v>
      </c>
      <c r="F139" s="3" t="s">
        <v>52</v>
      </c>
      <c r="G139" s="3" t="s">
        <v>219</v>
      </c>
      <c r="H139" s="3" t="s">
        <v>268</v>
      </c>
      <c r="I13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39" s="4" t="e">
        <f>VLOOKUP(Tableau5617192223242425262827293031333432353620383961719241822254140424344104746[[#This Row],[Num Projets]],#REF!,36,FALSE)</f>
        <v>#REF!</v>
      </c>
      <c r="K139" s="5" t="s">
        <v>9</v>
      </c>
      <c r="L13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39" s="3" t="e">
        <f>SUBSTITUTE(_xlfn.XLOOKUP(Tableau5617192223242425262827293031333432353620383961719241822254140424344104746[[#This Row],[Num Projets]],#REF!,#REF!,FALSE)," ","")</f>
        <v>#REF!</v>
      </c>
      <c r="N139" s="7" t="e">
        <f>VLOOKUP(H139,#REF!,7,FALSE)</f>
        <v>#REF!</v>
      </c>
      <c r="O139" s="7" t="e">
        <f>IF(VLOOKUP(H139,#REF!,27,FALSE)=0,"",VLOOKUP(H139,#REF!,27,FALSE))</f>
        <v>#REF!</v>
      </c>
      <c r="P139" s="8" t="e">
        <f>VLOOKUP(H139,#REF!,2,FALSE)</f>
        <v>#REF!</v>
      </c>
      <c r="Q139" s="9" t="e">
        <f>Tableau5617192223242425262827293031333432353620383961719241822254140424344104746[[#This Row],[Total Budget
€]]-IFERROR(VLOOKUP(H139,#REF!,8,FALSE),0)</f>
        <v>#REF!</v>
      </c>
      <c r="R139" s="10">
        <f>AD139+AI139+Tableau5617192223242425262827293031333432353620383961719241822254140424344104746[[#This Row],[Int Commandé OT
€]]+AX139</f>
        <v>0</v>
      </c>
      <c r="S139" s="10">
        <f>AD139+AJ139+Tableau5617192223242425262827293031333432353620383961719241822254140424344104746[[#This Row],[Int Réalisé OT
€]]+AX139</f>
        <v>0</v>
      </c>
      <c r="T139" s="11" t="e">
        <f t="shared" si="38"/>
        <v>#REF!</v>
      </c>
      <c r="U13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3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39" s="12">
        <f>IFERROR(VLOOKUP(H139,#REF!,2,FALSE),0)</f>
        <v>0</v>
      </c>
      <c r="X139" s="13">
        <f>IFERROR(VLOOKUP(H139,#REF!,2,FALSE),0)</f>
        <v>0</v>
      </c>
      <c r="Y139" s="13">
        <f>IFERROR(VLOOKUP(H139,#REF!,3,FALSE),0)</f>
        <v>0</v>
      </c>
      <c r="Z13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66.5</v>
      </c>
      <c r="AA139" s="13">
        <f>IFERROR(VLOOKUP(H139,#REF!,18,FALSE),0)</f>
        <v>0</v>
      </c>
      <c r="AB139" s="13">
        <f>SUM(X139:Y139)-IFERROR(VLOOKUP(H139,#REF!,16,FALSE),0)-IFERROR(VLOOKUP(H139,#REF!,17,FALSE),0)</f>
        <v>0</v>
      </c>
      <c r="AC139" s="15" t="e">
        <f>VLOOKUP(Tableau5617192223242425262827293031333432353620383961719241822254140424344104746[[#This Row],[Num Projets]],#REF!,2,FALSE)</f>
        <v>#REF!</v>
      </c>
      <c r="AD139" s="15">
        <f>IFERROR(VLOOKUP(Tableau5617192223242425262827293031333432353620383961719241822254140424344104746[[#This Row],[Num Projets]],#REF!,2,FALSE),0)</f>
        <v>0</v>
      </c>
      <c r="AE139" s="8">
        <f t="shared" si="39"/>
        <v>3178.7</v>
      </c>
      <c r="AF139" s="22" t="e">
        <f t="shared" si="40"/>
        <v>#REF!</v>
      </c>
      <c r="AG139" s="8">
        <f>IFERROR(VLOOKUP(H139,#REF!,3,FALSE),0)+IFERROR(VLOOKUP(H139,#REF!,3,FALSE),0)</f>
        <v>0</v>
      </c>
      <c r="AH139" s="8">
        <f>IFERROR(VLOOKUP(Tableau5617192223242425262827293031333432353620383961719241822254140424344104746[[#This Row],[Num Projets]],#REF!,2,FALSE),0)</f>
        <v>0</v>
      </c>
      <c r="AI139" s="17">
        <f>+IFERROR(VLOOKUP(H139,#REF!,2,FALSE),0)-Tableau5617192223242425262827293031333432353620383961719241822254140424344104746[[#This Row],[Int Commandé OT
€]]</f>
        <v>0</v>
      </c>
      <c r="AJ139" s="8">
        <f>IFERROR(VLOOKUP(H139,#REF!,11,FALSE),0)-IFERROR(VLOOKUP(H139,#REF!,10,FALSE),0)+Tableau5617192223242425262827293031333432353620383961719241822254140424344104746[[#This Row],[dont FNP à date (€ HT)]]</f>
        <v>0</v>
      </c>
      <c r="AK139" s="15">
        <f t="shared" si="46"/>
        <v>0</v>
      </c>
      <c r="AL13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39" s="19">
        <f>IF(Tableau5617192223242425262827293031333432353620383961719241822254140424344104746[[#This Row],[RAF Achats M-1
€]]=0,0,AN139-AO139)</f>
        <v>0</v>
      </c>
      <c r="AN139" s="8">
        <f>IFERROR(VLOOKUP(H139,#REF!,31,FALSE),0)</f>
        <v>0</v>
      </c>
      <c r="AO139" s="8">
        <f>AI139+-IFERROR(VLOOKUP(H139,#REF!,27,FALSE),0)</f>
        <v>0</v>
      </c>
      <c r="AP139" s="20">
        <f>IFERROR(VLOOKUP(Tableau5617192223242425262827293031333432353620383961719241822254140424344104746[[#This Row],[Num Projets]],#REF!,2,FALSE),0)</f>
        <v>0</v>
      </c>
      <c r="AQ139" s="20">
        <f>_xlfn.XLOOKUP(H139,[2]Synth!$N:$N,[2]Synth!$O:$O,0,FALSE)+_xlfn.XLOOKUP(Tableau5617192223242425262827293031333432353620383961719241822254140424344104746[[#This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39" s="21">
        <v>0</v>
      </c>
      <c r="AS139" s="20">
        <f>+IFERROR(VLOOKUP(H139,#REF!,36,FALSE),0)</f>
        <v>0</v>
      </c>
      <c r="AT13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39" s="22">
        <f>IF(AG139=0,0,1-((AI139+AM139+Tableau5617192223242425262827293031333432353620383961719241822254140424344104746[[#This Row],[Int Commandé OT
€]]+Tableau5617192223242425262827293031333432353620383961719241822254140424344104746[[#This Row],[RAF Int OT
€]])/AG139))</f>
        <v>0</v>
      </c>
      <c r="AV139" s="8">
        <f>IFERROR(VLOOKUP(H139,#REF!,4,FALSE),0)+IFERROR(VLOOKUP(H139,#REF!,4,FALSE),0)</f>
        <v>0</v>
      </c>
      <c r="AW139" s="8">
        <f>IFERROR(VLOOKUP(Tableau5617192223242425262827293031333432353620383961719241822254140424344104746[[#This Row],[Num Projets]],#REF!,3,FALSE),0)</f>
        <v>0</v>
      </c>
      <c r="AX139" s="95">
        <f>IFERROR(VLOOKUP(Tableau5617192223242425262827293031333432353620383961719241822254140424344104746[[#This Row],[Num Projets]],#REF!,10,FALSE),0)</f>
        <v>0</v>
      </c>
      <c r="AY139" s="23">
        <f>Tableau5617192223242425262827293031333432353620383961719241822254140424344104746[[#This Row],[Budget Mission
 €]]/1.2-AX139</f>
        <v>0</v>
      </c>
      <c r="AZ139" s="8">
        <f>IFERROR(VLOOKUP(H139,#REF!,43,FALSE),0)</f>
        <v>0</v>
      </c>
      <c r="BA139" s="8">
        <f>AX139-IFERROR(VLOOKUP(H139,#REF!,42,FALSE),0)</f>
        <v>0</v>
      </c>
      <c r="BB139" s="47">
        <f t="shared" si="33"/>
        <v>0</v>
      </c>
      <c r="BC139" s="24">
        <f>IFERROR(VLOOKUP(H139,#REF!,47,FALSE),IFERROR(VLOOKUP(H139,#REF!,5,FALSE),0)+IFERROR(VLOOKUP(H139,#REF!,5,FALSE),0))</f>
        <v>0</v>
      </c>
      <c r="BD139" s="25">
        <f>IFERROR(VLOOKUP(H139,#REF!,2,FALSE),0)</f>
        <v>0</v>
      </c>
      <c r="BE139" s="25">
        <f>IFERROR(VLOOKUP(H139,#REF!,49,FALSE),0)</f>
        <v>0</v>
      </c>
      <c r="BF139" s="50" t="e">
        <f t="shared" si="41"/>
        <v>#REF!</v>
      </c>
      <c r="BG139" s="50">
        <f t="shared" si="42"/>
        <v>0</v>
      </c>
      <c r="BH139" s="27">
        <f>AE139+ (AI139-AJ139+AM139+Tableau5617192223242425262827293031333432353620383961719241822254140424344104746[[#This Row],[Int Commandé OT
€]]-Tableau5617192223242425262827293031333432353620383961719241822254140424344104746[[#This Row],[Int Réalisé OT
€]]+AR139) +AY139+BC139</f>
        <v>3178.7</v>
      </c>
      <c r="BI139" s="47">
        <f t="shared" si="37"/>
        <v>0</v>
      </c>
      <c r="BJ139" s="47" t="e">
        <f t="shared" si="43"/>
        <v>#REF!</v>
      </c>
      <c r="BK139" s="27" t="e">
        <f t="shared" si="44"/>
        <v>#REF!</v>
      </c>
      <c r="BL139" s="26" t="e">
        <f t="shared" si="45"/>
        <v>#REF!</v>
      </c>
      <c r="BM139" s="96">
        <f>IFERROR(VLOOKUP(H139,'[1]2023dec'!H:CA,54,FALSE),105)</f>
        <v>105</v>
      </c>
      <c r="BN139" s="29">
        <v>1</v>
      </c>
      <c r="BO139" s="30" t="e">
        <f>P139-AC139-AG139-AV139-Tableau5617192223242425262827293031333432353620383961719241822254140424344104746[[#This Row],[Provisions pour risques]]</f>
        <v>#REF!</v>
      </c>
      <c r="BP13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3178.7</v>
      </c>
      <c r="BQ13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39" s="97" t="e">
        <f t="shared" si="34"/>
        <v>#REF!</v>
      </c>
      <c r="BS139" s="34">
        <f>Tableau5617192223242425262827293031333432353620383961719241822254140424344104746[[#This Row],[Consommé global Enregistré à date (€ HT)]]-IFERROR(VLOOKUP(H139,#REF!,50,FALSE),0)</f>
        <v>0</v>
      </c>
      <c r="BT139" s="35" t="e">
        <f t="shared" si="35"/>
        <v>#REF!</v>
      </c>
      <c r="BU139" s="36">
        <f>BD139-IFERROR(VLOOKUP(H139,#REF!,47,FALSE),0)</f>
        <v>0</v>
      </c>
      <c r="BV139" s="37" t="e">
        <f>+BF139+Tableau5617192223242425262827293031333432353620383961719241822254140424344104746[[#This Row],[CA fin N-1]]-IFERROR(VLOOKUP(H139,#REF!,49,FALSE),0)-IFERROR(VLOOKUP(H139,#REF!,50,FALSE),0)</f>
        <v>#REF!</v>
      </c>
      <c r="BW139" s="33">
        <f>BG139-IFERROR(VLOOKUP(H139,#REF!,51,FALSE),0)</f>
        <v>0</v>
      </c>
      <c r="BX139" s="35" t="e">
        <f t="shared" si="36"/>
        <v>#REF!</v>
      </c>
      <c r="BY139" s="36">
        <f>BD139-IFERROR(VLOOKUP(H139,#REF!,48,FALSE),0)</f>
        <v>0</v>
      </c>
      <c r="BZ13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39" s="39" t="e">
        <f>VLOOKUP(Tableau5617192223242425262827293031333432353620383961719241822254140424344104746[[#This Row],[Num Projets]],#REF!,1,FALSE)</f>
        <v>#REF!</v>
      </c>
      <c r="CB139" s="40">
        <v>66.5</v>
      </c>
      <c r="CC139" s="40">
        <v>0</v>
      </c>
      <c r="CD13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-66.5</v>
      </c>
    </row>
    <row r="140" spans="1:82" ht="13.5" customHeight="1" x14ac:dyDescent="0.25">
      <c r="A140" s="311"/>
      <c r="B140" s="1"/>
      <c r="C140" s="2" t="e">
        <f>_xlfn.XLOOKUP(Tableau5617192223242425262827293031333432353620383961719241822254140424344104746[[#This Row],[Num Projets]],#REF!,#REF!,FALSE)</f>
        <v>#REF!</v>
      </c>
      <c r="D140" s="3" t="s">
        <v>6</v>
      </c>
      <c r="E140" s="3" t="e">
        <f>_xlfn.XLOOKUP(Tableau5617192223242425262827293031333432353620383961719241822254140424344104746[[#This Row],[Num Projets]],#REF!,#REF!,FALSE)</f>
        <v>#REF!</v>
      </c>
      <c r="F140" s="3" t="e">
        <f>_xlfn.XLOOKUP(Tableau5617192223242425262827293031333432353620383961719241822254140424344104746[[#This Row],[Num Projets]],#REF!,#REF!,"newavr",0)</f>
        <v>#REF!</v>
      </c>
      <c r="G140" s="3" t="s">
        <v>2</v>
      </c>
      <c r="H140" s="3" t="s">
        <v>269</v>
      </c>
      <c r="I14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0" s="4" t="e">
        <f>VLOOKUP(Tableau5617192223242425262827293031333432353620383961719241822254140424344104746[[#This Row],[Num Projets]],#REF!,36,FALSE)</f>
        <v>#REF!</v>
      </c>
      <c r="K140" s="5" t="s">
        <v>9</v>
      </c>
      <c r="L14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0" s="3" t="e">
        <f>SUBSTITUTE(_xlfn.XLOOKUP(Tableau5617192223242425262827293031333432353620383961719241822254140424344104746[[#This Row],[Num Projets]],#REF!,#REF!,FALSE)," ","")</f>
        <v>#REF!</v>
      </c>
      <c r="N140" s="7" t="e">
        <f>VLOOKUP(H140,#REF!,7,FALSE)</f>
        <v>#REF!</v>
      </c>
      <c r="O140" s="7" t="e">
        <f>IF(VLOOKUP(H140,#REF!,27,FALSE)=0,"",VLOOKUP(H140,#REF!,27,FALSE))</f>
        <v>#REF!</v>
      </c>
      <c r="P140" s="8" t="e">
        <f>VLOOKUP(H140,#REF!,2,FALSE)</f>
        <v>#REF!</v>
      </c>
      <c r="Q140" s="9" t="e">
        <f>Tableau5617192223242425262827293031333432353620383961719241822254140424344104746[[#This Row],[Total Budget
€]]-IFERROR(VLOOKUP(H140,#REF!,8,FALSE),0)</f>
        <v>#REF!</v>
      </c>
      <c r="R140" s="10">
        <f>AD140+AI140+Tableau5617192223242425262827293031333432353620383961719241822254140424344104746[[#This Row],[Int Commandé OT
€]]+AX140</f>
        <v>0</v>
      </c>
      <c r="S140" s="10">
        <f>AD140+AJ140+Tableau5617192223242425262827293031333432353620383961719241822254140424344104746[[#This Row],[Int Réalisé OT
€]]+AX140</f>
        <v>0</v>
      </c>
      <c r="T140" s="11" t="e">
        <f t="shared" si="38"/>
        <v>#REF!</v>
      </c>
      <c r="U14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0" s="12">
        <f>IFERROR(VLOOKUP(H140,#REF!,2,FALSE),0)</f>
        <v>0</v>
      </c>
      <c r="X140" s="13">
        <f>IFERROR(VLOOKUP(H140,#REF!,2,FALSE),0)</f>
        <v>0</v>
      </c>
      <c r="Y140" s="13">
        <f>IFERROR(VLOOKUP(H140,#REF!,3,FALSE),0)</f>
        <v>0</v>
      </c>
      <c r="Z14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140" s="13">
        <f>IFERROR(VLOOKUP(H140,#REF!,18,FALSE),0)</f>
        <v>0</v>
      </c>
      <c r="AB140" s="13">
        <f>SUM(X140:Y140)-IFERROR(VLOOKUP(H140,#REF!,16,FALSE),0)-IFERROR(VLOOKUP(H140,#REF!,17,FALSE),0)</f>
        <v>0</v>
      </c>
      <c r="AC140" s="15">
        <f>W140*BM140</f>
        <v>0</v>
      </c>
      <c r="AD140" s="15">
        <f>IFERROR(VLOOKUP(Tableau5617192223242425262827293031333432353620383961719241822254140424344104746[[#This Row],[Num Projets]],#REF!,2,FALSE),0)</f>
        <v>0</v>
      </c>
      <c r="AE140" s="8">
        <f t="shared" si="39"/>
        <v>0</v>
      </c>
      <c r="AF140" s="22">
        <f t="shared" si="40"/>
        <v>0</v>
      </c>
      <c r="AG140" s="8">
        <f>IFERROR(VLOOKUP(H140,#REF!,3,FALSE),0)+IFERROR(VLOOKUP(H140,#REF!,3,FALSE),0)</f>
        <v>0</v>
      </c>
      <c r="AH140" s="8">
        <f>IFERROR(VLOOKUP(Tableau5617192223242425262827293031333432353620383961719241822254140424344104746[[#This Row],[Num Projets]],#REF!,2,FALSE),0)</f>
        <v>0</v>
      </c>
      <c r="AI140" s="17">
        <f>+IFERROR(VLOOKUP(H140,#REF!,2,FALSE),0)-Tableau5617192223242425262827293031333432353620383961719241822254140424344104746[[#This Row],[Int Commandé OT
€]]</f>
        <v>0</v>
      </c>
      <c r="AJ140" s="8">
        <f>IFERROR(VLOOKUP(H140,#REF!,11,FALSE),0)-IFERROR(VLOOKUP(H140,#REF!,10,FALSE),0)+Tableau5617192223242425262827293031333432353620383961719241822254140424344104746[[#This Row],[dont FNP à date (€ HT)]]</f>
        <v>0</v>
      </c>
      <c r="AK140" s="15">
        <f t="shared" si="46"/>
        <v>0</v>
      </c>
      <c r="AL14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0" s="19">
        <f>IF(Tableau5617192223242425262827293031333432353620383961719241822254140424344104746[[#This Row],[RAF Achats M-1
€]]=0,0,AN140-AO140)</f>
        <v>0</v>
      </c>
      <c r="AN140" s="8">
        <f>IFERROR(VLOOKUP(H140,#REF!,31,FALSE),0)</f>
        <v>0</v>
      </c>
      <c r="AO140" s="8">
        <f>AI140+-IFERROR(VLOOKUP(H140,#REF!,27,FALSE),0)</f>
        <v>0</v>
      </c>
      <c r="AP140" s="20">
        <f>IFERROR(VLOOKUP(Tableau5617192223242425262827293031333432353620383961719241822254140424344104746[[#This Row],[Num Projets]],#REF!,2,FALSE),0)</f>
        <v>0</v>
      </c>
      <c r="AQ140" s="20">
        <f>_xlfn.XLOOKUP(H140,[2]Synth!$N:$N,[2]Synth!$O:$O,0,FALSE)+_xlfn.XLOOKUP(Tableau5617192223242425262827293031333432353620383961719241822254140424344104746[[#This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0" s="21">
        <v>0</v>
      </c>
      <c r="AS140" s="20">
        <f>+IFERROR(VLOOKUP(H140,#REF!,36,FALSE),0)</f>
        <v>0</v>
      </c>
      <c r="AT14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0" s="22">
        <f>IF(AG140=0,0,1-((AI140+AM140+Tableau5617192223242425262827293031333432353620383961719241822254140424344104746[[#This Row],[Int Commandé OT
€]]+Tableau5617192223242425262827293031333432353620383961719241822254140424344104746[[#This Row],[RAF Int OT
€]])/AG140))</f>
        <v>0</v>
      </c>
      <c r="AV140" s="8">
        <f>IFERROR(VLOOKUP(H140,#REF!,4,FALSE),0)+IFERROR(VLOOKUP(H140,#REF!,4,FALSE),0)</f>
        <v>0</v>
      </c>
      <c r="AW140" s="8">
        <f>IFERROR(VLOOKUP(Tableau5617192223242425262827293031333432353620383961719241822254140424344104746[[#This Row],[Num Projets]],#REF!,3,FALSE),0)</f>
        <v>0</v>
      </c>
      <c r="AX140" s="95">
        <f>IFERROR(VLOOKUP(Tableau5617192223242425262827293031333432353620383961719241822254140424344104746[[#This Row],[Num Projets]],#REF!,10,FALSE),0)</f>
        <v>0</v>
      </c>
      <c r="AY140" s="23">
        <f>Tableau5617192223242425262827293031333432353620383961719241822254140424344104746[[#This Row],[Budget Mission
 €]]/1.2-AX140</f>
        <v>0</v>
      </c>
      <c r="AZ140" s="8">
        <f>IFERROR(VLOOKUP(H140,#REF!,43,FALSE),0)</f>
        <v>0</v>
      </c>
      <c r="BA140" s="8">
        <f>AX140-IFERROR(VLOOKUP(H140,#REF!,42,FALSE),0)</f>
        <v>0</v>
      </c>
      <c r="BB140" s="47">
        <f t="shared" si="33"/>
        <v>0</v>
      </c>
      <c r="BC140" s="24">
        <f>IFERROR(VLOOKUP(H140,#REF!,47,FALSE),IFERROR(VLOOKUP(H140,#REF!,5,FALSE),0)+IFERROR(VLOOKUP(H140,#REF!,5,FALSE),0))</f>
        <v>0</v>
      </c>
      <c r="BD140" s="25">
        <f>IFERROR(VLOOKUP(H140,#REF!,2,FALSE),0)</f>
        <v>0</v>
      </c>
      <c r="BE140" s="25">
        <f>IFERROR(VLOOKUP(H140,#REF!,49,FALSE),0)</f>
        <v>0</v>
      </c>
      <c r="BF140" s="50" t="e">
        <f t="shared" si="41"/>
        <v>#REF!</v>
      </c>
      <c r="BG140" s="50">
        <f t="shared" si="42"/>
        <v>0</v>
      </c>
      <c r="BH140" s="27">
        <f>AE140+ (AI140-AJ140+AM140+Tableau5617192223242425262827293031333432353620383961719241822254140424344104746[[#This Row],[Int Commandé OT
€]]-Tableau5617192223242425262827293031333432353620383961719241822254140424344104746[[#This Row],[Int Réalisé OT
€]]+AR140) +AY140+BC140</f>
        <v>0</v>
      </c>
      <c r="BI140" s="47">
        <f t="shared" si="37"/>
        <v>1</v>
      </c>
      <c r="BJ140" s="47" t="e">
        <f t="shared" si="43"/>
        <v>#REF!</v>
      </c>
      <c r="BK140" s="27" t="e">
        <f t="shared" si="44"/>
        <v>#REF!</v>
      </c>
      <c r="BL140" s="26" t="e">
        <f t="shared" si="45"/>
        <v>#REF!</v>
      </c>
      <c r="BM140" s="96">
        <f>IFERROR(VLOOKUP(H140,'[1]2023dec'!H:CA,54,FALSE),105)</f>
        <v>105</v>
      </c>
      <c r="BN140" s="29">
        <v>1</v>
      </c>
      <c r="BO140" s="30" t="e">
        <f>P140-AC140-AG140-AV140-Tableau5617192223242425262827293031333432353620383961719241822254140424344104746[[#This Row],[Provisions pour risques]]</f>
        <v>#REF!</v>
      </c>
      <c r="BP14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4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40" s="97" t="e">
        <f t="shared" si="34"/>
        <v>#REF!</v>
      </c>
      <c r="BS140" s="34">
        <f>Tableau5617192223242425262827293031333432353620383961719241822254140424344104746[[#This Row],[Consommé global Enregistré à date (€ HT)]]-IFERROR(VLOOKUP(H140,#REF!,50,FALSE),0)</f>
        <v>0</v>
      </c>
      <c r="BT140" s="35" t="e">
        <f t="shared" si="35"/>
        <v>#REF!</v>
      </c>
      <c r="BU140" s="36">
        <f>BD140-IFERROR(VLOOKUP(H140,#REF!,47,FALSE),0)</f>
        <v>0</v>
      </c>
      <c r="BV140" s="37" t="e">
        <f>+BF140+Tableau5617192223242425262827293031333432353620383961719241822254140424344104746[[#This Row],[CA fin N-1]]-IFERROR(VLOOKUP(H140,#REF!,49,FALSE),0)-IFERROR(VLOOKUP(H140,#REF!,50,FALSE),0)</f>
        <v>#REF!</v>
      </c>
      <c r="BW140" s="33">
        <f>BG140-IFERROR(VLOOKUP(H140,#REF!,51,FALSE),0)</f>
        <v>0</v>
      </c>
      <c r="BX140" s="35" t="e">
        <f t="shared" si="36"/>
        <v>#REF!</v>
      </c>
      <c r="BY140" s="36">
        <f>BD140-IFERROR(VLOOKUP(H140,#REF!,48,FALSE),0)</f>
        <v>0</v>
      </c>
      <c r="BZ14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0" s="39" t="e">
        <f>VLOOKUP(Tableau5617192223242425262827293031333432353620383961719241822254140424344104746[[#This Row],[Num Projets]],#REF!,1,FALSE)</f>
        <v>#REF!</v>
      </c>
      <c r="CB140" s="40">
        <v>0</v>
      </c>
      <c r="CC140" s="40">
        <v>0</v>
      </c>
      <c r="CD14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41" spans="1:82" ht="13.5" customHeight="1" x14ac:dyDescent="0.25">
      <c r="A141" s="313" t="s">
        <v>270</v>
      </c>
      <c r="B141" s="1"/>
      <c r="C141" s="2" t="e">
        <f>_xlfn.XLOOKUP(Tableau5617192223242425262827293031333432353620383961719241822254140424344104746[[#This Row],[Num Projets]],#REF!,#REF!,FALSE)</f>
        <v>#REF!</v>
      </c>
      <c r="D141" s="3" t="s">
        <v>6</v>
      </c>
      <c r="E141" s="3" t="e">
        <f>_xlfn.XLOOKUP(Tableau5617192223242425262827293031333432353620383961719241822254140424344104746[[#This Row],[Num Projets]],#REF!,#REF!,FALSE)</f>
        <v>#REF!</v>
      </c>
      <c r="F141" s="3" t="s">
        <v>41</v>
      </c>
      <c r="G141" s="3" t="s">
        <v>2</v>
      </c>
      <c r="H141" s="3" t="s">
        <v>271</v>
      </c>
      <c r="I14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1" s="4" t="e">
        <f>VLOOKUP(Tableau5617192223242425262827293031333432353620383961719241822254140424344104746[[#This Row],[Num Projets]],#REF!,36,FALSE)</f>
        <v>#REF!</v>
      </c>
      <c r="K141" s="5" t="s">
        <v>21</v>
      </c>
      <c r="L14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1" s="3" t="e">
        <f>SUBSTITUTE(_xlfn.XLOOKUP(Tableau5617192223242425262827293031333432353620383961719241822254140424344104746[[#This Row],[Num Projets]],#REF!,#REF!,FALSE)," ","")</f>
        <v>#REF!</v>
      </c>
      <c r="N141" s="7" t="e">
        <f>VLOOKUP(H141,#REF!,7,FALSE)</f>
        <v>#REF!</v>
      </c>
      <c r="O141" s="7" t="e">
        <f>IF(VLOOKUP(H141,#REF!,27,FALSE)=0,"",VLOOKUP(H141,#REF!,27,FALSE))</f>
        <v>#REF!</v>
      </c>
      <c r="P141" s="8" t="e">
        <f>VLOOKUP(H141,#REF!,2,FALSE)</f>
        <v>#REF!</v>
      </c>
      <c r="Q141" s="9" t="e">
        <f>Tableau5617192223242425262827293031333432353620383961719241822254140424344104746[[#This Row],[Total Budget
€]]-IFERROR(VLOOKUP(H141,#REF!,8,FALSE),0)</f>
        <v>#REF!</v>
      </c>
      <c r="R141" s="10">
        <f>AD141+AI141+Tableau5617192223242425262827293031333432353620383961719241822254140424344104746[[#This Row],[Int Commandé OT
€]]+AX141</f>
        <v>0</v>
      </c>
      <c r="S141" s="10">
        <f>AD141+AJ141+Tableau5617192223242425262827293031333432353620383961719241822254140424344104746[[#This Row],[Int Réalisé OT
€]]+AX141</f>
        <v>17000</v>
      </c>
      <c r="T141" s="11" t="e">
        <f t="shared" si="38"/>
        <v>#REF!</v>
      </c>
      <c r="U14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1" s="42">
        <v>80</v>
      </c>
      <c r="X141" s="13">
        <f>IFERROR(VLOOKUP(H141,#REF!,2,FALSE),0)</f>
        <v>0</v>
      </c>
      <c r="Y141" s="13">
        <f>IFERROR(VLOOKUP(H141,#REF!,3,FALSE),0)</f>
        <v>0</v>
      </c>
      <c r="Z141" s="14">
        <v>0</v>
      </c>
      <c r="AA141" s="13">
        <f>IFERROR(VLOOKUP(H141,#REF!,18,FALSE),0)</f>
        <v>0</v>
      </c>
      <c r="AB141" s="13">
        <f>SUM(X141:Y141)-IFERROR(VLOOKUP(H141,#REF!,16,FALSE),0)-IFERROR(VLOOKUP(H141,#REF!,17,FALSE),0)</f>
        <v>0</v>
      </c>
      <c r="AC141" s="101">
        <f>Tableau5617192223242425262827293031333432353620383961719241822254140424344104746[[#This Row],[Budget Heures
Hrs]]*105</f>
        <v>8400</v>
      </c>
      <c r="AD141" s="15">
        <f>IFERROR(VLOOKUP(Tableau5617192223242425262827293031333432353620383961719241822254140424344104746[[#This Row],[Num Projets]],#REF!,2,FALSE),0)</f>
        <v>0</v>
      </c>
      <c r="AE141" s="8">
        <f t="shared" si="39"/>
        <v>0</v>
      </c>
      <c r="AF141" s="22">
        <f t="shared" si="40"/>
        <v>1</v>
      </c>
      <c r="AG141" s="41">
        <f>IFERROR(VLOOKUP(H141,#REF!,3,FALSE),0)+IFERROR(VLOOKUP(H141,#REF!,3,FALSE),0)-6383.65</f>
        <v>-6383.65</v>
      </c>
      <c r="AH141" s="8">
        <f>IFERROR(VLOOKUP(Tableau5617192223242425262827293031333432353620383961719241822254140424344104746[[#This Row],[Num Projets]],#REF!,2,FALSE),0)</f>
        <v>0</v>
      </c>
      <c r="AI141" s="17">
        <f>+IFERROR(VLOOKUP(H141,#REF!,2,FALSE),0)-Tableau5617192223242425262827293031333432353620383961719241822254140424344104746[[#This Row],[Int Commandé OT
€]]</f>
        <v>0</v>
      </c>
      <c r="AJ141" s="8">
        <f>IFERROR(VLOOKUP(H141,#REF!,11,FALSE),0)-IFERROR(VLOOKUP(H141,#REF!,10,FALSE),0)+Tableau5617192223242425262827293031333432353620383961719241822254140424344104746[[#This Row],[dont FNP à date (€ HT)]]</f>
        <v>0</v>
      </c>
      <c r="AK141" s="15">
        <f t="shared" si="46"/>
        <v>0</v>
      </c>
      <c r="AL14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1" s="19">
        <f>IF(Tableau5617192223242425262827293031333432353620383961719241822254140424344104746[[#This Row],[RAF Achats M-1
€]]=0,0,AN141-AO141)</f>
        <v>0</v>
      </c>
      <c r="AN141" s="8">
        <f>IFERROR(VLOOKUP(H141,#REF!,31,FALSE),0)</f>
        <v>0</v>
      </c>
      <c r="AO141" s="8">
        <f>AI141+-IFERROR(VLOOKUP(H141,#REF!,27,FALSE),0)</f>
        <v>0</v>
      </c>
      <c r="AP141" s="20">
        <f>IFERROR(VLOOKUP(Tableau5617192223242425262827293031333432353620383961719241822254140424344104746[[#This Row],[Num Projets]],#REF!,2,FALSE),0)</f>
        <v>0</v>
      </c>
      <c r="AQ141" s="20">
        <f>_xlfn.XLOOKUP(H141,[2]Synth!$N:$N,[2]Synth!$O:$O,0,FALSE)+_xlfn.XLOOKUP(Tableau5617192223242425262827293031333432353620383961719241822254140424344104746[[#This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17000</v>
      </c>
      <c r="AR141" s="21">
        <v>0</v>
      </c>
      <c r="AS141" s="20">
        <f>+IFERROR(VLOOKUP(H141,#REF!,36,FALSE),0)</f>
        <v>0</v>
      </c>
      <c r="AT14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1" s="22">
        <f>IF(AG141=0,0,1-((AI141+AM141+Tableau5617192223242425262827293031333432353620383961719241822254140424344104746[[#This Row],[Int Commandé OT
€]]+Tableau5617192223242425262827293031333432353620383961719241822254140424344104746[[#This Row],[RAF Int OT
€]])/AG141))</f>
        <v>1</v>
      </c>
      <c r="AV141" s="8">
        <f>IFERROR(VLOOKUP(H141,#REF!,4,FALSE),0)+IFERROR(VLOOKUP(H141,#REF!,4,FALSE),0)</f>
        <v>0</v>
      </c>
      <c r="AW141" s="8">
        <f>IFERROR(VLOOKUP(Tableau5617192223242425262827293031333432353620383961719241822254140424344104746[[#This Row],[Num Projets]],#REF!,3,FALSE),0)</f>
        <v>0</v>
      </c>
      <c r="AX141" s="95">
        <f>IFERROR(VLOOKUP(Tableau5617192223242425262827293031333432353620383961719241822254140424344104746[[#This Row],[Num Projets]],#REF!,10,FALSE),0)</f>
        <v>0</v>
      </c>
      <c r="AY141" s="23">
        <f>Tableau5617192223242425262827293031333432353620383961719241822254140424344104746[[#This Row],[Budget Mission
 €]]/1.2-AX141</f>
        <v>0</v>
      </c>
      <c r="AZ141" s="8">
        <f>IFERROR(VLOOKUP(H141,#REF!,43,FALSE),0)</f>
        <v>0</v>
      </c>
      <c r="BA141" s="8">
        <f>AX141-IFERROR(VLOOKUP(H141,#REF!,42,FALSE),0)</f>
        <v>0</v>
      </c>
      <c r="BB141" s="47">
        <f t="shared" si="33"/>
        <v>0</v>
      </c>
      <c r="BC141" s="24">
        <v>0</v>
      </c>
      <c r="BD141" s="25">
        <f>IFERROR(VLOOKUP(H141,#REF!,2,FALSE),0)</f>
        <v>0</v>
      </c>
      <c r="BE141" s="25">
        <f>IFERROR(VLOOKUP(H141,#REF!,49,FALSE),0)</f>
        <v>0</v>
      </c>
      <c r="BF141" s="50" t="e">
        <f t="shared" si="41"/>
        <v>#REF!</v>
      </c>
      <c r="BG141" s="50">
        <f t="shared" si="42"/>
        <v>17000</v>
      </c>
      <c r="BH141" s="27">
        <f>AE141+ (AI141-AJ141+AM141+Tableau5617192223242425262827293031333432353620383961719241822254140424344104746[[#This Row],[Int Commandé OT
€]]-Tableau5617192223242425262827293031333432353620383961719241822254140424344104746[[#This Row],[Int Réalisé OT
€]]+AR141) +AY141+BC141</f>
        <v>-17000</v>
      </c>
      <c r="BI141" s="47">
        <f t="shared" si="37"/>
        <v>1</v>
      </c>
      <c r="BJ141" s="47" t="e">
        <f t="shared" si="43"/>
        <v>#REF!</v>
      </c>
      <c r="BK141" s="27" t="e">
        <f t="shared" si="44"/>
        <v>#REF!</v>
      </c>
      <c r="BL141" s="26" t="e">
        <f t="shared" si="45"/>
        <v>#REF!</v>
      </c>
      <c r="BM141" s="96">
        <f>IFERROR(VLOOKUP(H141,'[1]2023dec'!H:CA,54,FALSE),105)</f>
        <v>105</v>
      </c>
      <c r="BN141" s="29">
        <v>1</v>
      </c>
      <c r="BO141" s="30" t="e">
        <f>P141-AC141-AG141-AV141-Tableau5617192223242425262827293031333432353620383961719241822254140424344104746[[#This Row],[Provisions pour risques]]</f>
        <v>#REF!</v>
      </c>
      <c r="BP14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4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41" s="97" t="e">
        <f t="shared" si="34"/>
        <v>#REF!</v>
      </c>
      <c r="BS141" s="34">
        <f>Tableau5617192223242425262827293031333432353620383961719241822254140424344104746[[#This Row],[Consommé global Enregistré à date (€ HT)]]-IFERROR(VLOOKUP(H141,#REF!,50,FALSE),0)</f>
        <v>17000</v>
      </c>
      <c r="BT141" s="35" t="e">
        <f t="shared" si="35"/>
        <v>#REF!</v>
      </c>
      <c r="BU141" s="36">
        <f>BD141-IFERROR(VLOOKUP(H141,#REF!,47,FALSE),0)</f>
        <v>0</v>
      </c>
      <c r="BV141" s="37" t="e">
        <f>+BF141+Tableau5617192223242425262827293031333432353620383961719241822254140424344104746[[#This Row],[CA fin N-1]]-IFERROR(VLOOKUP(H141,#REF!,49,FALSE),0)-IFERROR(VLOOKUP(H141,#REF!,50,FALSE),0)</f>
        <v>#REF!</v>
      </c>
      <c r="BW141" s="33">
        <f>BG141-IFERROR(VLOOKUP(H141,#REF!,51,FALSE),0)</f>
        <v>17000</v>
      </c>
      <c r="BX141" s="35" t="e">
        <f t="shared" si="36"/>
        <v>#REF!</v>
      </c>
      <c r="BY141" s="36">
        <f>BD141-IFERROR(VLOOKUP(H141,#REF!,48,FALSE),0)</f>
        <v>0</v>
      </c>
      <c r="BZ14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1" s="39" t="e">
        <f>VLOOKUP(Tableau5617192223242425262827293031333432353620383961719241822254140424344104746[[#This Row],[Num Projets]],#REF!,1,FALSE)</f>
        <v>#REF!</v>
      </c>
      <c r="CB141" s="40">
        <v>79.5</v>
      </c>
      <c r="CC141" s="40">
        <v>0</v>
      </c>
      <c r="CD14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-79.5</v>
      </c>
    </row>
    <row r="142" spans="1:82" ht="13.5" customHeight="1" x14ac:dyDescent="0.25">
      <c r="A142" s="311" t="s">
        <v>272</v>
      </c>
      <c r="B142" s="1"/>
      <c r="C142" s="2" t="e">
        <f>_xlfn.XLOOKUP(Tableau5617192223242425262827293031333432353620383961719241822254140424344104746[[#This Row],[Num Projets]],#REF!,#REF!,FALSE)</f>
        <v>#REF!</v>
      </c>
      <c r="D142" s="3" t="s">
        <v>6</v>
      </c>
      <c r="E142" s="3" t="e">
        <f>_xlfn.XLOOKUP(Tableau5617192223242425262827293031333432353620383961719241822254140424344104746[[#This Row],[Num Projets]],#REF!,#REF!,FALSE)</f>
        <v>#REF!</v>
      </c>
      <c r="F142" s="3" t="s">
        <v>165</v>
      </c>
      <c r="G142" s="3" t="s">
        <v>2</v>
      </c>
      <c r="H142" s="3" t="s">
        <v>273</v>
      </c>
      <c r="I14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2" s="4" t="e">
        <f>VLOOKUP(Tableau5617192223242425262827293031333432353620383961719241822254140424344104746[[#This Row],[Num Projets]],#REF!,36,FALSE)</f>
        <v>#REF!</v>
      </c>
      <c r="K142" s="5" t="s">
        <v>9</v>
      </c>
      <c r="L14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2" s="3" t="e">
        <f>SUBSTITUTE(_xlfn.XLOOKUP(Tableau5617192223242425262827293031333432353620383961719241822254140424344104746[[#This Row],[Num Projets]],#REF!,#REF!,FALSE)," ","")</f>
        <v>#REF!</v>
      </c>
      <c r="N142" s="7" t="e">
        <f>VLOOKUP(H142,#REF!,7,FALSE)</f>
        <v>#REF!</v>
      </c>
      <c r="O142" s="7">
        <v>45776</v>
      </c>
      <c r="P142" s="8" t="e">
        <f>VLOOKUP(H142,#REF!,2,FALSE)</f>
        <v>#REF!</v>
      </c>
      <c r="Q142" s="9" t="e">
        <f>Tableau5617192223242425262827293031333432353620383961719241822254140424344104746[[#This Row],[Total Budget
€]]-IFERROR(VLOOKUP(H142,#REF!,8,FALSE),0)</f>
        <v>#REF!</v>
      </c>
      <c r="R142" s="10">
        <f>AD142+AI142+Tableau5617192223242425262827293031333432353620383961719241822254140424344104746[[#This Row],[Int Commandé OT
€]]+AX142</f>
        <v>0</v>
      </c>
      <c r="S142" s="10">
        <f>AD142+AJ142+Tableau5617192223242425262827293031333432353620383961719241822254140424344104746[[#This Row],[Int Réalisé OT
€]]+AX142</f>
        <v>0</v>
      </c>
      <c r="T142" s="11" t="e">
        <f t="shared" si="38"/>
        <v>#REF!</v>
      </c>
      <c r="U14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2" s="42" t="e">
        <f>Tableau5617192223242425262827293031333432353620383961719241822254140424344104746[[#This Row],[Budget Heures Valorisées
€]]/105</f>
        <v>#REF!</v>
      </c>
      <c r="X142" s="13">
        <f>IFERROR(VLOOKUP(H142,#REF!,2,FALSE),0)</f>
        <v>0</v>
      </c>
      <c r="Y142" s="13">
        <f>IFERROR(VLOOKUP(H142,#REF!,3,FALSE),0)</f>
        <v>0</v>
      </c>
      <c r="Z14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46</v>
      </c>
      <c r="AA142" s="13">
        <f>IFERROR(VLOOKUP(H142,#REF!,18,FALSE),0)</f>
        <v>0</v>
      </c>
      <c r="AB142" s="13">
        <f>SUM(X142:Y142)-IFERROR(VLOOKUP(H142,#REF!,16,FALSE),0)-IFERROR(VLOOKUP(H142,#REF!,17,FALSE),0)</f>
        <v>0</v>
      </c>
      <c r="AC142" s="15" t="e">
        <f>Tableau5617192223242425262827293031333432353620383961719241822254140424344104746[[#This Row],[Total Budget
€]]</f>
        <v>#REF!</v>
      </c>
      <c r="AD142" s="15">
        <f>IFERROR(VLOOKUP(Tableau5617192223242425262827293031333432353620383961719241822254140424344104746[[#This Row],[Num Projets]],#REF!,2,FALSE),0)</f>
        <v>0</v>
      </c>
      <c r="AE142" s="8">
        <f t="shared" si="39"/>
        <v>2198.7999999999997</v>
      </c>
      <c r="AF142" s="22" t="e">
        <f t="shared" si="40"/>
        <v>#REF!</v>
      </c>
      <c r="AG142" s="8">
        <f>IFERROR(VLOOKUP(H142,#REF!,3,FALSE),0)+IFERROR(VLOOKUP(H142,#REF!,3,FALSE),0)</f>
        <v>0</v>
      </c>
      <c r="AH142" s="8">
        <f>IFERROR(VLOOKUP(Tableau5617192223242425262827293031333432353620383961719241822254140424344104746[[#This Row],[Num Projets]],#REF!,2,FALSE),0)</f>
        <v>0</v>
      </c>
      <c r="AI142" s="17">
        <f>+IFERROR(VLOOKUP(H142,#REF!,2,FALSE),0)-Tableau5617192223242425262827293031333432353620383961719241822254140424344104746[[#This Row],[Int Commandé OT
€]]</f>
        <v>0</v>
      </c>
      <c r="AJ142" s="8">
        <f>IFERROR(VLOOKUP(H142,#REF!,11,FALSE),0)-IFERROR(VLOOKUP(H142,#REF!,10,FALSE),0)+Tableau5617192223242425262827293031333432353620383961719241822254140424344104746[[#This Row],[dont FNP à date (€ HT)]]</f>
        <v>0</v>
      </c>
      <c r="AK142" s="15">
        <f t="shared" si="46"/>
        <v>0</v>
      </c>
      <c r="AL14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2" s="19">
        <f>IF(Tableau5617192223242425262827293031333432353620383961719241822254140424344104746[[#This Row],[RAF Achats M-1
€]]=0,0,AN142-AO142)</f>
        <v>0</v>
      </c>
      <c r="AN142" s="8">
        <f>IFERROR(VLOOKUP(H142,#REF!,31,FALSE),0)</f>
        <v>0</v>
      </c>
      <c r="AO142" s="8">
        <f>AI142+-IFERROR(VLOOKUP(H142,#REF!,27,FALSE),0)</f>
        <v>0</v>
      </c>
      <c r="AP142" s="20">
        <f>IFERROR(VLOOKUP(Tableau5617192223242425262827293031333432353620383961719241822254140424344104746[[#This Row],[Num Projets]],#REF!,2,FALSE),0)</f>
        <v>0</v>
      </c>
      <c r="AQ142" s="20">
        <f>_xlfn.XLOOKUP(H142,[2]Synth!$N:$N,[2]Synth!$O:$O,0,FALSE)+_xlfn.XLOOKUP(Tableau5617192223242425262827293031333432353620383961719241822254140424344104746[[#This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2" s="21">
        <v>0</v>
      </c>
      <c r="AS142" s="20">
        <f>+IFERROR(VLOOKUP(H142,#REF!,36,FALSE),0)</f>
        <v>0</v>
      </c>
      <c r="AT14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2" s="22">
        <f>IF(AG142=0,0,1-((AI142+AM142+Tableau5617192223242425262827293031333432353620383961719241822254140424344104746[[#This Row],[Int Commandé OT
€]]+Tableau5617192223242425262827293031333432353620383961719241822254140424344104746[[#This Row],[RAF Int OT
€]])/AG142))</f>
        <v>0</v>
      </c>
      <c r="AV142" s="8">
        <f>IFERROR(VLOOKUP(H142,#REF!,4,FALSE),0)+IFERROR(VLOOKUP(H142,#REF!,4,FALSE),0)</f>
        <v>0</v>
      </c>
      <c r="AW142" s="8">
        <f>IFERROR(VLOOKUP(Tableau5617192223242425262827293031333432353620383961719241822254140424344104746[[#This Row],[Num Projets]],#REF!,3,FALSE),0)</f>
        <v>0</v>
      </c>
      <c r="AX142" s="95">
        <f>IFERROR(VLOOKUP(Tableau5617192223242425262827293031333432353620383961719241822254140424344104746[[#This Row],[Num Projets]],#REF!,10,FALSE),0)</f>
        <v>0</v>
      </c>
      <c r="AY142" s="23">
        <f>Tableau5617192223242425262827293031333432353620383961719241822254140424344104746[[#This Row],[Budget Mission
 €]]/1.2-AX142</f>
        <v>0</v>
      </c>
      <c r="AZ142" s="8">
        <f>IFERROR(VLOOKUP(H142,#REF!,43,FALSE),0)</f>
        <v>0</v>
      </c>
      <c r="BA142" s="8">
        <f>AX142-IFERROR(VLOOKUP(H142,#REF!,42,FALSE),0)</f>
        <v>0</v>
      </c>
      <c r="BB142" s="47">
        <f t="shared" si="33"/>
        <v>0</v>
      </c>
      <c r="BC142" s="24">
        <f>IFERROR(VLOOKUP(H142,#REF!,47,FALSE),IFERROR(VLOOKUP(H142,#REF!,5,FALSE),0)+IFERROR(VLOOKUP(H142,#REF!,5,FALSE),0))</f>
        <v>0</v>
      </c>
      <c r="BD142" s="25">
        <f>IFERROR(VLOOKUP(H142,#REF!,2,FALSE),0)</f>
        <v>0</v>
      </c>
      <c r="BE142" s="25">
        <f>IFERROR(VLOOKUP(H142,#REF!,49,FALSE),0)</f>
        <v>0</v>
      </c>
      <c r="BF142" s="50" t="e">
        <f t="shared" si="41"/>
        <v>#REF!</v>
      </c>
      <c r="BG142" s="50">
        <f t="shared" si="42"/>
        <v>0</v>
      </c>
      <c r="BH142" s="27">
        <f>AE142+ (AI142-AJ142+AM142+Tableau5617192223242425262827293031333432353620383961719241822254140424344104746[[#This Row],[Int Commandé OT
€]]-Tableau5617192223242425262827293031333432353620383961719241822254140424344104746[[#This Row],[Int Réalisé OT
€]]+AR142) +AY142+BC142</f>
        <v>2198.7999999999997</v>
      </c>
      <c r="BI142" s="47">
        <f t="shared" si="37"/>
        <v>0</v>
      </c>
      <c r="BJ142" s="47" t="e">
        <f t="shared" si="43"/>
        <v>#REF!</v>
      </c>
      <c r="BK142" s="27" t="e">
        <f t="shared" si="44"/>
        <v>#REF!</v>
      </c>
      <c r="BL142" s="26" t="e">
        <f t="shared" si="45"/>
        <v>#REF!</v>
      </c>
      <c r="BM142" s="96">
        <f>IFERROR(VLOOKUP(H142,'[1]2023dec'!H:CA,54,FALSE),105)</f>
        <v>105</v>
      </c>
      <c r="BN142" s="29">
        <v>1</v>
      </c>
      <c r="BO142" s="30" t="e">
        <f>P142-AC142-AG142-AV142-Tableau5617192223242425262827293031333432353620383961719241822254140424344104746[[#This Row],[Provisions pour risques]]</f>
        <v>#REF!</v>
      </c>
      <c r="BP14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2198.7999999999997</v>
      </c>
      <c r="BQ14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42" s="97" t="e">
        <f t="shared" si="34"/>
        <v>#REF!</v>
      </c>
      <c r="BS142" s="34">
        <f>Tableau5617192223242425262827293031333432353620383961719241822254140424344104746[[#This Row],[Consommé global Enregistré à date (€ HT)]]-IFERROR(VLOOKUP(H142,#REF!,50,FALSE),0)</f>
        <v>0</v>
      </c>
      <c r="BT142" s="35" t="e">
        <f t="shared" si="35"/>
        <v>#REF!</v>
      </c>
      <c r="BU142" s="36">
        <f>BD142-IFERROR(VLOOKUP(H142,#REF!,47,FALSE),0)</f>
        <v>0</v>
      </c>
      <c r="BV142" s="37" t="e">
        <f>+BF142+Tableau5617192223242425262827293031333432353620383961719241822254140424344104746[[#This Row],[CA fin N-1]]-IFERROR(VLOOKUP(H142,#REF!,49,FALSE),0)-IFERROR(VLOOKUP(H142,#REF!,50,FALSE),0)</f>
        <v>#REF!</v>
      </c>
      <c r="BW142" s="33">
        <f>BG142-IFERROR(VLOOKUP(H142,#REF!,51,FALSE),0)</f>
        <v>0</v>
      </c>
      <c r="BX142" s="35" t="e">
        <f t="shared" si="36"/>
        <v>#REF!</v>
      </c>
      <c r="BY142" s="36">
        <f>BD142-IFERROR(VLOOKUP(H142,#REF!,48,FALSE),0)</f>
        <v>0</v>
      </c>
      <c r="BZ14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2" s="39" t="e">
        <f>VLOOKUP(Tableau5617192223242425262827293031333432353620383961719241822254140424344104746[[#This Row],[Num Projets]],#REF!,1,FALSE)</f>
        <v>#REF!</v>
      </c>
      <c r="CB142" s="40">
        <v>46</v>
      </c>
      <c r="CC142" s="40">
        <v>0</v>
      </c>
      <c r="CD14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-46</v>
      </c>
    </row>
    <row r="143" spans="1:82" ht="13.5" customHeight="1" x14ac:dyDescent="0.25">
      <c r="A143" s="311" t="s">
        <v>274</v>
      </c>
      <c r="B143" s="1"/>
      <c r="C143" s="2" t="e">
        <f>_xlfn.XLOOKUP(Tableau5617192223242425262827293031333432353620383961719241822254140424344104746[[#This Row],[Num Projets]],#REF!,#REF!,FALSE)</f>
        <v>#REF!</v>
      </c>
      <c r="D143" s="3" t="s">
        <v>1</v>
      </c>
      <c r="E143" s="3" t="e">
        <f>_xlfn.XLOOKUP(Tableau5617192223242425262827293031333432353620383961719241822254140424344104746[[#This Row],[Num Projets]],#REF!,#REF!,FALSE)</f>
        <v>#REF!</v>
      </c>
      <c r="F143" s="3" t="s">
        <v>52</v>
      </c>
      <c r="G143" s="3" t="s">
        <v>2</v>
      </c>
      <c r="H143" s="3" t="s">
        <v>275</v>
      </c>
      <c r="I14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3" s="4" t="e">
        <f>VLOOKUP(Tableau5617192223242425262827293031333432353620383961719241822254140424344104746[[#This Row],[Num Projets]],#REF!,36,FALSE)</f>
        <v>#REF!</v>
      </c>
      <c r="K143" s="5" t="s">
        <v>276</v>
      </c>
      <c r="L14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3" s="3" t="e">
        <f>SUBSTITUTE(_xlfn.XLOOKUP(Tableau5617192223242425262827293031333432353620383961719241822254140424344104746[[#This Row],[Num Projets]],#REF!,#REF!,FALSE)," ","")</f>
        <v>#REF!</v>
      </c>
      <c r="N143" s="7" t="e">
        <f>VLOOKUP(H143,#REF!,7,FALSE)</f>
        <v>#REF!</v>
      </c>
      <c r="O143" s="7">
        <v>45777</v>
      </c>
      <c r="P143" s="8" t="e">
        <f>VLOOKUP(H143,#REF!,2,FALSE)</f>
        <v>#REF!</v>
      </c>
      <c r="Q143" s="9" t="e">
        <f>Tableau5617192223242425262827293031333432353620383961719241822254140424344104746[[#This Row],[Total Budget
€]]-IFERROR(VLOOKUP(H143,#REF!,8,FALSE),0)</f>
        <v>#REF!</v>
      </c>
      <c r="R143" s="10">
        <f>AD143+AI143+Tableau5617192223242425262827293031333432353620383961719241822254140424344104746[[#This Row],[Int Commandé OT
€]]+AX143</f>
        <v>0</v>
      </c>
      <c r="S143" s="10">
        <f>AD143+AJ143+Tableau5617192223242425262827293031333432353620383961719241822254140424344104746[[#This Row],[Int Réalisé OT
€]]+AX143</f>
        <v>8070</v>
      </c>
      <c r="T143" s="11" t="e">
        <f t="shared" si="38"/>
        <v>#REF!</v>
      </c>
      <c r="U14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3" s="12">
        <f>IFERROR(VLOOKUP(H143,#REF!,2,FALSE),0)</f>
        <v>0</v>
      </c>
      <c r="X143" s="13">
        <f>IFERROR(VLOOKUP(H143,#REF!,2,FALSE),0)</f>
        <v>0</v>
      </c>
      <c r="Y143" s="13">
        <f>IFERROR(VLOOKUP(H143,#REF!,3,FALSE),0)</f>
        <v>0</v>
      </c>
      <c r="Z14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169</v>
      </c>
      <c r="AA143" s="13">
        <f>IFERROR(VLOOKUP(H143,#REF!,18,FALSE),0)</f>
        <v>0</v>
      </c>
      <c r="AB143" s="13">
        <f>SUM(X143:Y143)-IFERROR(VLOOKUP(H143,#REF!,16,FALSE),0)-IFERROR(VLOOKUP(H143,#REF!,17,FALSE),0)</f>
        <v>0</v>
      </c>
      <c r="AC143" s="15" t="e">
        <f>VLOOKUP(Tableau5617192223242425262827293031333432353620383961719241822254140424344104746[[#This Row],[Num Projets]],#REF!,2,FALSE)</f>
        <v>#REF!</v>
      </c>
      <c r="AD143" s="15">
        <f>IFERROR(VLOOKUP(Tableau5617192223242425262827293031333432353620383961719241822254140424344104746[[#This Row],[Num Projets]],#REF!,2,FALSE),0)</f>
        <v>0</v>
      </c>
      <c r="AE143" s="8">
        <f t="shared" si="39"/>
        <v>8078.2</v>
      </c>
      <c r="AF143" s="22" t="e">
        <f t="shared" si="40"/>
        <v>#REF!</v>
      </c>
      <c r="AG143" s="8">
        <f>IFERROR(VLOOKUP(H143,#REF!,3,FALSE),0)+IFERROR(VLOOKUP(H143,#REF!,3,FALSE),0)</f>
        <v>0</v>
      </c>
      <c r="AH143" s="8">
        <f>IFERROR(VLOOKUP(Tableau5617192223242425262827293031333432353620383961719241822254140424344104746[[#This Row],[Num Projets]],#REF!,2,FALSE),0)</f>
        <v>0</v>
      </c>
      <c r="AI143" s="17">
        <f>+IFERROR(VLOOKUP(H143,#REF!,2,FALSE),0)-Tableau5617192223242425262827293031333432353620383961719241822254140424344104746[[#This Row],[Int Commandé OT
€]]</f>
        <v>0</v>
      </c>
      <c r="AJ143" s="8">
        <f>IFERROR(VLOOKUP(H143,#REF!,11,FALSE),0)-IFERROR(VLOOKUP(H143,#REF!,10,FALSE),0)+Tableau5617192223242425262827293031333432353620383961719241822254140424344104746[[#This Row],[dont FNP à date (€ HT)]]</f>
        <v>0</v>
      </c>
      <c r="AK143" s="15">
        <f t="shared" si="46"/>
        <v>0</v>
      </c>
      <c r="AL14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3" s="19">
        <f>IF(Tableau5617192223242425262827293031333432353620383961719241822254140424344104746[[#This Row],[RAF Achats M-1
€]]=0,0,AN143-AO143)</f>
        <v>0</v>
      </c>
      <c r="AN143" s="8">
        <f>IFERROR(VLOOKUP(H143,#REF!,31,FALSE),0)</f>
        <v>0</v>
      </c>
      <c r="AO143" s="8">
        <f>AI143+-IFERROR(VLOOKUP(H143,#REF!,27,FALSE),0)</f>
        <v>0</v>
      </c>
      <c r="AP143" s="20">
        <f>IFERROR(VLOOKUP(Tableau5617192223242425262827293031333432353620383961719241822254140424344104746[[#This Row],[Num Projets]],#REF!,2,FALSE),0)</f>
        <v>0</v>
      </c>
      <c r="AQ143" s="20">
        <f>_xlfn.XLOOKUP(H143,[2]Synth!$N:$N,[2]Synth!$O:$O,0,FALSE)+_xlfn.XLOOKUP(Tableau5617192223242425262827293031333432353620383961719241822254140424344104746[[#This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8070</v>
      </c>
      <c r="AR143" s="21">
        <v>0</v>
      </c>
      <c r="AS143" s="20">
        <f>+IFERROR(VLOOKUP(H143,#REF!,36,FALSE),0)</f>
        <v>0</v>
      </c>
      <c r="AT14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3" s="22">
        <f>IF(AG143=0,0,1-((AI143+AM143+Tableau5617192223242425262827293031333432353620383961719241822254140424344104746[[#This Row],[Int Commandé OT
€]]+Tableau5617192223242425262827293031333432353620383961719241822254140424344104746[[#This Row],[RAF Int OT
€]])/AG143))</f>
        <v>0</v>
      </c>
      <c r="AV143" s="8">
        <f>IFERROR(VLOOKUP(H143,#REF!,4,FALSE),0)+IFERROR(VLOOKUP(H143,#REF!,4,FALSE),0)</f>
        <v>0</v>
      </c>
      <c r="AW143" s="8">
        <f>IFERROR(VLOOKUP(Tableau5617192223242425262827293031333432353620383961719241822254140424344104746[[#This Row],[Num Projets]],#REF!,3,FALSE),0)</f>
        <v>0</v>
      </c>
      <c r="AX143" s="95">
        <f>IFERROR(VLOOKUP(Tableau5617192223242425262827293031333432353620383961719241822254140424344104746[[#This Row],[Num Projets]],#REF!,10,FALSE),0)</f>
        <v>0</v>
      </c>
      <c r="AY143" s="23">
        <f>Tableau5617192223242425262827293031333432353620383961719241822254140424344104746[[#This Row],[Budget Mission
 €]]/1.2-AX143</f>
        <v>0</v>
      </c>
      <c r="AZ143" s="8">
        <f>IFERROR(VLOOKUP(H143,#REF!,43,FALSE),0)</f>
        <v>0</v>
      </c>
      <c r="BA143" s="8">
        <f>AX143-IFERROR(VLOOKUP(H143,#REF!,42,FALSE),0)</f>
        <v>0</v>
      </c>
      <c r="BB143" s="47">
        <f t="shared" si="33"/>
        <v>0</v>
      </c>
      <c r="BC143" s="24">
        <f>IFERROR(VLOOKUP(H143,#REF!,47,FALSE),IFERROR(VLOOKUP(H143,#REF!,5,FALSE),0)+IFERROR(VLOOKUP(H143,#REF!,5,FALSE),0))</f>
        <v>0</v>
      </c>
      <c r="BD143" s="25">
        <f>IFERROR(VLOOKUP(H143,#REF!,2,FALSE),0)</f>
        <v>0</v>
      </c>
      <c r="BE143" s="25">
        <f>IFERROR(VLOOKUP(H143,#REF!,49,FALSE),0)</f>
        <v>0</v>
      </c>
      <c r="BF143" s="50" t="e">
        <f t="shared" si="41"/>
        <v>#REF!</v>
      </c>
      <c r="BG143" s="50">
        <f t="shared" si="42"/>
        <v>8070</v>
      </c>
      <c r="BH143" s="27">
        <f>AE143+ (AI143-AJ143+AM143+Tableau5617192223242425262827293031333432353620383961719241822254140424344104746[[#This Row],[Int Commandé OT
€]]-Tableau5617192223242425262827293031333432353620383961719241822254140424344104746[[#This Row],[Int Réalisé OT
€]]+AR143) +AY143+BC143</f>
        <v>8.1999999999998181</v>
      </c>
      <c r="BI143" s="47">
        <f t="shared" si="37"/>
        <v>0.9989849223836994</v>
      </c>
      <c r="BJ143" s="47" t="e">
        <f t="shared" si="43"/>
        <v>#REF!</v>
      </c>
      <c r="BK143" s="27" t="e">
        <f t="shared" si="44"/>
        <v>#REF!</v>
      </c>
      <c r="BL143" s="26" t="e">
        <f t="shared" si="45"/>
        <v>#REF!</v>
      </c>
      <c r="BM143" s="96">
        <f>IFERROR(VLOOKUP(H143,'[1]2023dec'!H:CA,54,FALSE),105)</f>
        <v>105</v>
      </c>
      <c r="BN143" s="29">
        <v>1</v>
      </c>
      <c r="BO143" s="30" t="e">
        <f>P143-AC143-AG143-AV143-Tableau5617192223242425262827293031333432353620383961719241822254140424344104746[[#This Row],[Provisions pour risques]]</f>
        <v>#REF!</v>
      </c>
      <c r="BP14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8078.2</v>
      </c>
      <c r="BQ14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0.9989849223836994</v>
      </c>
      <c r="BR143" s="97" t="e">
        <f t="shared" si="34"/>
        <v>#REF!</v>
      </c>
      <c r="BS143" s="34">
        <f>Tableau5617192223242425262827293031333432353620383961719241822254140424344104746[[#This Row],[Consommé global Enregistré à date (€ HT)]]-IFERROR(VLOOKUP(H143,#REF!,50,FALSE),0)</f>
        <v>8070</v>
      </c>
      <c r="BT143" s="35" t="e">
        <f t="shared" si="35"/>
        <v>#REF!</v>
      </c>
      <c r="BU143" s="36">
        <f>BD143-IFERROR(VLOOKUP(H143,#REF!,47,FALSE),0)</f>
        <v>0</v>
      </c>
      <c r="BV143" s="37" t="e">
        <f>+BF143+Tableau5617192223242425262827293031333432353620383961719241822254140424344104746[[#This Row],[CA fin N-1]]-IFERROR(VLOOKUP(H143,#REF!,49,FALSE),0)-IFERROR(VLOOKUP(H143,#REF!,50,FALSE),0)</f>
        <v>#REF!</v>
      </c>
      <c r="BW143" s="33">
        <f>BG143-IFERROR(VLOOKUP(H143,#REF!,51,FALSE),0)</f>
        <v>8070</v>
      </c>
      <c r="BX143" s="35" t="e">
        <f t="shared" si="36"/>
        <v>#REF!</v>
      </c>
      <c r="BY143" s="36">
        <f>BD143-IFERROR(VLOOKUP(H143,#REF!,48,FALSE),0)</f>
        <v>0</v>
      </c>
      <c r="BZ14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3" s="39" t="e">
        <f>VLOOKUP(Tableau5617192223242425262827293031333432353620383961719241822254140424344104746[[#This Row],[Num Projets]],#REF!,1,FALSE)</f>
        <v>#REF!</v>
      </c>
      <c r="CB143" s="40">
        <v>169</v>
      </c>
      <c r="CC143" s="40">
        <v>0</v>
      </c>
      <c r="CD14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-169</v>
      </c>
    </row>
    <row r="144" spans="1:82" ht="13.5" customHeight="1" x14ac:dyDescent="0.25">
      <c r="A144" s="311"/>
      <c r="B144" s="1"/>
      <c r="C144" s="2" t="e">
        <f>_xlfn.XLOOKUP(Tableau5617192223242425262827293031333432353620383961719241822254140424344104746[[#This Row],[Num Projets]],#REF!,#REF!,FALSE)</f>
        <v>#REF!</v>
      </c>
      <c r="D144" s="3" t="s">
        <v>1</v>
      </c>
      <c r="E144" s="3" t="e">
        <f>_xlfn.XLOOKUP(Tableau5617192223242425262827293031333432353620383961719241822254140424344104746[[#This Row],[Num Projets]],#REF!,#REF!,FALSE)</f>
        <v>#REF!</v>
      </c>
      <c r="F144" s="3" t="s">
        <v>52</v>
      </c>
      <c r="G144" s="3" t="s">
        <v>2</v>
      </c>
      <c r="H144" s="3" t="s">
        <v>277</v>
      </c>
      <c r="I14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4" s="4" t="e">
        <f>VLOOKUP(Tableau5617192223242425262827293031333432353620383961719241822254140424344104746[[#This Row],[Num Projets]],#REF!,36,FALSE)</f>
        <v>#REF!</v>
      </c>
      <c r="K144" s="5" t="s">
        <v>4</v>
      </c>
      <c r="L14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4" s="3" t="e">
        <f>SUBSTITUTE(_xlfn.XLOOKUP(Tableau5617192223242425262827293031333432353620383961719241822254140424344104746[[#This Row],[Num Projets]],#REF!,#REF!,FALSE)," ","")</f>
        <v>#REF!</v>
      </c>
      <c r="N144" s="7" t="e">
        <f>VLOOKUP(H144,#REF!,7,FALSE)</f>
        <v>#REF!</v>
      </c>
      <c r="O144" s="7" t="e">
        <f>IF(VLOOKUP(H144,#REF!,27,FALSE)=0,"",VLOOKUP(H144,#REF!,27,FALSE))</f>
        <v>#REF!</v>
      </c>
      <c r="P144" s="8" t="e">
        <f>VLOOKUP(H144,#REF!,2,FALSE)</f>
        <v>#REF!</v>
      </c>
      <c r="Q144" s="9" t="e">
        <f>Tableau5617192223242425262827293031333432353620383961719241822254140424344104746[[#This Row],[Total Budget
€]]-IFERROR(VLOOKUP(H144,#REF!,8,FALSE),0)</f>
        <v>#REF!</v>
      </c>
      <c r="R144" s="10">
        <f>AD144+AI144+Tableau5617192223242425262827293031333432353620383961719241822254140424344104746[[#This Row],[Int Commandé OT
€]]+AX144</f>
        <v>0</v>
      </c>
      <c r="S144" s="10">
        <f>AD144+AJ144+Tableau5617192223242425262827293031333432353620383961719241822254140424344104746[[#This Row],[Int Réalisé OT
€]]+AX144</f>
        <v>0</v>
      </c>
      <c r="T144" s="11" t="e">
        <f t="shared" si="38"/>
        <v>#REF!</v>
      </c>
      <c r="U14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4" s="42" t="e">
        <f>Tableau5617192223242425262827293031333432353620383961719241822254140424344104746[[#This Row],[Budget Heures Valorisées
€]]/105</f>
        <v>#REF!</v>
      </c>
      <c r="X144" s="13">
        <f>IFERROR(VLOOKUP(H144,#REF!,2,FALSE),0)</f>
        <v>0</v>
      </c>
      <c r="Y144" s="13">
        <f>IFERROR(VLOOKUP(H144,#REF!,3,FALSE),0)</f>
        <v>0</v>
      </c>
      <c r="Z14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77</v>
      </c>
      <c r="AA144" s="13">
        <f>IFERROR(VLOOKUP(H144,#REF!,18,FALSE),0)</f>
        <v>0</v>
      </c>
      <c r="AB144" s="13">
        <f>SUM(X144:Y144)-IFERROR(VLOOKUP(H144,#REF!,16,FALSE),0)-IFERROR(VLOOKUP(H144,#REF!,17,FALSE),0)</f>
        <v>0</v>
      </c>
      <c r="AC144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144" s="15">
        <f>IFERROR(VLOOKUP(Tableau5617192223242425262827293031333432353620383961719241822254140424344104746[[#This Row],[Num Projets]],#REF!,2,FALSE),0)</f>
        <v>0</v>
      </c>
      <c r="AE144" s="8">
        <f t="shared" si="39"/>
        <v>3680.6</v>
      </c>
      <c r="AF144" s="22" t="e">
        <f t="shared" si="40"/>
        <v>#REF!</v>
      </c>
      <c r="AG144" s="8">
        <f>IFERROR(VLOOKUP(H144,#REF!,3,FALSE),0)+IFERROR(VLOOKUP(H144,#REF!,3,FALSE),0)</f>
        <v>0</v>
      </c>
      <c r="AH144" s="8">
        <f>IFERROR(VLOOKUP(Tableau5617192223242425262827293031333432353620383961719241822254140424344104746[[#This Row],[Num Projets]],#REF!,2,FALSE),0)</f>
        <v>0</v>
      </c>
      <c r="AI144" s="17">
        <f>+IFERROR(VLOOKUP(H144,#REF!,2,FALSE),0)-Tableau5617192223242425262827293031333432353620383961719241822254140424344104746[[#This Row],[Int Commandé OT
€]]</f>
        <v>0</v>
      </c>
      <c r="AJ144" s="8">
        <f>IFERROR(VLOOKUP(H144,#REF!,11,FALSE),0)-IFERROR(VLOOKUP(H144,#REF!,10,FALSE),0)+Tableau5617192223242425262827293031333432353620383961719241822254140424344104746[[#This Row],[dont FNP à date (€ HT)]]</f>
        <v>0</v>
      </c>
      <c r="AK144" s="15">
        <f t="shared" si="46"/>
        <v>0</v>
      </c>
      <c r="AL14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4" s="19">
        <f>IF(Tableau5617192223242425262827293031333432353620383961719241822254140424344104746[[#This Row],[RAF Achats M-1
€]]=0,0,AN144-AO144)</f>
        <v>0</v>
      </c>
      <c r="AN144" s="8">
        <f>IFERROR(VLOOKUP(H144,#REF!,31,FALSE),0)</f>
        <v>0</v>
      </c>
      <c r="AO144" s="8">
        <f>AI144+-IFERROR(VLOOKUP(H144,#REF!,27,FALSE),0)</f>
        <v>0</v>
      </c>
      <c r="AP144" s="20">
        <f>IFERROR(VLOOKUP(Tableau5617192223242425262827293031333432353620383961719241822254140424344104746[[#This Row],[Num Projets]],#REF!,2,FALSE),0)</f>
        <v>0</v>
      </c>
      <c r="AQ144" s="20">
        <f>_xlfn.XLOOKUP(H144,[2]Synth!$N:$N,[2]Synth!$O:$O,0,FALSE)+_xlfn.XLOOKUP(Tableau5617192223242425262827293031333432353620383961719241822254140424344104746[[#This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4" s="21">
        <v>0</v>
      </c>
      <c r="AS144" s="20">
        <f>+IFERROR(VLOOKUP(H144,#REF!,36,FALSE),0)</f>
        <v>0</v>
      </c>
      <c r="AT14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4" s="22">
        <f>IF(AG144=0,0,1-((AI144+AM144+Tableau5617192223242425262827293031333432353620383961719241822254140424344104746[[#This Row],[Int Commandé OT
€]]+Tableau5617192223242425262827293031333432353620383961719241822254140424344104746[[#This Row],[RAF Int OT
€]])/AG144))</f>
        <v>0</v>
      </c>
      <c r="AV144" s="8">
        <f>Tableau5617192223242425262827293031333432353620383961719241822254140424344104746[[#This Row],[Réel Mission
€]]*1.2</f>
        <v>0</v>
      </c>
      <c r="AW144" s="8">
        <f>IFERROR(VLOOKUP(Tableau5617192223242425262827293031333432353620383961719241822254140424344104746[[#This Row],[Num Projets]],#REF!,3,FALSE),0)</f>
        <v>0</v>
      </c>
      <c r="AX144" s="95">
        <f>IFERROR(VLOOKUP(Tableau5617192223242425262827293031333432353620383961719241822254140424344104746[[#This Row],[Num Projets]],#REF!,10,FALSE),0)</f>
        <v>0</v>
      </c>
      <c r="AY144" s="23">
        <v>0</v>
      </c>
      <c r="AZ144" s="8">
        <f>IFERROR(VLOOKUP(H144,#REF!,43,FALSE),0)</f>
        <v>0</v>
      </c>
      <c r="BA144" s="8">
        <f>AX144-IFERROR(VLOOKUP(H144,#REF!,42,FALSE),0)</f>
        <v>0</v>
      </c>
      <c r="BB144" s="47">
        <f t="shared" si="33"/>
        <v>0</v>
      </c>
      <c r="BC144" s="24">
        <f>IFERROR(VLOOKUP(H144,#REF!,47,FALSE),IFERROR(VLOOKUP(H144,#REF!,5,FALSE),0)+IFERROR(VLOOKUP(H144,#REF!,5,FALSE),0))</f>
        <v>0</v>
      </c>
      <c r="BD144" s="25">
        <f>IFERROR(VLOOKUP(H144,#REF!,2,FALSE),0)</f>
        <v>0</v>
      </c>
      <c r="BE144" s="25">
        <f>IFERROR(VLOOKUP(H144,#REF!,49,FALSE),0)</f>
        <v>0</v>
      </c>
      <c r="BF144" s="50" t="e">
        <f t="shared" si="41"/>
        <v>#REF!</v>
      </c>
      <c r="BG144" s="50">
        <f t="shared" si="42"/>
        <v>0</v>
      </c>
      <c r="BH144" s="27">
        <f>AE144+ (AI144-AJ144+AM144+Tableau5617192223242425262827293031333432353620383961719241822254140424344104746[[#This Row],[Int Commandé OT
€]]-Tableau5617192223242425262827293031333432353620383961719241822254140424344104746[[#This Row],[Int Réalisé OT
€]]+AR144) +AY144+BC144</f>
        <v>3680.6</v>
      </c>
      <c r="BI144" s="47">
        <f t="shared" si="37"/>
        <v>0</v>
      </c>
      <c r="BJ144" s="47" t="e">
        <f t="shared" si="43"/>
        <v>#REF!</v>
      </c>
      <c r="BK144" s="27" t="e">
        <f t="shared" si="44"/>
        <v>#REF!</v>
      </c>
      <c r="BL144" s="26" t="e">
        <f t="shared" si="45"/>
        <v>#REF!</v>
      </c>
      <c r="BM144" s="96">
        <f>IFERROR(VLOOKUP(H144,'[1]2023dec'!H:CA,54,FALSE),105)</f>
        <v>105</v>
      </c>
      <c r="BN144" s="29">
        <v>1</v>
      </c>
      <c r="BO144" s="30" t="e">
        <f>P144-AC144-AG144-AV144-Tableau5617192223242425262827293031333432353620383961719241822254140424344104746[[#This Row],[Provisions pour risques]]</f>
        <v>#REF!</v>
      </c>
      <c r="BP14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3680.6</v>
      </c>
      <c r="BQ14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44" s="97" t="e">
        <f t="shared" si="34"/>
        <v>#REF!</v>
      </c>
      <c r="BS144" s="34">
        <f>Tableau5617192223242425262827293031333432353620383961719241822254140424344104746[[#This Row],[Consommé global Enregistré à date (€ HT)]]-IFERROR(VLOOKUP(H144,#REF!,50,FALSE),0)</f>
        <v>0</v>
      </c>
      <c r="BT144" s="35" t="e">
        <f t="shared" si="35"/>
        <v>#REF!</v>
      </c>
      <c r="BU144" s="36">
        <f>BD144-IFERROR(VLOOKUP(H144,#REF!,47,FALSE),0)</f>
        <v>0</v>
      </c>
      <c r="BV144" s="37" t="e">
        <f>+BF144+Tableau5617192223242425262827293031333432353620383961719241822254140424344104746[[#This Row],[CA fin N-1]]-IFERROR(VLOOKUP(H144,#REF!,49,FALSE),0)-IFERROR(VLOOKUP(H144,#REF!,50,FALSE),0)</f>
        <v>#REF!</v>
      </c>
      <c r="BW144" s="33">
        <f>BG144-IFERROR(VLOOKUP(H144,#REF!,51,FALSE),0)</f>
        <v>0</v>
      </c>
      <c r="BX144" s="35" t="e">
        <f t="shared" si="36"/>
        <v>#REF!</v>
      </c>
      <c r="BY144" s="36">
        <f>BD144-IFERROR(VLOOKUP(H144,#REF!,48,FALSE),0)</f>
        <v>0</v>
      </c>
      <c r="BZ14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4" s="39" t="e">
        <f>VLOOKUP(Tableau5617192223242425262827293031333432353620383961719241822254140424344104746[[#This Row],[Num Projets]],#REF!,1,FALSE)</f>
        <v>#REF!</v>
      </c>
      <c r="CB144" s="40">
        <v>77</v>
      </c>
      <c r="CC144" s="40">
        <v>0</v>
      </c>
      <c r="CD14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-77</v>
      </c>
    </row>
    <row r="145" spans="1:82" ht="13.5" customHeight="1" x14ac:dyDescent="0.25">
      <c r="A145" s="313"/>
      <c r="B145" s="1"/>
      <c r="C145" s="2" t="e">
        <f>_xlfn.XLOOKUP(Tableau5617192223242425262827293031333432353620383961719241822254140424344104746[[#This Row],[Num Projets]],#REF!,#REF!,FALSE)</f>
        <v>#REF!</v>
      </c>
      <c r="D145" s="3" t="s">
        <v>6</v>
      </c>
      <c r="E145" s="3" t="e">
        <f>_xlfn.XLOOKUP(Tableau5617192223242425262827293031333432353620383961719241822254140424344104746[[#This Row],[Num Projets]],#REF!,#REF!,FALSE)</f>
        <v>#REF!</v>
      </c>
      <c r="F145" s="3" t="e">
        <f>_xlfn.XLOOKUP(Tableau5617192223242425262827293031333432353620383961719241822254140424344104746[[#This Row],[Num Projets]],#REF!,#REF!,"newavr",0)</f>
        <v>#REF!</v>
      </c>
      <c r="G145" s="3" t="s">
        <v>2</v>
      </c>
      <c r="H145" s="3" t="s">
        <v>278</v>
      </c>
      <c r="I14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5" s="4" t="e">
        <f>VLOOKUP(Tableau5617192223242425262827293031333432353620383961719241822254140424344104746[[#This Row],[Num Projets]],#REF!,36,FALSE)</f>
        <v>#REF!</v>
      </c>
      <c r="K145" s="5" t="s">
        <v>9</v>
      </c>
      <c r="L14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5" s="3" t="e">
        <f>SUBSTITUTE(_xlfn.XLOOKUP(Tableau5617192223242425262827293031333432353620383961719241822254140424344104746[[#This Row],[Num Projets]],#REF!,#REF!,FALSE)," ","")</f>
        <v>#REF!</v>
      </c>
      <c r="N145" s="7" t="e">
        <f>VLOOKUP(H145,#REF!,7,FALSE)</f>
        <v>#REF!</v>
      </c>
      <c r="O145" s="7" t="e">
        <f>IF(VLOOKUP(H145,#REF!,27,FALSE)=0,"",VLOOKUP(H145,#REF!,27,FALSE))</f>
        <v>#REF!</v>
      </c>
      <c r="P145" s="8" t="e">
        <f>VLOOKUP(H145,#REF!,2,FALSE)</f>
        <v>#REF!</v>
      </c>
      <c r="Q145" s="9" t="e">
        <f>Tableau5617192223242425262827293031333432353620383961719241822254140424344104746[[#This Row],[Total Budget
€]]-IFERROR(VLOOKUP(H145,#REF!,8,FALSE),0)</f>
        <v>#REF!</v>
      </c>
      <c r="R145" s="10">
        <f>AD145+AI145+Tableau5617192223242425262827293031333432353620383961719241822254140424344104746[[#This Row],[Int Commandé OT
€]]+AX145</f>
        <v>0</v>
      </c>
      <c r="S145" s="10">
        <f>AD145+AJ145+Tableau5617192223242425262827293031333432353620383961719241822254140424344104746[[#This Row],[Int Réalisé OT
€]]+AX145</f>
        <v>0</v>
      </c>
      <c r="T145" s="11" t="e">
        <f t="shared" si="38"/>
        <v>#REF!</v>
      </c>
      <c r="U14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5" s="12">
        <f>IFERROR(VLOOKUP(H145,#REF!,2,FALSE),0)</f>
        <v>0</v>
      </c>
      <c r="X145" s="13">
        <f>IFERROR(VLOOKUP(H145,#REF!,2,FALSE),0)</f>
        <v>0</v>
      </c>
      <c r="Y145" s="13">
        <f>IFERROR(VLOOKUP(H145,#REF!,3,FALSE),0)</f>
        <v>0</v>
      </c>
      <c r="Z14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32.5</v>
      </c>
      <c r="AA145" s="13">
        <f>IFERROR(VLOOKUP(H145,#REF!,18,FALSE),0)</f>
        <v>0</v>
      </c>
      <c r="AB145" s="13">
        <f>SUM(X145:Y145)-IFERROR(VLOOKUP(H145,#REF!,16,FALSE),0)-IFERROR(VLOOKUP(H145,#REF!,17,FALSE),0)</f>
        <v>0</v>
      </c>
      <c r="AC145" s="15" t="e">
        <f>Tableau5617192223242425262827293031333432353620383961719241822254140424344104746[[#This Row],[Total Budget
€]]</f>
        <v>#REF!</v>
      </c>
      <c r="AD145" s="15">
        <f>IFERROR(VLOOKUP(Tableau5617192223242425262827293031333432353620383961719241822254140424344104746[[#This Row],[Num Projets]],#REF!,2,FALSE),0)</f>
        <v>0</v>
      </c>
      <c r="AE145" s="8">
        <f t="shared" si="39"/>
        <v>1553.5</v>
      </c>
      <c r="AF145" s="22" t="e">
        <f t="shared" si="40"/>
        <v>#REF!</v>
      </c>
      <c r="AG145" s="8">
        <f>IFERROR(VLOOKUP(H145,#REF!,3,FALSE),0)+IFERROR(VLOOKUP(H145,#REF!,3,FALSE),0)</f>
        <v>0</v>
      </c>
      <c r="AH145" s="8">
        <f>IFERROR(VLOOKUP(Tableau5617192223242425262827293031333432353620383961719241822254140424344104746[[#This Row],[Num Projets]],#REF!,2,FALSE),0)</f>
        <v>0</v>
      </c>
      <c r="AI145" s="17">
        <f>+IFERROR(VLOOKUP(H145,#REF!,2,FALSE),0)-Tableau5617192223242425262827293031333432353620383961719241822254140424344104746[[#This Row],[Int Commandé OT
€]]</f>
        <v>0</v>
      </c>
      <c r="AJ145" s="8">
        <f>IFERROR(VLOOKUP(H145,#REF!,11,FALSE),0)-IFERROR(VLOOKUP(H145,#REF!,10,FALSE),0)+Tableau5617192223242425262827293031333432353620383961719241822254140424344104746[[#This Row],[dont FNP à date (€ HT)]]</f>
        <v>0</v>
      </c>
      <c r="AK145" s="15">
        <f t="shared" si="46"/>
        <v>0</v>
      </c>
      <c r="AL14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5" s="19">
        <f>IF(Tableau5617192223242425262827293031333432353620383961719241822254140424344104746[[#This Row],[RAF Achats M-1
€]]=0,0,AN145-AO145)</f>
        <v>0</v>
      </c>
      <c r="AN145" s="8">
        <f>IFERROR(VLOOKUP(H145,#REF!,31,FALSE),0)</f>
        <v>0</v>
      </c>
      <c r="AO145" s="8">
        <f>AI145+-IFERROR(VLOOKUP(H145,#REF!,27,FALSE),0)</f>
        <v>0</v>
      </c>
      <c r="AP145" s="20">
        <f>IFERROR(VLOOKUP(Tableau5617192223242425262827293031333432353620383961719241822254140424344104746[[#This Row],[Num Projets]],#REF!,2,FALSE),0)</f>
        <v>0</v>
      </c>
      <c r="AQ145" s="20">
        <f>_xlfn.XLOOKUP(H145,[2]Synth!$N:$N,[2]Synth!$O:$O,0,FALSE)+_xlfn.XLOOKUP(Tableau5617192223242425262827293031333432353620383961719241822254140424344104746[[#This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5" s="21">
        <v>0</v>
      </c>
      <c r="AS145" s="20">
        <f>+IFERROR(VLOOKUP(H145,#REF!,36,FALSE),0)</f>
        <v>0</v>
      </c>
      <c r="AT14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5" s="22">
        <f>IF(AG145=0,0,1-((AI145+AM145+Tableau5617192223242425262827293031333432353620383961719241822254140424344104746[[#This Row],[Int Commandé OT
€]]+Tableau5617192223242425262827293031333432353620383961719241822254140424344104746[[#This Row],[RAF Int OT
€]])/AG145))</f>
        <v>0</v>
      </c>
      <c r="AV145" s="8">
        <f>IFERROR(VLOOKUP(H145,#REF!,4,FALSE),0)+IFERROR(VLOOKUP(H145,#REF!,4,FALSE),0)</f>
        <v>0</v>
      </c>
      <c r="AW145" s="8">
        <f>IFERROR(VLOOKUP(Tableau5617192223242425262827293031333432353620383961719241822254140424344104746[[#This Row],[Num Projets]],#REF!,3,FALSE),0)</f>
        <v>0</v>
      </c>
      <c r="AX145" s="95">
        <f>IFERROR(VLOOKUP(Tableau5617192223242425262827293031333432353620383961719241822254140424344104746[[#This Row],[Num Projets]],#REF!,10,FALSE),0)</f>
        <v>0</v>
      </c>
      <c r="AY145" s="23">
        <f>Tableau5617192223242425262827293031333432353620383961719241822254140424344104746[[#This Row],[Budget Mission
 €]]/1.2-AX145</f>
        <v>0</v>
      </c>
      <c r="AZ145" s="8">
        <f>IFERROR(VLOOKUP(H145,#REF!,43,FALSE),0)</f>
        <v>0</v>
      </c>
      <c r="BA145" s="8">
        <f>AX145-IFERROR(VLOOKUP(H145,#REF!,42,FALSE),0)</f>
        <v>0</v>
      </c>
      <c r="BB145" s="47">
        <f t="shared" si="33"/>
        <v>0</v>
      </c>
      <c r="BC145" s="24">
        <f>IFERROR(VLOOKUP(H145,#REF!,47,FALSE),IFERROR(VLOOKUP(H145,#REF!,5,FALSE),0)+IFERROR(VLOOKUP(H145,#REF!,5,FALSE),0))</f>
        <v>0</v>
      </c>
      <c r="BD145" s="25">
        <f>IFERROR(VLOOKUP(H145,#REF!,2,FALSE),0)</f>
        <v>0</v>
      </c>
      <c r="BE145" s="25">
        <f>IFERROR(VLOOKUP(H145,#REF!,49,FALSE),0)</f>
        <v>0</v>
      </c>
      <c r="BF145" s="50" t="e">
        <f t="shared" si="41"/>
        <v>#REF!</v>
      </c>
      <c r="BG145" s="50">
        <f t="shared" si="42"/>
        <v>0</v>
      </c>
      <c r="BH145" s="27">
        <f>AE145+ (AI145-AJ145+AM145+Tableau5617192223242425262827293031333432353620383961719241822254140424344104746[[#This Row],[Int Commandé OT
€]]-Tableau5617192223242425262827293031333432353620383961719241822254140424344104746[[#This Row],[Int Réalisé OT
€]]+AR145) +AY145+BC145</f>
        <v>1553.5</v>
      </c>
      <c r="BI145" s="47">
        <f t="shared" si="37"/>
        <v>0</v>
      </c>
      <c r="BJ145" s="47" t="e">
        <f t="shared" si="43"/>
        <v>#REF!</v>
      </c>
      <c r="BK145" s="27" t="e">
        <f t="shared" si="44"/>
        <v>#REF!</v>
      </c>
      <c r="BL145" s="26" t="e">
        <f t="shared" si="45"/>
        <v>#REF!</v>
      </c>
      <c r="BM145" s="96">
        <f>IFERROR(VLOOKUP(H145,'[1]2023dec'!H:CA,54,FALSE),105)</f>
        <v>105</v>
      </c>
      <c r="BN145" s="29">
        <v>1</v>
      </c>
      <c r="BO145" s="30" t="e">
        <f>P145-AC145-AG145-AV145-Tableau5617192223242425262827293031333432353620383961719241822254140424344104746[[#This Row],[Provisions pour risques]]</f>
        <v>#REF!</v>
      </c>
      <c r="BP14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1553.5</v>
      </c>
      <c r="BQ14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45" s="97" t="e">
        <f t="shared" si="34"/>
        <v>#REF!</v>
      </c>
      <c r="BS145" s="34">
        <f>Tableau5617192223242425262827293031333432353620383961719241822254140424344104746[[#This Row],[Consommé global Enregistré à date (€ HT)]]-IFERROR(VLOOKUP(H145,#REF!,50,FALSE),0)</f>
        <v>0</v>
      </c>
      <c r="BT145" s="35" t="e">
        <f t="shared" si="35"/>
        <v>#REF!</v>
      </c>
      <c r="BU145" s="36">
        <f>BD145-IFERROR(VLOOKUP(H145,#REF!,47,FALSE),0)</f>
        <v>0</v>
      </c>
      <c r="BV145" s="37" t="e">
        <f>+BF145+Tableau5617192223242425262827293031333432353620383961719241822254140424344104746[[#This Row],[CA fin N-1]]-IFERROR(VLOOKUP(H145,#REF!,49,FALSE),0)-IFERROR(VLOOKUP(H145,#REF!,50,FALSE),0)</f>
        <v>#REF!</v>
      </c>
      <c r="BW145" s="33">
        <f>BG145-IFERROR(VLOOKUP(H145,#REF!,51,FALSE),0)</f>
        <v>0</v>
      </c>
      <c r="BX145" s="35" t="e">
        <f t="shared" si="36"/>
        <v>#REF!</v>
      </c>
      <c r="BY145" s="36">
        <f>BD145-IFERROR(VLOOKUP(H145,#REF!,48,FALSE),0)</f>
        <v>0</v>
      </c>
      <c r="BZ14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5" s="39" t="e">
        <f>VLOOKUP(Tableau5617192223242425262827293031333432353620383961719241822254140424344104746[[#This Row],[Num Projets]],#REF!,1,FALSE)</f>
        <v>#REF!</v>
      </c>
      <c r="CB145" s="40">
        <v>21.5</v>
      </c>
      <c r="CC145" s="40">
        <v>11</v>
      </c>
      <c r="CD14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-21.5</v>
      </c>
    </row>
    <row r="146" spans="1:82" ht="13.5" customHeight="1" x14ac:dyDescent="0.25">
      <c r="A146" s="313"/>
      <c r="B146" s="1"/>
      <c r="C146" s="2" t="e">
        <f>_xlfn.XLOOKUP(Tableau5617192223242425262827293031333432353620383961719241822254140424344104746[[#This Row],[Num Projets]],#REF!,#REF!,FALSE)</f>
        <v>#REF!</v>
      </c>
      <c r="D146" s="3" t="s">
        <v>1</v>
      </c>
      <c r="E146" s="3" t="e">
        <f>_xlfn.XLOOKUP(Tableau5617192223242425262827293031333432353620383961719241822254140424344104746[[#This Row],[Num Projets]],#REF!,#REF!,FALSE)</f>
        <v>#REF!</v>
      </c>
      <c r="F146" s="3" t="e">
        <f>_xlfn.XLOOKUP(Tableau5617192223242425262827293031333432353620383961719241822254140424344104746[[#This Row],[Num Projets]],#REF!,#REF!,"newavr",0)</f>
        <v>#REF!</v>
      </c>
      <c r="G146" s="3" t="s">
        <v>2</v>
      </c>
      <c r="H146" s="3" t="s">
        <v>279</v>
      </c>
      <c r="I14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6" s="4" t="e">
        <f>VLOOKUP(Tableau5617192223242425262827293031333432353620383961719241822254140424344104746[[#This Row],[Num Projets]],#REF!,36,FALSE)</f>
        <v>#REF!</v>
      </c>
      <c r="K146" s="5" t="s">
        <v>4</v>
      </c>
      <c r="L14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6" s="3" t="e">
        <f>SUBSTITUTE(_xlfn.XLOOKUP(Tableau5617192223242425262827293031333432353620383961719241822254140424344104746[[#This Row],[Num Projets]],#REF!,#REF!,FALSE)," ","")</f>
        <v>#REF!</v>
      </c>
      <c r="N146" s="7" t="e">
        <f>VLOOKUP(H146,#REF!,7,FALSE)</f>
        <v>#REF!</v>
      </c>
      <c r="O146" s="7">
        <v>45747</v>
      </c>
      <c r="P146" s="8" t="e">
        <f>VLOOKUP(H146,#REF!,2,FALSE)</f>
        <v>#REF!</v>
      </c>
      <c r="Q146" s="9" t="e">
        <f>Tableau5617192223242425262827293031333432353620383961719241822254140424344104746[[#This Row],[Total Budget
€]]-IFERROR(VLOOKUP(H146,#REF!,8,FALSE),0)</f>
        <v>#REF!</v>
      </c>
      <c r="R146" s="10">
        <f>AD146+AI146+Tableau5617192223242425262827293031333432353620383961719241822254140424344104746[[#This Row],[Int Commandé OT
€]]+AX146</f>
        <v>0</v>
      </c>
      <c r="S146" s="10">
        <f>AD146+AJ146+Tableau5617192223242425262827293031333432353620383961719241822254140424344104746[[#This Row],[Int Réalisé OT
€]]+AX146</f>
        <v>0</v>
      </c>
      <c r="T146" s="11" t="e">
        <f t="shared" si="38"/>
        <v>#REF!</v>
      </c>
      <c r="U14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6" s="42" t="e">
        <f>Tableau5617192223242425262827293031333432353620383961719241822254140424344104746[[#This Row],[Budget Heures Valorisées
€]]/105</f>
        <v>#REF!</v>
      </c>
      <c r="X146" s="13">
        <f>IFERROR(VLOOKUP(H146,#REF!,2,FALSE),0)</f>
        <v>0</v>
      </c>
      <c r="Y146" s="13">
        <f>IFERROR(VLOOKUP(H146,#REF!,3,FALSE),0)</f>
        <v>0</v>
      </c>
      <c r="Z14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</v>
      </c>
      <c r="AA146" s="13">
        <f>IFERROR(VLOOKUP(H146,#REF!,18,FALSE),0)</f>
        <v>0</v>
      </c>
      <c r="AB146" s="13">
        <f>SUM(X146:Y146)-IFERROR(VLOOKUP(H146,#REF!,16,FALSE),0)-IFERROR(VLOOKUP(H146,#REF!,17,FALSE),0)</f>
        <v>0</v>
      </c>
      <c r="AC146" s="15" t="e">
        <f>Tableau5617192223242425262827293031333432353620383961719241822254140424344104746[[#This Row],[Total Budget
€]]</f>
        <v>#REF!</v>
      </c>
      <c r="AD146" s="15">
        <f>IFERROR(VLOOKUP(Tableau5617192223242425262827293031333432353620383961719241822254140424344104746[[#This Row],[Num Projets]],#REF!,2,FALSE),0)</f>
        <v>0</v>
      </c>
      <c r="AE146" s="8">
        <f t="shared" si="39"/>
        <v>430.2</v>
      </c>
      <c r="AF146" s="22" t="e">
        <f t="shared" si="40"/>
        <v>#REF!</v>
      </c>
      <c r="AG146" s="8">
        <f>IFERROR(VLOOKUP(H146,#REF!,3,FALSE),0)+IFERROR(VLOOKUP(H146,#REF!,3,FALSE),0)</f>
        <v>0</v>
      </c>
      <c r="AH146" s="8">
        <f>IFERROR(VLOOKUP(Tableau5617192223242425262827293031333432353620383961719241822254140424344104746[[#This Row],[Num Projets]],#REF!,2,FALSE),0)</f>
        <v>0</v>
      </c>
      <c r="AI146" s="17">
        <f>+IFERROR(VLOOKUP(H146,#REF!,2,FALSE),0)-Tableau5617192223242425262827293031333432353620383961719241822254140424344104746[[#This Row],[Int Commandé OT
€]]</f>
        <v>0</v>
      </c>
      <c r="AJ146" s="8">
        <f>IFERROR(VLOOKUP(H146,#REF!,11,FALSE),0)-IFERROR(VLOOKUP(H146,#REF!,10,FALSE),0)+Tableau5617192223242425262827293031333432353620383961719241822254140424344104746[[#This Row],[dont FNP à date (€ HT)]]</f>
        <v>0</v>
      </c>
      <c r="AK146" s="15">
        <f t="shared" si="46"/>
        <v>0</v>
      </c>
      <c r="AL14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6" s="19">
        <f>IF(Tableau5617192223242425262827293031333432353620383961719241822254140424344104746[[#This Row],[RAF Achats M-1
€]]=0,0,AN146-AO146)</f>
        <v>0</v>
      </c>
      <c r="AN146" s="8">
        <f>IFERROR(VLOOKUP(H146,#REF!,31,FALSE),0)</f>
        <v>0</v>
      </c>
      <c r="AO146" s="8">
        <f>AI146+-IFERROR(VLOOKUP(H146,#REF!,27,FALSE),0)</f>
        <v>0</v>
      </c>
      <c r="AP146" s="20">
        <f>IFERROR(VLOOKUP(Tableau5617192223242425262827293031333432353620383961719241822254140424344104746[[#This Row],[Num Projets]],#REF!,2,FALSE),0)</f>
        <v>0</v>
      </c>
      <c r="AQ146" s="20">
        <f>_xlfn.XLOOKUP(H146,[2]Synth!$N:$N,[2]Synth!$O:$O,0,FALSE)+_xlfn.XLOOKUP(Tableau5617192223242425262827293031333432353620383961719241822254140424344104746[[#This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6" s="21">
        <v>0</v>
      </c>
      <c r="AS146" s="20">
        <f>+IFERROR(VLOOKUP(H146,#REF!,36,FALSE),0)</f>
        <v>0</v>
      </c>
      <c r="AT14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6" s="22">
        <f>IF(AG146=0,0,1-((AI146+AM146+Tableau5617192223242425262827293031333432353620383961719241822254140424344104746[[#This Row],[Int Commandé OT
€]]+Tableau5617192223242425262827293031333432353620383961719241822254140424344104746[[#This Row],[RAF Int OT
€]])/AG146))</f>
        <v>0</v>
      </c>
      <c r="AV146" s="8">
        <f>IFERROR(VLOOKUP(H146,#REF!,4,FALSE),0)+IFERROR(VLOOKUP(H146,#REF!,4,FALSE),0)</f>
        <v>0</v>
      </c>
      <c r="AW146" s="8">
        <f>IFERROR(VLOOKUP(Tableau5617192223242425262827293031333432353620383961719241822254140424344104746[[#This Row],[Num Projets]],#REF!,3,FALSE),0)</f>
        <v>0</v>
      </c>
      <c r="AX146" s="95">
        <f>IFERROR(VLOOKUP(Tableau5617192223242425262827293031333432353620383961719241822254140424344104746[[#This Row],[Num Projets]],#REF!,10,FALSE),0)</f>
        <v>0</v>
      </c>
      <c r="AY146" s="23">
        <f>Tableau5617192223242425262827293031333432353620383961719241822254140424344104746[[#This Row],[Budget Mission
 €]]/1.2-AX146</f>
        <v>0</v>
      </c>
      <c r="AZ146" s="8">
        <f>IFERROR(VLOOKUP(H146,#REF!,43,FALSE),0)</f>
        <v>0</v>
      </c>
      <c r="BA146" s="8">
        <f>AX146-IFERROR(VLOOKUP(H146,#REF!,42,FALSE),0)</f>
        <v>0</v>
      </c>
      <c r="BB146" s="47">
        <f t="shared" si="33"/>
        <v>0</v>
      </c>
      <c r="BC146" s="24">
        <f>IFERROR(VLOOKUP(H146,#REF!,47,FALSE),IFERROR(VLOOKUP(H146,#REF!,5,FALSE),0)+IFERROR(VLOOKUP(H146,#REF!,5,FALSE),0))</f>
        <v>0</v>
      </c>
      <c r="BD146" s="25">
        <f>IFERROR(VLOOKUP(H146,#REF!,2,FALSE),0)</f>
        <v>0</v>
      </c>
      <c r="BE146" s="25">
        <f>IFERROR(VLOOKUP(H146,#REF!,49,FALSE),0)</f>
        <v>0</v>
      </c>
      <c r="BF146" s="50" t="e">
        <f t="shared" si="41"/>
        <v>#REF!</v>
      </c>
      <c r="BG146" s="50">
        <f t="shared" si="42"/>
        <v>0</v>
      </c>
      <c r="BH146" s="27">
        <f>AE146+ (AI146-AJ146+AM146+Tableau5617192223242425262827293031333432353620383961719241822254140424344104746[[#This Row],[Int Commandé OT
€]]-Tableau5617192223242425262827293031333432353620383961719241822254140424344104746[[#This Row],[Int Réalisé OT
€]]+AR146) +AY146+BC146</f>
        <v>430.2</v>
      </c>
      <c r="BI146" s="47">
        <f t="shared" si="37"/>
        <v>0</v>
      </c>
      <c r="BJ146" s="47" t="e">
        <f t="shared" si="43"/>
        <v>#REF!</v>
      </c>
      <c r="BK146" s="27" t="e">
        <f t="shared" si="44"/>
        <v>#REF!</v>
      </c>
      <c r="BL146" s="26" t="e">
        <f t="shared" si="45"/>
        <v>#REF!</v>
      </c>
      <c r="BM146" s="96">
        <f>IFERROR(VLOOKUP(H146,'[1]2023dec'!H:CA,54,FALSE),105)</f>
        <v>105</v>
      </c>
      <c r="BN146" s="29">
        <v>1</v>
      </c>
      <c r="BO146" s="30" t="e">
        <f>P146-AC146-AG146-AV146-Tableau5617192223242425262827293031333432353620383961719241822254140424344104746[[#This Row],[Provisions pour risques]]</f>
        <v>#REF!</v>
      </c>
      <c r="BP14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430.2</v>
      </c>
      <c r="BQ14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46" s="97" t="e">
        <f t="shared" si="34"/>
        <v>#REF!</v>
      </c>
      <c r="BS146" s="34">
        <f>Tableau5617192223242425262827293031333432353620383961719241822254140424344104746[[#This Row],[Consommé global Enregistré à date (€ HT)]]-IFERROR(VLOOKUP(H146,#REF!,50,FALSE),0)</f>
        <v>0</v>
      </c>
      <c r="BT146" s="35" t="e">
        <f t="shared" si="35"/>
        <v>#REF!</v>
      </c>
      <c r="BU146" s="36">
        <f>BD146-IFERROR(VLOOKUP(H146,#REF!,47,FALSE),0)</f>
        <v>0</v>
      </c>
      <c r="BV146" s="37" t="e">
        <f>+BF146+Tableau5617192223242425262827293031333432353620383961719241822254140424344104746[[#This Row],[CA fin N-1]]-IFERROR(VLOOKUP(H146,#REF!,49,FALSE),0)-IFERROR(VLOOKUP(H146,#REF!,50,FALSE),0)</f>
        <v>#REF!</v>
      </c>
      <c r="BW146" s="33">
        <f>BG146-IFERROR(VLOOKUP(H146,#REF!,51,FALSE),0)</f>
        <v>0</v>
      </c>
      <c r="BX146" s="35" t="e">
        <f t="shared" si="36"/>
        <v>#REF!</v>
      </c>
      <c r="BY146" s="36">
        <f>BD146-IFERROR(VLOOKUP(H146,#REF!,48,FALSE),0)</f>
        <v>0</v>
      </c>
      <c r="BZ14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6" s="39" t="e">
        <f>VLOOKUP(Tableau5617192223242425262827293031333432353620383961719241822254140424344104746[[#This Row],[Num Projets]],#REF!,1,FALSE)</f>
        <v>#REF!</v>
      </c>
      <c r="CB146" s="40">
        <v>9</v>
      </c>
      <c r="CC146" s="40">
        <v>0</v>
      </c>
      <c r="CD14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</v>
      </c>
    </row>
    <row r="147" spans="1:82" ht="13.5" customHeight="1" x14ac:dyDescent="0.25">
      <c r="A147" s="311" t="s">
        <v>280</v>
      </c>
      <c r="B147" s="1"/>
      <c r="C147" s="2" t="e">
        <f>_xlfn.XLOOKUP(Tableau5617192223242425262827293031333432353620383961719241822254140424344104746[[#This Row],[Num Projets]],#REF!,#REF!,FALSE)</f>
        <v>#REF!</v>
      </c>
      <c r="D147" s="3" t="s">
        <v>40</v>
      </c>
      <c r="E147" s="3" t="e">
        <f>_xlfn.XLOOKUP(Tableau5617192223242425262827293031333432353620383961719241822254140424344104746[[#This Row],[Num Projets]],#REF!,#REF!,FALSE)</f>
        <v>#REF!</v>
      </c>
      <c r="F147" s="3" t="e">
        <f>_xlfn.XLOOKUP(Tableau5617192223242425262827293031333432353620383961719241822254140424344104746[[#This Row],[Num Projets]],#REF!,#REF!,"newavr",0)</f>
        <v>#REF!</v>
      </c>
      <c r="G147" s="3" t="s">
        <v>2</v>
      </c>
      <c r="H147" s="3" t="s">
        <v>281</v>
      </c>
      <c r="I14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7" s="4" t="e">
        <f>VLOOKUP(Tableau5617192223242425262827293031333432353620383961719241822254140424344104746[[#This Row],[Num Projets]],#REF!,36,FALSE)</f>
        <v>#REF!</v>
      </c>
      <c r="K147" s="5" t="s">
        <v>21</v>
      </c>
      <c r="L14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7" s="3" t="e">
        <f>SUBSTITUTE(_xlfn.XLOOKUP(Tableau5617192223242425262827293031333432353620383961719241822254140424344104746[[#This Row],[Num Projets]],#REF!,#REF!,FALSE)," ","")</f>
        <v>#REF!</v>
      </c>
      <c r="N147" s="7" t="e">
        <f>VLOOKUP(H147,#REF!,7,FALSE)</f>
        <v>#REF!</v>
      </c>
      <c r="O147" s="7" t="e">
        <f>IF(VLOOKUP(H147,#REF!,27,FALSE)=0,"",VLOOKUP(H147,#REF!,27,FALSE))</f>
        <v>#REF!</v>
      </c>
      <c r="P147" s="8" t="e">
        <f>VLOOKUP(H147,#REF!,2,FALSE)</f>
        <v>#REF!</v>
      </c>
      <c r="Q147" s="9" t="e">
        <f>Tableau5617192223242425262827293031333432353620383961719241822254140424344104746[[#This Row],[Total Budget
€]]-IFERROR(VLOOKUP(H147,#REF!,8,FALSE),0)</f>
        <v>#REF!</v>
      </c>
      <c r="R147" s="10">
        <f>AD147+AI147+Tableau5617192223242425262827293031333432353620383961719241822254140424344104746[[#This Row],[Int Commandé OT
€]]+AX147</f>
        <v>0</v>
      </c>
      <c r="S147" s="10">
        <f>AD147+AJ147+Tableau5617192223242425262827293031333432353620383961719241822254140424344104746[[#This Row],[Int Réalisé OT
€]]+AX147</f>
        <v>566.51</v>
      </c>
      <c r="T147" s="11" t="e">
        <f t="shared" si="38"/>
        <v>#REF!</v>
      </c>
      <c r="U14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7" s="12">
        <f>IFERROR(VLOOKUP(H147,#REF!,2,FALSE),0)</f>
        <v>0</v>
      </c>
      <c r="X147" s="13">
        <f>IFERROR(VLOOKUP(H147,#REF!,2,FALSE),0)</f>
        <v>0</v>
      </c>
      <c r="Y147" s="13">
        <f>IFERROR(VLOOKUP(H147,#REF!,3,FALSE),0)</f>
        <v>0</v>
      </c>
      <c r="Z14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22</v>
      </c>
      <c r="AA147" s="13">
        <f>IFERROR(VLOOKUP(H147,#REF!,18,FALSE),0)</f>
        <v>0</v>
      </c>
      <c r="AB147" s="13">
        <f>SUM(X147:Y147)-IFERROR(VLOOKUP(H147,#REF!,16,FALSE),0)-IFERROR(VLOOKUP(H147,#REF!,17,FALSE),0)</f>
        <v>0</v>
      </c>
      <c r="AC147" s="15">
        <f>20*105</f>
        <v>2100</v>
      </c>
      <c r="AD147" s="15">
        <f>IFERROR(VLOOKUP(Tableau5617192223242425262827293031333432353620383961719241822254140424344104746[[#This Row],[Num Projets]],#REF!,2,FALSE),0)</f>
        <v>0</v>
      </c>
      <c r="AE147" s="8">
        <f t="shared" si="39"/>
        <v>1051.5999999999999</v>
      </c>
      <c r="AF147" s="22">
        <f t="shared" si="40"/>
        <v>0.49923809523809526</v>
      </c>
      <c r="AG147" s="41" t="e">
        <f>Tableau5617192223242425262827293031333432353620383961719241822254140424344104746[[#This Row],[Total Budget
€]]-Tableau5617192223242425262827293031333432353620383961719241822254140424344104746[[#This Row],[Budget Heures Valorisées
€]]</f>
        <v>#REF!</v>
      </c>
      <c r="AH147" s="8">
        <f>IFERROR(VLOOKUP(Tableau5617192223242425262827293031333432353620383961719241822254140424344104746[[#This Row],[Num Projets]],#REF!,2,FALSE),0)</f>
        <v>0</v>
      </c>
      <c r="AI147" s="17">
        <f>+IFERROR(VLOOKUP(H147,#REF!,2,FALSE),0)-Tableau5617192223242425262827293031333432353620383961719241822254140424344104746[[#This Row],[Int Commandé OT
€]]</f>
        <v>0</v>
      </c>
      <c r="AJ147" s="8">
        <f>IFERROR(VLOOKUP(H147,#REF!,11,FALSE),0)-IFERROR(VLOOKUP(H147,#REF!,10,FALSE),0)+Tableau5617192223242425262827293031333432353620383961719241822254140424344104746[[#This Row],[dont FNP à date (€ HT)]]</f>
        <v>0</v>
      </c>
      <c r="AK147" s="15">
        <f t="shared" si="46"/>
        <v>0</v>
      </c>
      <c r="AL14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7" s="19">
        <f>IF(Tableau5617192223242425262827293031333432353620383961719241822254140424344104746[[#This Row],[RAF Achats M-1
€]]=0,0,AN147-AO147)</f>
        <v>0</v>
      </c>
      <c r="AN147" s="8">
        <f>IFERROR(VLOOKUP(H147,#REF!,31,FALSE),0)</f>
        <v>0</v>
      </c>
      <c r="AO147" s="8">
        <f>AI147+-IFERROR(VLOOKUP(H147,#REF!,27,FALSE),0)</f>
        <v>0</v>
      </c>
      <c r="AP147" s="20">
        <f>IFERROR(VLOOKUP(Tableau5617192223242425262827293031333432353620383961719241822254140424344104746[[#This Row],[Num Projets]],#REF!,2,FALSE),0)</f>
        <v>0</v>
      </c>
      <c r="AQ147" s="20">
        <f>_xlfn.XLOOKUP(H147,[2]Synth!$N:$N,[2]Synth!$O:$O,0,FALSE)+_xlfn.XLOOKUP(Tableau5617192223242425262827293031333432353620383961719241822254140424344104746[[#This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566.51</v>
      </c>
      <c r="AR147" s="21">
        <v>0</v>
      </c>
      <c r="AS147" s="20">
        <f>+IFERROR(VLOOKUP(H147,#REF!,36,FALSE),0)</f>
        <v>0</v>
      </c>
      <c r="AT14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7" s="22" t="e">
        <f>IF(AG147=0,0,1-((AI147+AM147+Tableau5617192223242425262827293031333432353620383961719241822254140424344104746[[#This Row],[Int Commandé OT
€]]+Tableau5617192223242425262827293031333432353620383961719241822254140424344104746[[#This Row],[RAF Int OT
€]])/AG147))</f>
        <v>#REF!</v>
      </c>
      <c r="AV147" s="8">
        <f>IFERROR(VLOOKUP(H147,#REF!,4,FALSE),0)+IFERROR(VLOOKUP(H147,#REF!,4,FALSE),0)</f>
        <v>0</v>
      </c>
      <c r="AW147" s="8">
        <f>IFERROR(VLOOKUP(Tableau5617192223242425262827293031333432353620383961719241822254140424344104746[[#This Row],[Num Projets]],#REF!,3,FALSE),0)</f>
        <v>0</v>
      </c>
      <c r="AX147" s="95">
        <f>IFERROR(VLOOKUP(Tableau5617192223242425262827293031333432353620383961719241822254140424344104746[[#This Row],[Num Projets]],#REF!,10,FALSE),0)</f>
        <v>0</v>
      </c>
      <c r="AY147" s="23">
        <f>Tableau5617192223242425262827293031333432353620383961719241822254140424344104746[[#This Row],[Budget Mission
 €]]/1.2-AX147</f>
        <v>0</v>
      </c>
      <c r="AZ147" s="8">
        <f>IFERROR(VLOOKUP(H147,#REF!,43,FALSE),0)</f>
        <v>0</v>
      </c>
      <c r="BA147" s="8">
        <f>AX147-IFERROR(VLOOKUP(H147,#REF!,42,FALSE),0)</f>
        <v>0</v>
      </c>
      <c r="BB147" s="47">
        <f t="shared" si="33"/>
        <v>0</v>
      </c>
      <c r="BC147" s="24">
        <f>IFERROR(VLOOKUP(H147,#REF!,47,FALSE),IFERROR(VLOOKUP(H147,#REF!,5,FALSE),0)+IFERROR(VLOOKUP(H147,#REF!,5,FALSE),0))</f>
        <v>0</v>
      </c>
      <c r="BD147" s="25">
        <f>IFERROR(VLOOKUP(H147,#REF!,2,FALSE),0)</f>
        <v>0</v>
      </c>
      <c r="BE147" s="25">
        <f>IFERROR(VLOOKUP(H147,#REF!,49,FALSE),0)</f>
        <v>0</v>
      </c>
      <c r="BF147" s="50" t="e">
        <f t="shared" si="41"/>
        <v>#REF!</v>
      </c>
      <c r="BG147" s="50">
        <f t="shared" si="42"/>
        <v>566.51</v>
      </c>
      <c r="BH147" s="27">
        <f>AE147+ (AI147-AJ147+AM147+Tableau5617192223242425262827293031333432353620383961719241822254140424344104746[[#This Row],[Int Commandé OT
€]]-Tableau5617192223242425262827293031333432353620383961719241822254140424344104746[[#This Row],[Int Réalisé OT
€]]+AR147) +AY147+BC147</f>
        <v>485.08999999999992</v>
      </c>
      <c r="BI147" s="47">
        <f t="shared" si="37"/>
        <v>0.53871243818942571</v>
      </c>
      <c r="BJ147" s="47" t="e">
        <f t="shared" si="43"/>
        <v>#REF!</v>
      </c>
      <c r="BK147" s="27" t="e">
        <f t="shared" si="44"/>
        <v>#REF!</v>
      </c>
      <c r="BL147" s="26" t="e">
        <f t="shared" si="45"/>
        <v>#REF!</v>
      </c>
      <c r="BM147" s="96">
        <f>IFERROR(VLOOKUP(H147,'[1]2023dec'!H:CA,54,FALSE),105)</f>
        <v>105</v>
      </c>
      <c r="BN147" s="29">
        <v>1</v>
      </c>
      <c r="BO147" s="30" t="e">
        <f>P147-AC147-AG147-AV147-Tableau5617192223242425262827293031333432353620383961719241822254140424344104746[[#This Row],[Provisions pour risques]]</f>
        <v>#REF!</v>
      </c>
      <c r="BP14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1051.5999999999999</v>
      </c>
      <c r="BQ14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0.53871243818942571</v>
      </c>
      <c r="BR147" s="97" t="e">
        <f t="shared" si="34"/>
        <v>#REF!</v>
      </c>
      <c r="BS147" s="34">
        <f>Tableau5617192223242425262827293031333432353620383961719241822254140424344104746[[#This Row],[Consommé global Enregistré à date (€ HT)]]-IFERROR(VLOOKUP(H147,#REF!,50,FALSE),0)</f>
        <v>566.51</v>
      </c>
      <c r="BT147" s="35" t="e">
        <f t="shared" si="35"/>
        <v>#REF!</v>
      </c>
      <c r="BU147" s="36">
        <f>BD147-IFERROR(VLOOKUP(H147,#REF!,47,FALSE),0)</f>
        <v>0</v>
      </c>
      <c r="BV147" s="37" t="e">
        <f>+BF147+Tableau5617192223242425262827293031333432353620383961719241822254140424344104746[[#This Row],[CA fin N-1]]-IFERROR(VLOOKUP(H147,#REF!,49,FALSE),0)-IFERROR(VLOOKUP(H147,#REF!,50,FALSE),0)</f>
        <v>#REF!</v>
      </c>
      <c r="BW147" s="33">
        <f>BG147-IFERROR(VLOOKUP(H147,#REF!,51,FALSE),0)</f>
        <v>566.51</v>
      </c>
      <c r="BX147" s="35" t="e">
        <f t="shared" si="36"/>
        <v>#REF!</v>
      </c>
      <c r="BY147" s="36">
        <f>BD147-IFERROR(VLOOKUP(H147,#REF!,48,FALSE),0)</f>
        <v>0</v>
      </c>
      <c r="BZ14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7" s="39" t="e">
        <f>VLOOKUP(Tableau5617192223242425262827293031333432353620383961719241822254140424344104746[[#This Row],[Num Projets]],#REF!,1,FALSE)</f>
        <v>#REF!</v>
      </c>
      <c r="CB147" s="40">
        <v>22</v>
      </c>
      <c r="CC147" s="40">
        <v>0</v>
      </c>
      <c r="CD14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-22</v>
      </c>
    </row>
    <row r="148" spans="1:82" ht="13.5" customHeight="1" x14ac:dyDescent="0.25">
      <c r="A148" s="313"/>
      <c r="B148" s="1"/>
      <c r="C148" s="2" t="e">
        <f>_xlfn.XLOOKUP(Tableau5617192223242425262827293031333432353620383961719241822254140424344104746[[#This Row],[Num Projets]],#REF!,#REF!,FALSE)</f>
        <v>#REF!</v>
      </c>
      <c r="D148" s="3" t="s">
        <v>1</v>
      </c>
      <c r="E148" s="3" t="e">
        <f>_xlfn.XLOOKUP(Tableau5617192223242425262827293031333432353620383961719241822254140424344104746[[#This Row],[Num Projets]],#REF!,#REF!,FALSE)</f>
        <v>#REF!</v>
      </c>
      <c r="F148" s="3" t="s">
        <v>52</v>
      </c>
      <c r="G148" s="3" t="s">
        <v>2</v>
      </c>
      <c r="H148" s="3" t="s">
        <v>282</v>
      </c>
      <c r="I14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8" s="4" t="e">
        <f>VLOOKUP(Tableau5617192223242425262827293031333432353620383961719241822254140424344104746[[#This Row],[Num Projets]],#REF!,36,FALSE)</f>
        <v>#REF!</v>
      </c>
      <c r="K148" s="5" t="s">
        <v>21</v>
      </c>
      <c r="L14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8" s="3" t="e">
        <f>SUBSTITUTE(_xlfn.XLOOKUP(Tableau5617192223242425262827293031333432353620383961719241822254140424344104746[[#This Row],[Num Projets]],#REF!,#REF!,FALSE)," ","")</f>
        <v>#REF!</v>
      </c>
      <c r="N148" s="7" t="e">
        <f>VLOOKUP(H148,#REF!,7,FALSE)</f>
        <v>#REF!</v>
      </c>
      <c r="O148" s="7" t="e">
        <f>IF(VLOOKUP(H148,#REF!,27,FALSE)=0,"",VLOOKUP(H148,#REF!,27,FALSE))</f>
        <v>#REF!</v>
      </c>
      <c r="P148" s="8" t="e">
        <f>VLOOKUP(H148,#REF!,2,FALSE)</f>
        <v>#REF!</v>
      </c>
      <c r="Q148" s="9" t="e">
        <f>Tableau5617192223242425262827293031333432353620383961719241822254140424344104746[[#This Row],[Total Budget
€]]-IFERROR(VLOOKUP(H148,#REF!,8,FALSE),0)</f>
        <v>#REF!</v>
      </c>
      <c r="R148" s="10">
        <f>AD148+AI148+Tableau5617192223242425262827293031333432353620383961719241822254140424344104746[[#This Row],[Int Commandé OT
€]]+AX148</f>
        <v>0</v>
      </c>
      <c r="S148" s="10">
        <f>AD148+AJ148+Tableau5617192223242425262827293031333432353620383961719241822254140424344104746[[#This Row],[Int Réalisé OT
€]]+AX148</f>
        <v>11503.62</v>
      </c>
      <c r="T148" s="11" t="e">
        <f t="shared" si="38"/>
        <v>#REF!</v>
      </c>
      <c r="U14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8" s="12">
        <f>IFERROR(VLOOKUP(H148,#REF!,2,FALSE),0)</f>
        <v>0</v>
      </c>
      <c r="X148" s="13">
        <f>IFERROR(VLOOKUP(H148,#REF!,2,FALSE),0)</f>
        <v>0</v>
      </c>
      <c r="Y148" s="13">
        <f>IFERROR(VLOOKUP(H148,#REF!,3,FALSE),0)</f>
        <v>0</v>
      </c>
      <c r="Z14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</v>
      </c>
      <c r="AA148" s="13">
        <f>IFERROR(VLOOKUP(H148,#REF!,18,FALSE),0)</f>
        <v>0</v>
      </c>
      <c r="AB148" s="13">
        <f>SUM(X148:Y148)-IFERROR(VLOOKUP(H148,#REF!,16,FALSE),0)-IFERROR(VLOOKUP(H148,#REF!,17,FALSE),0)</f>
        <v>0</v>
      </c>
      <c r="AC148" s="62">
        <f>Tableau5617192223242425262827293031333432353620383961719241822254140424344104746[[#This Row],[Budget Heures
Hrs]]*105</f>
        <v>0</v>
      </c>
      <c r="AD148" s="15">
        <f>IFERROR(VLOOKUP(Tableau5617192223242425262827293031333432353620383961719241822254140424344104746[[#This Row],[Num Projets]],#REF!,2,FALSE),0)</f>
        <v>0</v>
      </c>
      <c r="AE148" s="8">
        <f t="shared" si="39"/>
        <v>478</v>
      </c>
      <c r="AF148" s="22">
        <f t="shared" si="40"/>
        <v>0</v>
      </c>
      <c r="AG148" s="41">
        <f>IFERROR(VLOOKUP(H148,#REF!,3,FALSE),0)+IFERROR(VLOOKUP(H148,#REF!,3,FALSE),0)-840-210</f>
        <v>-1050</v>
      </c>
      <c r="AH148" s="8">
        <f>IFERROR(VLOOKUP(Tableau5617192223242425262827293031333432353620383961719241822254140424344104746[[#This Row],[Num Projets]],#REF!,2,FALSE),0)</f>
        <v>0</v>
      </c>
      <c r="AI148" s="17">
        <f>+IFERROR(VLOOKUP(H148,#REF!,2,FALSE),0)-Tableau5617192223242425262827293031333432353620383961719241822254140424344104746[[#This Row],[Int Commandé OT
€]]</f>
        <v>0</v>
      </c>
      <c r="AJ148" s="8">
        <f>IFERROR(VLOOKUP(H148,#REF!,11,FALSE),0)-IFERROR(VLOOKUP(H148,#REF!,10,FALSE),0)+Tableau5617192223242425262827293031333432353620383961719241822254140424344104746[[#This Row],[dont FNP à date (€ HT)]]</f>
        <v>0</v>
      </c>
      <c r="AK148" s="15">
        <f t="shared" si="46"/>
        <v>0</v>
      </c>
      <c r="AL14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8" s="19">
        <f>IF(Tableau5617192223242425262827293031333432353620383961719241822254140424344104746[[#This Row],[RAF Achats M-1
€]]=0,0,AN148-AO148)</f>
        <v>0</v>
      </c>
      <c r="AN148" s="8">
        <f>IFERROR(VLOOKUP(H148,#REF!,31,FALSE),0)</f>
        <v>0</v>
      </c>
      <c r="AO148" s="8">
        <f>AI148+-IFERROR(VLOOKUP(H148,#REF!,27,FALSE),0)</f>
        <v>0</v>
      </c>
      <c r="AP148" s="20">
        <f>IFERROR(VLOOKUP(Tableau5617192223242425262827293031333432353620383961719241822254140424344104746[[#This Row],[Num Projets]],#REF!,2,FALSE),0)</f>
        <v>0</v>
      </c>
      <c r="AQ148" s="20">
        <f>_xlfn.XLOOKUP(H148,[2]Synth!$N:$N,[2]Synth!$O:$O,0,FALSE)+_xlfn.XLOOKUP(Tableau5617192223242425262827293031333432353620383961719241822254140424344104746[[#This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11503.62</v>
      </c>
      <c r="AR148" s="21">
        <v>0</v>
      </c>
      <c r="AS148" s="20">
        <f>+IFERROR(VLOOKUP(H148,#REF!,36,FALSE),0)</f>
        <v>0</v>
      </c>
      <c r="AT14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8" s="22">
        <f>IF(AG148=0,0,1-((AI148+AM148+Tableau5617192223242425262827293031333432353620383961719241822254140424344104746[[#This Row],[Int Commandé OT
€]]+Tableau5617192223242425262827293031333432353620383961719241822254140424344104746[[#This Row],[RAF Int OT
€]])/AG148))</f>
        <v>1</v>
      </c>
      <c r="AV148" s="8">
        <f>IFERROR(VLOOKUP(H148,#REF!,4,FALSE),0)+IFERROR(VLOOKUP(H148,#REF!,4,FALSE),0)</f>
        <v>0</v>
      </c>
      <c r="AW148" s="8">
        <f>IFERROR(VLOOKUP(Tableau5617192223242425262827293031333432353620383961719241822254140424344104746[[#This Row],[Num Projets]],#REF!,3,FALSE),0)</f>
        <v>0</v>
      </c>
      <c r="AX148" s="95">
        <f>IFERROR(VLOOKUP(Tableau5617192223242425262827293031333432353620383961719241822254140424344104746[[#This Row],[Num Projets]],#REF!,10,FALSE),0)</f>
        <v>0</v>
      </c>
      <c r="AY148" s="23">
        <f>Tableau5617192223242425262827293031333432353620383961719241822254140424344104746[[#This Row],[Budget Mission
 €]]/1.2-AX148</f>
        <v>0</v>
      </c>
      <c r="AZ148" s="8">
        <f>IFERROR(VLOOKUP(H148,#REF!,43,FALSE),0)</f>
        <v>0</v>
      </c>
      <c r="BA148" s="8">
        <f>AX148-IFERROR(VLOOKUP(H148,#REF!,42,FALSE),0)</f>
        <v>0</v>
      </c>
      <c r="BB148" s="47">
        <f t="shared" si="33"/>
        <v>0</v>
      </c>
      <c r="BC148" s="24">
        <f>IFERROR(VLOOKUP(H148,#REF!,47,FALSE),IFERROR(VLOOKUP(H148,#REF!,5,FALSE),0)+IFERROR(VLOOKUP(H148,#REF!,5,FALSE),0))</f>
        <v>0</v>
      </c>
      <c r="BD148" s="25">
        <f>IFERROR(VLOOKUP(H148,#REF!,2,FALSE),0)</f>
        <v>0</v>
      </c>
      <c r="BE148" s="25">
        <f>IFERROR(VLOOKUP(H148,#REF!,49,FALSE),0)</f>
        <v>0</v>
      </c>
      <c r="BF148" s="50" t="e">
        <f t="shared" si="41"/>
        <v>#REF!</v>
      </c>
      <c r="BG148" s="50">
        <f t="shared" si="42"/>
        <v>11503.62</v>
      </c>
      <c r="BH148" s="27">
        <f>AE148+ (AI148-AJ148+AM148+Tableau5617192223242425262827293031333432353620383961719241822254140424344104746[[#This Row],[Int Commandé OT
€]]-Tableau5617192223242425262827293031333432353620383961719241822254140424344104746[[#This Row],[Int Réalisé OT
€]]+AR148) +AY148+BC148</f>
        <v>-11025.62</v>
      </c>
      <c r="BI148" s="22">
        <f t="shared" si="37"/>
        <v>24.066150627615066</v>
      </c>
      <c r="BJ148" s="47" t="e">
        <f t="shared" si="43"/>
        <v>#REF!</v>
      </c>
      <c r="BK148" s="27" t="e">
        <f t="shared" si="44"/>
        <v>#REF!</v>
      </c>
      <c r="BL148" s="26" t="e">
        <f t="shared" si="45"/>
        <v>#REF!</v>
      </c>
      <c r="BM148" s="96">
        <f>IFERROR(VLOOKUP(H148,'[1]2023dec'!H:CA,54,FALSE),105)</f>
        <v>105</v>
      </c>
      <c r="BN148" s="29">
        <v>1</v>
      </c>
      <c r="BO148" s="30" t="e">
        <f>P148-AC148-AG148-AV148-Tableau5617192223242425262827293031333432353620383961719241822254140424344104746[[#This Row],[Provisions pour risques]]</f>
        <v>#REF!</v>
      </c>
      <c r="BP14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478</v>
      </c>
      <c r="BQ14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24.066150627615066</v>
      </c>
      <c r="BR148" s="97" t="e">
        <f t="shared" si="34"/>
        <v>#REF!</v>
      </c>
      <c r="BS148" s="34">
        <f>Tableau5617192223242425262827293031333432353620383961719241822254140424344104746[[#This Row],[Consommé global Enregistré à date (€ HT)]]-IFERROR(VLOOKUP(H148,#REF!,50,FALSE),0)</f>
        <v>11503.62</v>
      </c>
      <c r="BT148" s="35" t="e">
        <f t="shared" si="35"/>
        <v>#REF!</v>
      </c>
      <c r="BU148" s="36">
        <f>BD148-IFERROR(VLOOKUP(H148,#REF!,47,FALSE),0)</f>
        <v>0</v>
      </c>
      <c r="BV148" s="37" t="e">
        <f>+BF148+Tableau5617192223242425262827293031333432353620383961719241822254140424344104746[[#This Row],[CA fin N-1]]-IFERROR(VLOOKUP(H148,#REF!,49,FALSE),0)-IFERROR(VLOOKUP(H148,#REF!,50,FALSE),0)</f>
        <v>#REF!</v>
      </c>
      <c r="BW148" s="33">
        <f>BG148-IFERROR(VLOOKUP(H148,#REF!,51,FALSE),0)</f>
        <v>11503.62</v>
      </c>
      <c r="BX148" s="35" t="e">
        <f t="shared" si="36"/>
        <v>#REF!</v>
      </c>
      <c r="BY148" s="36">
        <f>BD148-IFERROR(VLOOKUP(H148,#REF!,48,FALSE),0)</f>
        <v>0</v>
      </c>
      <c r="BZ14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8" s="39" t="e">
        <f>VLOOKUP(Tableau5617192223242425262827293031333432353620383961719241822254140424344104746[[#This Row],[Num Projets]],#REF!,1,FALSE)</f>
        <v>#REF!</v>
      </c>
      <c r="CB148" s="40">
        <v>10</v>
      </c>
      <c r="CC148" s="40">
        <v>0</v>
      </c>
      <c r="CD14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</v>
      </c>
    </row>
    <row r="149" spans="1:82" ht="13.5" customHeight="1" x14ac:dyDescent="0.25">
      <c r="A149" s="311"/>
      <c r="B149" s="1"/>
      <c r="C149" s="2" t="e">
        <f>_xlfn.XLOOKUP(Tableau5617192223242425262827293031333432353620383961719241822254140424344104746[[#This Row],[Num Projets]],#REF!,#REF!,FALSE)</f>
        <v>#REF!</v>
      </c>
      <c r="D149" s="3" t="s">
        <v>6</v>
      </c>
      <c r="E149" s="3" t="e">
        <f>_xlfn.XLOOKUP(Tableau5617192223242425262827293031333432353620383961719241822254140424344104746[[#This Row],[Num Projets]],#REF!,#REF!,FALSE)</f>
        <v>#REF!</v>
      </c>
      <c r="F149" s="3" t="e">
        <f>_xlfn.XLOOKUP(Tableau5617192223242425262827293031333432353620383961719241822254140424344104746[[#This Row],[Num Projets]],#REF!,#REF!,"newavr",0)</f>
        <v>#REF!</v>
      </c>
      <c r="G149" s="3" t="s">
        <v>2</v>
      </c>
      <c r="H149" s="3" t="s">
        <v>283</v>
      </c>
      <c r="I14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49" s="4" t="e">
        <f>VLOOKUP(Tableau5617192223242425262827293031333432353620383961719241822254140424344104746[[#This Row],[Num Projets]],#REF!,36,FALSE)</f>
        <v>#REF!</v>
      </c>
      <c r="K149" s="5" t="s">
        <v>9</v>
      </c>
      <c r="L14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49" s="3" t="e">
        <f>SUBSTITUTE(_xlfn.XLOOKUP(Tableau5617192223242425262827293031333432353620383961719241822254140424344104746[[#This Row],[Num Projets]],#REF!,#REF!,FALSE)," ","")</f>
        <v>#REF!</v>
      </c>
      <c r="N149" s="7" t="e">
        <f>VLOOKUP(H149,#REF!,7,FALSE)</f>
        <v>#REF!</v>
      </c>
      <c r="O149" s="7" t="e">
        <f>IF(VLOOKUP(H149,#REF!,27,FALSE)=0,"",VLOOKUP(H149,#REF!,27,FALSE))</f>
        <v>#REF!</v>
      </c>
      <c r="P149" s="8" t="e">
        <f>VLOOKUP(H149,#REF!,2,FALSE)</f>
        <v>#REF!</v>
      </c>
      <c r="Q149" s="9" t="e">
        <f>Tableau5617192223242425262827293031333432353620383961719241822254140424344104746[[#This Row],[Total Budget
€]]-IFERROR(VLOOKUP(H149,#REF!,8,FALSE),0)</f>
        <v>#REF!</v>
      </c>
      <c r="R149" s="10">
        <f>AD149+AI149+Tableau5617192223242425262827293031333432353620383961719241822254140424344104746[[#This Row],[Int Commandé OT
€]]+AX149</f>
        <v>0</v>
      </c>
      <c r="S149" s="10">
        <f>AD149+AJ149+Tableau5617192223242425262827293031333432353620383961719241822254140424344104746[[#This Row],[Int Réalisé OT
€]]+AX149</f>
        <v>0</v>
      </c>
      <c r="T149" s="11" t="e">
        <f t="shared" si="38"/>
        <v>#REF!</v>
      </c>
      <c r="U14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4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49" s="12">
        <f>IFERROR(VLOOKUP(H149,#REF!,2,FALSE),0)</f>
        <v>0</v>
      </c>
      <c r="X149" s="13">
        <f>IFERROR(VLOOKUP(H149,#REF!,2,FALSE),0)</f>
        <v>0</v>
      </c>
      <c r="Y149" s="13">
        <f>IFERROR(VLOOKUP(H149,#REF!,3,FALSE),0)</f>
        <v>0</v>
      </c>
      <c r="Z14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20</v>
      </c>
      <c r="AA149" s="13">
        <f>IFERROR(VLOOKUP(H149,#REF!,18,FALSE),0)</f>
        <v>0</v>
      </c>
      <c r="AB149" s="13">
        <f>SUM(X149:Y149)-IFERROR(VLOOKUP(H149,#REF!,16,FALSE),0)-IFERROR(VLOOKUP(H149,#REF!,17,FALSE),0)</f>
        <v>0</v>
      </c>
      <c r="AC149" s="15" t="e">
        <f>Tableau5617192223242425262827293031333432353620383961719241822254140424344104746[[#This Row],[Total Budget
€]]</f>
        <v>#REF!</v>
      </c>
      <c r="AD149" s="15">
        <f>IFERROR(VLOOKUP(Tableau5617192223242425262827293031333432353620383961719241822254140424344104746[[#This Row],[Num Projets]],#REF!,2,FALSE),0)</f>
        <v>0</v>
      </c>
      <c r="AE149" s="8">
        <f t="shared" si="39"/>
        <v>956</v>
      </c>
      <c r="AF149" s="22" t="e">
        <f t="shared" si="40"/>
        <v>#REF!</v>
      </c>
      <c r="AG149" s="8">
        <f>IFERROR(VLOOKUP(H149,#REF!,3,FALSE),0)+IFERROR(VLOOKUP(H149,#REF!,3,FALSE),0)</f>
        <v>0</v>
      </c>
      <c r="AH149" s="8">
        <f>IFERROR(VLOOKUP(Tableau5617192223242425262827293031333432353620383961719241822254140424344104746[[#This Row],[Num Projets]],#REF!,2,FALSE),0)</f>
        <v>0</v>
      </c>
      <c r="AI149" s="17">
        <f>+IFERROR(VLOOKUP(H149,#REF!,2,FALSE),0)-Tableau5617192223242425262827293031333432353620383961719241822254140424344104746[[#This Row],[Int Commandé OT
€]]</f>
        <v>0</v>
      </c>
      <c r="AJ149" s="8">
        <f>IFERROR(VLOOKUP(H149,#REF!,11,FALSE),0)-IFERROR(VLOOKUP(H149,#REF!,10,FALSE),0)+Tableau5617192223242425262827293031333432353620383961719241822254140424344104746[[#This Row],[dont FNP à date (€ HT)]]</f>
        <v>0</v>
      </c>
      <c r="AK149" s="15">
        <f t="shared" si="46"/>
        <v>0</v>
      </c>
      <c r="AL14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49" s="19">
        <f>IF(Tableau5617192223242425262827293031333432353620383961719241822254140424344104746[[#This Row],[RAF Achats M-1
€]]=0,0,AN149-AO149)</f>
        <v>0</v>
      </c>
      <c r="AN149" s="8">
        <f>IFERROR(VLOOKUP(H149,#REF!,31,FALSE),0)</f>
        <v>0</v>
      </c>
      <c r="AO149" s="8">
        <f>AI149+-IFERROR(VLOOKUP(H149,#REF!,27,FALSE),0)</f>
        <v>0</v>
      </c>
      <c r="AP149" s="20">
        <f>IFERROR(VLOOKUP(Tableau5617192223242425262827293031333432353620383961719241822254140424344104746[[#This Row],[Num Projets]],#REF!,2,FALSE),0)</f>
        <v>0</v>
      </c>
      <c r="AQ149" s="20">
        <f>_xlfn.XLOOKUP(H149,[2]Synth!$N:$N,[2]Synth!$O:$O,0,FALSE)+_xlfn.XLOOKUP(Tableau5617192223242425262827293031333432353620383961719241822254140424344104746[[#This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49" s="21">
        <v>0</v>
      </c>
      <c r="AS149" s="20">
        <f>+IFERROR(VLOOKUP(H149,#REF!,36,FALSE),0)</f>
        <v>0</v>
      </c>
      <c r="AT14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49" s="22">
        <f>IF(AG149=0,0,1-((AI149+AM149+Tableau5617192223242425262827293031333432353620383961719241822254140424344104746[[#This Row],[Int Commandé OT
€]]+Tableau5617192223242425262827293031333432353620383961719241822254140424344104746[[#This Row],[RAF Int OT
€]])/AG149))</f>
        <v>0</v>
      </c>
      <c r="AV149" s="8">
        <f>IFERROR(VLOOKUP(H149,#REF!,4,FALSE),0)+IFERROR(VLOOKUP(H149,#REF!,4,FALSE),0)</f>
        <v>0</v>
      </c>
      <c r="AW149" s="8">
        <f>IFERROR(VLOOKUP(Tableau5617192223242425262827293031333432353620383961719241822254140424344104746[[#This Row],[Num Projets]],#REF!,3,FALSE),0)</f>
        <v>0</v>
      </c>
      <c r="AX149" s="95">
        <f>IFERROR(VLOOKUP(Tableau5617192223242425262827293031333432353620383961719241822254140424344104746[[#This Row],[Num Projets]],#REF!,10,FALSE),0)</f>
        <v>0</v>
      </c>
      <c r="AY149" s="23">
        <f>Tableau5617192223242425262827293031333432353620383961719241822254140424344104746[[#This Row],[Budget Mission
 €]]/1.2-AX149</f>
        <v>0</v>
      </c>
      <c r="AZ149" s="8">
        <f>IFERROR(VLOOKUP(H149,#REF!,43,FALSE),0)</f>
        <v>0</v>
      </c>
      <c r="BA149" s="8">
        <f>AX149-IFERROR(VLOOKUP(H149,#REF!,42,FALSE),0)</f>
        <v>0</v>
      </c>
      <c r="BB149" s="47">
        <f t="shared" si="33"/>
        <v>0</v>
      </c>
      <c r="BC149" s="24">
        <f>IFERROR(VLOOKUP(H149,#REF!,47,FALSE),IFERROR(VLOOKUP(H149,#REF!,5,FALSE),0)+IFERROR(VLOOKUP(H149,#REF!,5,FALSE),0))</f>
        <v>0</v>
      </c>
      <c r="BD149" s="25">
        <f>IFERROR(VLOOKUP(H149,#REF!,2,FALSE),0)</f>
        <v>0</v>
      </c>
      <c r="BE149" s="25">
        <f>IFERROR(VLOOKUP(H149,#REF!,49,FALSE),0)</f>
        <v>0</v>
      </c>
      <c r="BF149" s="50" t="e">
        <f t="shared" si="41"/>
        <v>#REF!</v>
      </c>
      <c r="BG149" s="50">
        <f t="shared" si="42"/>
        <v>0</v>
      </c>
      <c r="BH149" s="27">
        <f>AE149+ (AI149-AJ149+AM149+Tableau5617192223242425262827293031333432353620383961719241822254140424344104746[[#This Row],[Int Commandé OT
€]]-Tableau5617192223242425262827293031333432353620383961719241822254140424344104746[[#This Row],[Int Réalisé OT
€]]+AR149) +AY149+BC149</f>
        <v>956</v>
      </c>
      <c r="BI149" s="47">
        <f t="shared" si="37"/>
        <v>0</v>
      </c>
      <c r="BJ149" s="47" t="e">
        <f t="shared" si="43"/>
        <v>#REF!</v>
      </c>
      <c r="BK149" s="27" t="e">
        <f t="shared" si="44"/>
        <v>#REF!</v>
      </c>
      <c r="BL149" s="26" t="e">
        <f t="shared" si="45"/>
        <v>#REF!</v>
      </c>
      <c r="BM149" s="96">
        <f>IFERROR(VLOOKUP(H149,'[1]2023dec'!H:CA,54,FALSE),105)</f>
        <v>105</v>
      </c>
      <c r="BN149" s="29">
        <v>1</v>
      </c>
      <c r="BO149" s="30" t="e">
        <f>P149-AC149-AG149-AV149-Tableau5617192223242425262827293031333432353620383961719241822254140424344104746[[#This Row],[Provisions pour risques]]</f>
        <v>#REF!</v>
      </c>
      <c r="BP14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956</v>
      </c>
      <c r="BQ14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49" s="97" t="e">
        <f t="shared" si="34"/>
        <v>#REF!</v>
      </c>
      <c r="BS149" s="34">
        <f>Tableau5617192223242425262827293031333432353620383961719241822254140424344104746[[#This Row],[Consommé global Enregistré à date (€ HT)]]-IFERROR(VLOOKUP(H149,#REF!,50,FALSE),0)</f>
        <v>0</v>
      </c>
      <c r="BT149" s="35" t="e">
        <f t="shared" si="35"/>
        <v>#REF!</v>
      </c>
      <c r="BU149" s="36">
        <f>BD149-IFERROR(VLOOKUP(H149,#REF!,47,FALSE),0)</f>
        <v>0</v>
      </c>
      <c r="BV149" s="37" t="e">
        <f>+BF149+Tableau5617192223242425262827293031333432353620383961719241822254140424344104746[[#This Row],[CA fin N-1]]-IFERROR(VLOOKUP(H149,#REF!,49,FALSE),0)-IFERROR(VLOOKUP(H149,#REF!,50,FALSE),0)</f>
        <v>#REF!</v>
      </c>
      <c r="BW149" s="33">
        <f>BG149-IFERROR(VLOOKUP(H149,#REF!,51,FALSE),0)</f>
        <v>0</v>
      </c>
      <c r="BX149" s="35" t="e">
        <f t="shared" si="36"/>
        <v>#REF!</v>
      </c>
      <c r="BY149" s="36">
        <f>BD149-IFERROR(VLOOKUP(H149,#REF!,48,FALSE),0)</f>
        <v>0</v>
      </c>
      <c r="BZ14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49" s="39" t="e">
        <f>VLOOKUP(Tableau5617192223242425262827293031333432353620383961719241822254140424344104746[[#This Row],[Num Projets]],#REF!,1,FALSE)</f>
        <v>#REF!</v>
      </c>
      <c r="CB149" s="40">
        <v>20</v>
      </c>
      <c r="CC149" s="40">
        <v>0</v>
      </c>
      <c r="CD14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</v>
      </c>
    </row>
    <row r="150" spans="1:82" ht="13.5" customHeight="1" x14ac:dyDescent="0.25">
      <c r="A150" s="313" t="s">
        <v>284</v>
      </c>
      <c r="B150" s="1"/>
      <c r="C150" s="2" t="e">
        <f>_xlfn.XLOOKUP(Tableau5617192223242425262827293031333432353620383961719241822254140424344104746[[#This Row],[Num Projets]],#REF!,#REF!,FALSE)</f>
        <v>#REF!</v>
      </c>
      <c r="D150" s="3" t="s">
        <v>6</v>
      </c>
      <c r="E150" s="3" t="e">
        <f>_xlfn.XLOOKUP(Tableau5617192223242425262827293031333432353620383961719241822254140424344104746[[#This Row],[Num Projets]],#REF!,#REF!,FALSE)</f>
        <v>#REF!</v>
      </c>
      <c r="F150" s="3" t="e">
        <f>_xlfn.XLOOKUP(Tableau5617192223242425262827293031333432353620383961719241822254140424344104746[[#This Row],[Num Projets]],#REF!,#REF!,"newavr",0)</f>
        <v>#REF!</v>
      </c>
      <c r="G150" s="3" t="s">
        <v>2</v>
      </c>
      <c r="H150" s="3" t="s">
        <v>285</v>
      </c>
      <c r="I15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0" s="4" t="e">
        <f>VLOOKUP(Tableau5617192223242425262827293031333432353620383961719241822254140424344104746[[#This Row],[Num Projets]],#REF!,36,FALSE)</f>
        <v>#REF!</v>
      </c>
      <c r="K150" s="5" t="s">
        <v>9</v>
      </c>
      <c r="L15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0" s="3" t="e">
        <f>SUBSTITUTE(_xlfn.XLOOKUP(Tableau5617192223242425262827293031333432353620383961719241822254140424344104746[[#This Row],[Num Projets]],#REF!,#REF!,FALSE)," ","")</f>
        <v>#REF!</v>
      </c>
      <c r="N150" s="7" t="e">
        <f>VLOOKUP(H150,#REF!,7,FALSE)</f>
        <v>#REF!</v>
      </c>
      <c r="O150" s="7" t="e">
        <f>IF(VLOOKUP(H150,#REF!,27,FALSE)=0,"",VLOOKUP(H150,#REF!,27,FALSE))</f>
        <v>#REF!</v>
      </c>
      <c r="P150" s="8" t="e">
        <f>VLOOKUP(H150,#REF!,2,FALSE)</f>
        <v>#REF!</v>
      </c>
      <c r="Q150" s="9" t="e">
        <f>Tableau5617192223242425262827293031333432353620383961719241822254140424344104746[[#This Row],[Total Budget
€]]-IFERROR(VLOOKUP(H150,#REF!,8,FALSE),0)</f>
        <v>#REF!</v>
      </c>
      <c r="R150" s="10">
        <f>AD150+AI150+Tableau5617192223242425262827293031333432353620383961719241822254140424344104746[[#This Row],[Int Commandé OT
€]]+AX150</f>
        <v>0</v>
      </c>
      <c r="S150" s="10">
        <f>AD150+AJ150+Tableau5617192223242425262827293031333432353620383961719241822254140424344104746[[#This Row],[Int Réalisé OT
€]]+AX150</f>
        <v>0</v>
      </c>
      <c r="T150" s="11" t="e">
        <f t="shared" si="38"/>
        <v>#REF!</v>
      </c>
      <c r="U15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0" s="12">
        <f>IFERROR(VLOOKUP(H150,#REF!,2,FALSE),0)</f>
        <v>0</v>
      </c>
      <c r="X150" s="13">
        <f>IFERROR(VLOOKUP(H150,#REF!,2,FALSE),0)</f>
        <v>0</v>
      </c>
      <c r="Y150" s="13">
        <f>IFERROR(VLOOKUP(H150,#REF!,3,FALSE),0)</f>
        <v>0</v>
      </c>
      <c r="Z15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100</v>
      </c>
      <c r="AA150" s="13">
        <f>IFERROR(VLOOKUP(H150,#REF!,18,FALSE),0)</f>
        <v>0</v>
      </c>
      <c r="AB150" s="13">
        <f>SUM(X150:Y150)-IFERROR(VLOOKUP(H150,#REF!,16,FALSE),0)-IFERROR(VLOOKUP(H150,#REF!,17,FALSE),0)</f>
        <v>0</v>
      </c>
      <c r="AC150" s="15" t="e">
        <f>VLOOKUP(Tableau5617192223242425262827293031333432353620383961719241822254140424344104746[[#This Row],[Num Projets]],#REF!,2,FALSE)-Tableau5617192223242425262827293031333432353620383961719241822254140424344104746[[#This Row],[Budget Achat HT
€]]</f>
        <v>#REF!</v>
      </c>
      <c r="AD150" s="15">
        <f>IFERROR(VLOOKUP(Tableau5617192223242425262827293031333432353620383961719241822254140424344104746[[#This Row],[Num Projets]],#REF!,2,FALSE),0)</f>
        <v>0</v>
      </c>
      <c r="AE150" s="8">
        <f t="shared" si="39"/>
        <v>4780</v>
      </c>
      <c r="AF150" s="22" t="e">
        <f t="shared" si="40"/>
        <v>#REF!</v>
      </c>
      <c r="AG150" s="41">
        <f>Tableau5617192223242425262827293031333432353620383961719241822254140424344104746[[#This Row],[Prévi HA coûts = nomenaf]]*1.2</f>
        <v>0</v>
      </c>
      <c r="AH150" s="8">
        <f>IFERROR(VLOOKUP(Tableau5617192223242425262827293031333432353620383961719241822254140424344104746[[#This Row],[Num Projets]],#REF!,2,FALSE),0)</f>
        <v>0</v>
      </c>
      <c r="AI150" s="17">
        <f>+IFERROR(VLOOKUP(H150,#REF!,2,FALSE),0)-Tableau5617192223242425262827293031333432353620383961719241822254140424344104746[[#This Row],[Int Commandé OT
€]]</f>
        <v>0</v>
      </c>
      <c r="AJ150" s="8">
        <f>IFERROR(VLOOKUP(H150,#REF!,11,FALSE),0)-IFERROR(VLOOKUP(H150,#REF!,10,FALSE),0)+Tableau5617192223242425262827293031333432353620383961719241822254140424344104746[[#This Row],[dont FNP à date (€ HT)]]</f>
        <v>0</v>
      </c>
      <c r="AK150" s="15">
        <f t="shared" si="46"/>
        <v>0</v>
      </c>
      <c r="AL15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0" s="19">
        <f>IF(Tableau5617192223242425262827293031333432353620383961719241822254140424344104746[[#This Row],[RAF Achats M-1
€]]=0,0,AN150-AO150)</f>
        <v>0</v>
      </c>
      <c r="AN150" s="8">
        <f>IFERROR(VLOOKUP(H150,#REF!,31,FALSE),0)</f>
        <v>0</v>
      </c>
      <c r="AO150" s="8">
        <f>AI150+-IFERROR(VLOOKUP(H150,#REF!,27,FALSE),0)</f>
        <v>0</v>
      </c>
      <c r="AP150" s="20">
        <f>IFERROR(VLOOKUP(Tableau5617192223242425262827293031333432353620383961719241822254140424344104746[[#This Row],[Num Projets]],#REF!,2,FALSE),0)</f>
        <v>0</v>
      </c>
      <c r="AQ150" s="20">
        <f>_xlfn.XLOOKUP(H150,[2]Synth!$N:$N,[2]Synth!$O:$O,0,FALSE)+_xlfn.XLOOKUP(Tableau5617192223242425262827293031333432353620383961719241822254140424344104746[[#This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0" s="21">
        <v>0</v>
      </c>
      <c r="AS150" s="20">
        <f>+IFERROR(VLOOKUP(H150,#REF!,36,FALSE),0)</f>
        <v>0</v>
      </c>
      <c r="AT15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0" s="22">
        <f>IF(AG150=0,0,1-((AI150+AM150+Tableau5617192223242425262827293031333432353620383961719241822254140424344104746[[#This Row],[Int Commandé OT
€]]+Tableau5617192223242425262827293031333432353620383961719241822254140424344104746[[#This Row],[RAF Int OT
€]])/AG150))</f>
        <v>0</v>
      </c>
      <c r="AV150" s="8">
        <f>IFERROR(VLOOKUP(H150,#REF!,4,FALSE),0)+IFERROR(VLOOKUP(H150,#REF!,4,FALSE),0)</f>
        <v>0</v>
      </c>
      <c r="AW150" s="8">
        <f>IFERROR(VLOOKUP(Tableau5617192223242425262827293031333432353620383961719241822254140424344104746[[#This Row],[Num Projets]],#REF!,3,FALSE),0)</f>
        <v>0</v>
      </c>
      <c r="AX150" s="95">
        <f>IFERROR(VLOOKUP(Tableau5617192223242425262827293031333432353620383961719241822254140424344104746[[#This Row],[Num Projets]],#REF!,10,FALSE),0)</f>
        <v>0</v>
      </c>
      <c r="AY150" s="23">
        <f>Tableau5617192223242425262827293031333432353620383961719241822254140424344104746[[#This Row],[Budget Mission
 €]]/1.2-AX150</f>
        <v>0</v>
      </c>
      <c r="AZ150" s="8">
        <f>IFERROR(VLOOKUP(H150,#REF!,43,FALSE),0)</f>
        <v>0</v>
      </c>
      <c r="BA150" s="8">
        <f>AX150-IFERROR(VLOOKUP(H150,#REF!,42,FALSE),0)</f>
        <v>0</v>
      </c>
      <c r="BB150" s="47">
        <f t="shared" si="33"/>
        <v>0</v>
      </c>
      <c r="BC150" s="24">
        <f>IFERROR(VLOOKUP(H150,#REF!,47,FALSE),IFERROR(VLOOKUP(H150,#REF!,5,FALSE),0)+IFERROR(VLOOKUP(H150,#REF!,5,FALSE),0))</f>
        <v>0</v>
      </c>
      <c r="BD150" s="25">
        <f>IFERROR(VLOOKUP(H150,#REF!,2,FALSE),0)</f>
        <v>0</v>
      </c>
      <c r="BE150" s="25">
        <f>IFERROR(VLOOKUP(H150,#REF!,49,FALSE),0)</f>
        <v>0</v>
      </c>
      <c r="BF150" s="50" t="e">
        <f t="shared" si="41"/>
        <v>#REF!</v>
      </c>
      <c r="BG150" s="50">
        <f t="shared" si="42"/>
        <v>0</v>
      </c>
      <c r="BH150" s="27">
        <f>AE150+ (AI150-AJ150+AM150+Tableau5617192223242425262827293031333432353620383961719241822254140424344104746[[#This Row],[Int Commandé OT
€]]-Tableau5617192223242425262827293031333432353620383961719241822254140424344104746[[#This Row],[Int Réalisé OT
€]]+AR150) +AY150+BC150</f>
        <v>4780</v>
      </c>
      <c r="BI150" s="47">
        <f t="shared" si="37"/>
        <v>0</v>
      </c>
      <c r="BJ150" s="47" t="e">
        <f t="shared" si="43"/>
        <v>#REF!</v>
      </c>
      <c r="BK150" s="27" t="e">
        <f t="shared" si="44"/>
        <v>#REF!</v>
      </c>
      <c r="BL150" s="26" t="e">
        <f t="shared" si="45"/>
        <v>#REF!</v>
      </c>
      <c r="BM150" s="96">
        <f>IFERROR(VLOOKUP(H150,'[1]2023dec'!H:CA,54,FALSE),105)</f>
        <v>105</v>
      </c>
      <c r="BN150" s="29">
        <v>1</v>
      </c>
      <c r="BO150" s="30" t="e">
        <f>P150-AC150-AG150-AV150-Tableau5617192223242425262827293031333432353620383961719241822254140424344104746[[#This Row],[Provisions pour risques]]</f>
        <v>#REF!</v>
      </c>
      <c r="BP15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4780</v>
      </c>
      <c r="BQ15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0" s="97" t="e">
        <f t="shared" si="34"/>
        <v>#REF!</v>
      </c>
      <c r="BS150" s="34">
        <f>Tableau5617192223242425262827293031333432353620383961719241822254140424344104746[[#This Row],[Consommé global Enregistré à date (€ HT)]]-IFERROR(VLOOKUP(H150,#REF!,50,FALSE),0)</f>
        <v>0</v>
      </c>
      <c r="BT150" s="35" t="e">
        <f t="shared" si="35"/>
        <v>#REF!</v>
      </c>
      <c r="BU150" s="36">
        <f>BD150-IFERROR(VLOOKUP(H150,#REF!,47,FALSE),0)</f>
        <v>0</v>
      </c>
      <c r="BV150" s="37" t="e">
        <f>+BF150+Tableau5617192223242425262827293031333432353620383961719241822254140424344104746[[#This Row],[CA fin N-1]]-IFERROR(VLOOKUP(H150,#REF!,49,FALSE),0)-IFERROR(VLOOKUP(H150,#REF!,50,FALSE),0)</f>
        <v>#REF!</v>
      </c>
      <c r="BW150" s="33">
        <f>BG150-IFERROR(VLOOKUP(H150,#REF!,51,FALSE),0)</f>
        <v>0</v>
      </c>
      <c r="BX150" s="35" t="e">
        <f t="shared" si="36"/>
        <v>#REF!</v>
      </c>
      <c r="BY150" s="36">
        <f>BD150-IFERROR(VLOOKUP(H150,#REF!,48,FALSE),0)</f>
        <v>0</v>
      </c>
      <c r="BZ15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0" s="39" t="e">
        <f>VLOOKUP(Tableau5617192223242425262827293031333432353620383961719241822254140424344104746[[#This Row],[Num Projets]],#REF!,1,FALSE)</f>
        <v>#REF!</v>
      </c>
      <c r="CB150" s="40">
        <v>45</v>
      </c>
      <c r="CC150" s="40">
        <v>55</v>
      </c>
      <c r="CD15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-45</v>
      </c>
    </row>
    <row r="151" spans="1:82" ht="13.5" customHeight="1" x14ac:dyDescent="0.25">
      <c r="A151" s="311"/>
      <c r="B151" s="1"/>
      <c r="C151" s="2" t="e">
        <f>_xlfn.XLOOKUP(Tableau5617192223242425262827293031333432353620383961719241822254140424344104746[[#This Row],[Num Projets]],#REF!,#REF!,FALSE)</f>
        <v>#REF!</v>
      </c>
      <c r="D151" s="3" t="s">
        <v>40</v>
      </c>
      <c r="E151" s="3" t="e">
        <f>_xlfn.XLOOKUP(Tableau5617192223242425262827293031333432353620383961719241822254140424344104746[[#This Row],[Num Projets]],#REF!,#REF!,FALSE)</f>
        <v>#REF!</v>
      </c>
      <c r="F151" s="3" t="e">
        <f>_xlfn.XLOOKUP(Tableau5617192223242425262827293031333432353620383961719241822254140424344104746[[#This Row],[Num Projets]],#REF!,#REF!,"newavr",0)</f>
        <v>#REF!</v>
      </c>
      <c r="G151" s="3" t="s">
        <v>2</v>
      </c>
      <c r="H151" s="3" t="s">
        <v>286</v>
      </c>
      <c r="I15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1" s="4" t="e">
        <f>VLOOKUP(Tableau5617192223242425262827293031333432353620383961719241822254140424344104746[[#This Row],[Num Projets]],#REF!,36,FALSE)</f>
        <v>#REF!</v>
      </c>
      <c r="K151" s="5" t="s">
        <v>161</v>
      </c>
      <c r="L15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1" s="3" t="e">
        <f>SUBSTITUTE(_xlfn.XLOOKUP(Tableau5617192223242425262827293031333432353620383961719241822254140424344104746[[#This Row],[Num Projets]],#REF!,#REF!,FALSE)," ","")</f>
        <v>#REF!</v>
      </c>
      <c r="N151" s="7" t="e">
        <f>VLOOKUP(H151,#REF!,7,FALSE)</f>
        <v>#REF!</v>
      </c>
      <c r="O151" s="7" t="e">
        <f>IF(VLOOKUP(H151,#REF!,27,FALSE)=0,"",VLOOKUP(H151,#REF!,27,FALSE))</f>
        <v>#REF!</v>
      </c>
      <c r="P151" s="8" t="e">
        <f>VLOOKUP(H151,#REF!,2,FALSE)</f>
        <v>#REF!</v>
      </c>
      <c r="Q151" s="9" t="e">
        <f>Tableau5617192223242425262827293031333432353620383961719241822254140424344104746[[#This Row],[Total Budget
€]]-IFERROR(VLOOKUP(H151,#REF!,8,FALSE),0)</f>
        <v>#REF!</v>
      </c>
      <c r="R151" s="10">
        <f>AD151+AI151+Tableau5617192223242425262827293031333432353620383961719241822254140424344104746[[#This Row],[Int Commandé OT
€]]+AX151</f>
        <v>0</v>
      </c>
      <c r="S151" s="10">
        <f>AD151+AJ151+Tableau5617192223242425262827293031333432353620383961719241822254140424344104746[[#This Row],[Int Réalisé OT
€]]+AX151</f>
        <v>0</v>
      </c>
      <c r="T151" s="11" t="e">
        <f t="shared" si="38"/>
        <v>#REF!</v>
      </c>
      <c r="U15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1" s="42" t="e">
        <f>Tableau5617192223242425262827293031333432353620383961719241822254140424344104746[[#This Row],[Budget Heures Valorisées
€]]/105</f>
        <v>#REF!</v>
      </c>
      <c r="X151" s="13">
        <f>IFERROR(VLOOKUP(H151,#REF!,2,FALSE),0)</f>
        <v>0</v>
      </c>
      <c r="Y151" s="13">
        <f>IFERROR(VLOOKUP(H151,#REF!,3,FALSE),0)</f>
        <v>0</v>
      </c>
      <c r="Z15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74</v>
      </c>
      <c r="AA151" s="13">
        <f>IFERROR(VLOOKUP(H151,#REF!,18,FALSE),0)</f>
        <v>0</v>
      </c>
      <c r="AB151" s="13">
        <f>SUM(X151:Y151)-IFERROR(VLOOKUP(H151,#REF!,16,FALSE),0)-IFERROR(VLOOKUP(H151,#REF!,17,FALSE),0)</f>
        <v>0</v>
      </c>
      <c r="AC151" s="15" t="e">
        <f>Tableau5617192223242425262827293031333432353620383961719241822254140424344104746[[#This Row],[Total Budget
€]]</f>
        <v>#REF!</v>
      </c>
      <c r="AD151" s="15">
        <f>IFERROR(VLOOKUP(Tableau5617192223242425262827293031333432353620383961719241822254140424344104746[[#This Row],[Num Projets]],#REF!,2,FALSE),0)</f>
        <v>0</v>
      </c>
      <c r="AE151" s="8">
        <f t="shared" si="39"/>
        <v>3537.2</v>
      </c>
      <c r="AF151" s="22" t="e">
        <f t="shared" si="40"/>
        <v>#REF!</v>
      </c>
      <c r="AG151" s="8">
        <f>IFERROR(VLOOKUP(H151,#REF!,3,FALSE),0)+IFERROR(VLOOKUP(H151,#REF!,3,FALSE),0)</f>
        <v>0</v>
      </c>
      <c r="AH151" s="8">
        <f>IFERROR(VLOOKUP(Tableau5617192223242425262827293031333432353620383961719241822254140424344104746[[#This Row],[Num Projets]],#REF!,2,FALSE),0)</f>
        <v>0</v>
      </c>
      <c r="AI151" s="17">
        <f>+IFERROR(VLOOKUP(H151,#REF!,2,FALSE),0)-Tableau5617192223242425262827293031333432353620383961719241822254140424344104746[[#This Row],[Int Commandé OT
€]]</f>
        <v>0</v>
      </c>
      <c r="AJ151" s="8">
        <f>IFERROR(VLOOKUP(H151,#REF!,11,FALSE),0)-IFERROR(VLOOKUP(H151,#REF!,10,FALSE),0)+Tableau5617192223242425262827293031333432353620383961719241822254140424344104746[[#This Row],[dont FNP à date (€ HT)]]</f>
        <v>0</v>
      </c>
      <c r="AK151" s="15">
        <f t="shared" si="46"/>
        <v>0</v>
      </c>
      <c r="AL15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1" s="19">
        <f>IF(Tableau5617192223242425262827293031333432353620383961719241822254140424344104746[[#This Row],[RAF Achats M-1
€]]=0,0,AN151-AO151)</f>
        <v>0</v>
      </c>
      <c r="AN151" s="8">
        <f>IFERROR(VLOOKUP(H151,#REF!,31,FALSE),0)</f>
        <v>0</v>
      </c>
      <c r="AO151" s="8">
        <f>AI151+-IFERROR(VLOOKUP(H151,#REF!,27,FALSE),0)</f>
        <v>0</v>
      </c>
      <c r="AP151" s="20">
        <f>IFERROR(VLOOKUP(Tableau5617192223242425262827293031333432353620383961719241822254140424344104746[[#This Row],[Num Projets]],#REF!,2,FALSE),0)</f>
        <v>0</v>
      </c>
      <c r="AQ151" s="20">
        <f>_xlfn.XLOOKUP(H151,[2]Synth!$N:$N,[2]Synth!$O:$O,0,FALSE)+_xlfn.XLOOKUP(Tableau5617192223242425262827293031333432353620383961719241822254140424344104746[[#This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1" s="21">
        <v>0</v>
      </c>
      <c r="AS151" s="20">
        <f>+IFERROR(VLOOKUP(H151,#REF!,36,FALSE),0)</f>
        <v>0</v>
      </c>
      <c r="AT15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1" s="22">
        <f>IF(AG151=0,0,1-((AI151+AM151+Tableau5617192223242425262827293031333432353620383961719241822254140424344104746[[#This Row],[Int Commandé OT
€]]+Tableau5617192223242425262827293031333432353620383961719241822254140424344104746[[#This Row],[RAF Int OT
€]])/AG151))</f>
        <v>0</v>
      </c>
      <c r="AV151" s="8">
        <f>IFERROR(VLOOKUP(H151,#REF!,4,FALSE),0)+IFERROR(VLOOKUP(H151,#REF!,4,FALSE),0)</f>
        <v>0</v>
      </c>
      <c r="AW151" s="8">
        <f>IFERROR(VLOOKUP(Tableau5617192223242425262827293031333432353620383961719241822254140424344104746[[#This Row],[Num Projets]],#REF!,3,FALSE),0)</f>
        <v>0</v>
      </c>
      <c r="AX151" s="95">
        <f>IFERROR(VLOOKUP(Tableau5617192223242425262827293031333432353620383961719241822254140424344104746[[#This Row],[Num Projets]],#REF!,10,FALSE),0)</f>
        <v>0</v>
      </c>
      <c r="AY151" s="23">
        <f>Tableau5617192223242425262827293031333432353620383961719241822254140424344104746[[#This Row],[Budget Mission
 €]]/1.2-AX151</f>
        <v>0</v>
      </c>
      <c r="AZ151" s="8">
        <f>IFERROR(VLOOKUP(H151,#REF!,43,FALSE),0)</f>
        <v>0</v>
      </c>
      <c r="BA151" s="8">
        <f>AX151-IFERROR(VLOOKUP(H151,#REF!,42,FALSE),0)</f>
        <v>0</v>
      </c>
      <c r="BB151" s="47">
        <f t="shared" si="33"/>
        <v>0</v>
      </c>
      <c r="BC151" s="24">
        <f>IFERROR(VLOOKUP(H151,#REF!,47,FALSE),IFERROR(VLOOKUP(H151,#REF!,5,FALSE),0)+IFERROR(VLOOKUP(H151,#REF!,5,FALSE),0))</f>
        <v>0</v>
      </c>
      <c r="BD151" s="25">
        <f>IFERROR(VLOOKUP(H151,#REF!,2,FALSE),0)</f>
        <v>0</v>
      </c>
      <c r="BE151" s="25">
        <f>IFERROR(VLOOKUP(H151,#REF!,49,FALSE),0)</f>
        <v>0</v>
      </c>
      <c r="BF151" s="50" t="e">
        <f t="shared" si="41"/>
        <v>#REF!</v>
      </c>
      <c r="BG151" s="50">
        <f t="shared" si="42"/>
        <v>0</v>
      </c>
      <c r="BH151" s="27">
        <f>AE151+ (AI151-AJ151+AM151+Tableau5617192223242425262827293031333432353620383961719241822254140424344104746[[#This Row],[Int Commandé OT
€]]-Tableau5617192223242425262827293031333432353620383961719241822254140424344104746[[#This Row],[Int Réalisé OT
€]]+AR151) +AY151+BC151</f>
        <v>3537.2</v>
      </c>
      <c r="BI151" s="47">
        <f t="shared" si="37"/>
        <v>0</v>
      </c>
      <c r="BJ151" s="47" t="e">
        <f t="shared" si="43"/>
        <v>#REF!</v>
      </c>
      <c r="BK151" s="27" t="e">
        <f t="shared" si="44"/>
        <v>#REF!</v>
      </c>
      <c r="BL151" s="26" t="e">
        <f t="shared" si="45"/>
        <v>#REF!</v>
      </c>
      <c r="BM151" s="96">
        <f>IFERROR(VLOOKUP(H151,'[1]2023dec'!H:CA,54,FALSE),105)</f>
        <v>105</v>
      </c>
      <c r="BN151" s="29">
        <v>1</v>
      </c>
      <c r="BO151" s="30" t="e">
        <f>P151-AC151-AG151-AV151-Tableau5617192223242425262827293031333432353620383961719241822254140424344104746[[#This Row],[Provisions pour risques]]</f>
        <v>#REF!</v>
      </c>
      <c r="BP15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3537.2</v>
      </c>
      <c r="BQ15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1" s="97" t="e">
        <f t="shared" si="34"/>
        <v>#REF!</v>
      </c>
      <c r="BS151" s="34">
        <f>Tableau5617192223242425262827293031333432353620383961719241822254140424344104746[[#This Row],[Consommé global Enregistré à date (€ HT)]]-IFERROR(VLOOKUP(H151,#REF!,50,FALSE),0)</f>
        <v>0</v>
      </c>
      <c r="BT151" s="35" t="e">
        <f t="shared" si="35"/>
        <v>#REF!</v>
      </c>
      <c r="BU151" s="36">
        <f>BD151-IFERROR(VLOOKUP(H151,#REF!,47,FALSE),0)</f>
        <v>0</v>
      </c>
      <c r="BV151" s="37" t="e">
        <f>+BF151+Tableau5617192223242425262827293031333432353620383961719241822254140424344104746[[#This Row],[CA fin N-1]]-IFERROR(VLOOKUP(H151,#REF!,49,FALSE),0)-IFERROR(VLOOKUP(H151,#REF!,50,FALSE),0)</f>
        <v>#REF!</v>
      </c>
      <c r="BW151" s="33">
        <f>BG151-IFERROR(VLOOKUP(H151,#REF!,51,FALSE),0)</f>
        <v>0</v>
      </c>
      <c r="BX151" s="35" t="e">
        <f t="shared" si="36"/>
        <v>#REF!</v>
      </c>
      <c r="BY151" s="36">
        <f>BD151-IFERROR(VLOOKUP(H151,#REF!,48,FALSE),0)</f>
        <v>0</v>
      </c>
      <c r="BZ15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1" s="39" t="e">
        <f>VLOOKUP(Tableau5617192223242425262827293031333432353620383961719241822254140424344104746[[#This Row],[Num Projets]],#REF!,1,FALSE)</f>
        <v>#REF!</v>
      </c>
      <c r="CB151" s="40">
        <v>64</v>
      </c>
      <c r="CC151" s="40">
        <v>10</v>
      </c>
      <c r="CD15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-64</v>
      </c>
    </row>
    <row r="152" spans="1:82" ht="13.5" customHeight="1" x14ac:dyDescent="0.25">
      <c r="A152" s="313"/>
      <c r="B152" s="1"/>
      <c r="C152" s="2" t="e">
        <f>_xlfn.XLOOKUP(Tableau5617192223242425262827293031333432353620383961719241822254140424344104746[[#This Row],[Num Projets]],#REF!,#REF!,FALSE)</f>
        <v>#REF!</v>
      </c>
      <c r="D152" s="3" t="s">
        <v>6</v>
      </c>
      <c r="E152" s="3" t="e">
        <f>_xlfn.XLOOKUP(Tableau5617192223242425262827293031333432353620383961719241822254140424344104746[[#This Row],[Num Projets]],#REF!,#REF!,FALSE)</f>
        <v>#REF!</v>
      </c>
      <c r="F152" s="3" t="e">
        <f>_xlfn.XLOOKUP(Tableau5617192223242425262827293031333432353620383961719241822254140424344104746[[#This Row],[Num Projets]],#REF!,#REF!,"newavr",0)</f>
        <v>#REF!</v>
      </c>
      <c r="G152" s="3" t="s">
        <v>219</v>
      </c>
      <c r="H152" s="3" t="s">
        <v>287</v>
      </c>
      <c r="I15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2" s="4" t="e">
        <f>VLOOKUP(Tableau5617192223242425262827293031333432353620383961719241822254140424344104746[[#This Row],[Num Projets]],#REF!,36,FALSE)</f>
        <v>#REF!</v>
      </c>
      <c r="K152" s="5" t="s">
        <v>9</v>
      </c>
      <c r="L15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2" s="3" t="e">
        <f>SUBSTITUTE(_xlfn.XLOOKUP(Tableau5617192223242425262827293031333432353620383961719241822254140424344104746[[#This Row],[Num Projets]],#REF!,#REF!,FALSE)," ","")</f>
        <v>#REF!</v>
      </c>
      <c r="N152" s="7" t="e">
        <f>VLOOKUP(H152,#REF!,7,FALSE)</f>
        <v>#REF!</v>
      </c>
      <c r="O152" s="7" t="e">
        <f>IF(VLOOKUP(H152,#REF!,27,FALSE)=0,"",VLOOKUP(H152,#REF!,27,FALSE))</f>
        <v>#REF!</v>
      </c>
      <c r="P152" s="8" t="e">
        <f>VLOOKUP(H152,#REF!,2,FALSE)</f>
        <v>#REF!</v>
      </c>
      <c r="Q152" s="9" t="e">
        <f>Tableau5617192223242425262827293031333432353620383961719241822254140424344104746[[#This Row],[Total Budget
€]]-IFERROR(VLOOKUP(H152,#REF!,8,FALSE),0)</f>
        <v>#REF!</v>
      </c>
      <c r="R152" s="10">
        <f>AD152+AI152+Tableau5617192223242425262827293031333432353620383961719241822254140424344104746[[#This Row],[Int Commandé OT
€]]+AX152</f>
        <v>0</v>
      </c>
      <c r="S152" s="10">
        <f>AD152+AJ152+Tableau5617192223242425262827293031333432353620383961719241822254140424344104746[[#This Row],[Int Réalisé OT
€]]+AX152</f>
        <v>0</v>
      </c>
      <c r="T152" s="11" t="e">
        <f t="shared" si="38"/>
        <v>#REF!</v>
      </c>
      <c r="U15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2" s="42" t="e">
        <f>Tableau5617192223242425262827293031333432353620383961719241822254140424344104746[[#This Row],[Budget Heures Valorisées
€]]/105</f>
        <v>#REF!</v>
      </c>
      <c r="X152" s="13">
        <f>IFERROR(VLOOKUP(H152,#REF!,2,FALSE),0)</f>
        <v>0</v>
      </c>
      <c r="Y152" s="13">
        <f>IFERROR(VLOOKUP(H152,#REF!,3,FALSE),0)</f>
        <v>0</v>
      </c>
      <c r="Z15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32.5</v>
      </c>
      <c r="AA152" s="13">
        <f>IFERROR(VLOOKUP(H152,#REF!,18,FALSE),0)</f>
        <v>0</v>
      </c>
      <c r="AB152" s="13">
        <f>SUM(X152:Y152)-IFERROR(VLOOKUP(H152,#REF!,16,FALSE),0)-IFERROR(VLOOKUP(H152,#REF!,17,FALSE),0)</f>
        <v>0</v>
      </c>
      <c r="AC152" s="15" t="e">
        <f>Tableau5617192223242425262827293031333432353620383961719241822254140424344104746[[#This Row],[Total Budget
€]]</f>
        <v>#REF!</v>
      </c>
      <c r="AD152" s="15">
        <f>IFERROR(VLOOKUP(Tableau5617192223242425262827293031333432353620383961719241822254140424344104746[[#This Row],[Num Projets]],#REF!,2,FALSE),0)</f>
        <v>0</v>
      </c>
      <c r="AE152" s="8">
        <f t="shared" si="39"/>
        <v>1553.5</v>
      </c>
      <c r="AF152" s="22" t="e">
        <f t="shared" si="40"/>
        <v>#REF!</v>
      </c>
      <c r="AG152" s="8">
        <f>IFERROR(VLOOKUP(H152,#REF!,3,FALSE),0)+IFERROR(VLOOKUP(H152,#REF!,3,FALSE),0)</f>
        <v>0</v>
      </c>
      <c r="AH152" s="8">
        <f>IFERROR(VLOOKUP(Tableau5617192223242425262827293031333432353620383961719241822254140424344104746[[#This Row],[Num Projets]],#REF!,2,FALSE),0)</f>
        <v>0</v>
      </c>
      <c r="AI152" s="17">
        <f>+IFERROR(VLOOKUP(H152,#REF!,2,FALSE),0)-Tableau5617192223242425262827293031333432353620383961719241822254140424344104746[[#This Row],[Int Commandé OT
€]]</f>
        <v>0</v>
      </c>
      <c r="AJ152" s="8">
        <f>IFERROR(VLOOKUP(H152,#REF!,11,FALSE),0)-IFERROR(VLOOKUP(H152,#REF!,10,FALSE),0)+Tableau5617192223242425262827293031333432353620383961719241822254140424344104746[[#This Row],[dont FNP à date (€ HT)]]</f>
        <v>0</v>
      </c>
      <c r="AK152" s="15">
        <f t="shared" si="46"/>
        <v>0</v>
      </c>
      <c r="AL15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2" s="19">
        <f>IF(Tableau5617192223242425262827293031333432353620383961719241822254140424344104746[[#This Row],[RAF Achats M-1
€]]=0,0,AN152-AO152)</f>
        <v>0</v>
      </c>
      <c r="AN152" s="8">
        <f>IFERROR(VLOOKUP(H152,#REF!,31,FALSE),0)</f>
        <v>0</v>
      </c>
      <c r="AO152" s="8">
        <f>AI152+-IFERROR(VLOOKUP(H152,#REF!,27,FALSE),0)</f>
        <v>0</v>
      </c>
      <c r="AP152" s="20">
        <f>IFERROR(VLOOKUP(Tableau5617192223242425262827293031333432353620383961719241822254140424344104746[[#This Row],[Num Projets]],#REF!,2,FALSE),0)</f>
        <v>0</v>
      </c>
      <c r="AQ152" s="20">
        <f>_xlfn.XLOOKUP(H152,[2]Synth!$N:$N,[2]Synth!$O:$O,0,FALSE)+_xlfn.XLOOKUP(Tableau5617192223242425262827293031333432353620383961719241822254140424344104746[[#This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2" s="21">
        <v>0</v>
      </c>
      <c r="AS152" s="20">
        <f>+IFERROR(VLOOKUP(H152,#REF!,36,FALSE),0)</f>
        <v>0</v>
      </c>
      <c r="AT15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2" s="22">
        <f>IF(AG152=0,0,1-((AI152+AM152+Tableau5617192223242425262827293031333432353620383961719241822254140424344104746[[#This Row],[Int Commandé OT
€]]+Tableau5617192223242425262827293031333432353620383961719241822254140424344104746[[#This Row],[RAF Int OT
€]])/AG152))</f>
        <v>0</v>
      </c>
      <c r="AV152" s="8">
        <f>IFERROR(VLOOKUP(H152,#REF!,4,FALSE),0)+IFERROR(VLOOKUP(H152,#REF!,4,FALSE),0)</f>
        <v>0</v>
      </c>
      <c r="AW152" s="8">
        <f>IFERROR(VLOOKUP(Tableau5617192223242425262827293031333432353620383961719241822254140424344104746[[#This Row],[Num Projets]],#REF!,3,FALSE),0)</f>
        <v>0</v>
      </c>
      <c r="AX152" s="95">
        <f>IFERROR(VLOOKUP(Tableau5617192223242425262827293031333432353620383961719241822254140424344104746[[#This Row],[Num Projets]],#REF!,10,FALSE),0)</f>
        <v>0</v>
      </c>
      <c r="AY152" s="23">
        <f>Tableau5617192223242425262827293031333432353620383961719241822254140424344104746[[#This Row],[Budget Mission
 €]]/1.2-AX152</f>
        <v>0</v>
      </c>
      <c r="AZ152" s="8">
        <f>IFERROR(VLOOKUP(H152,#REF!,43,FALSE),0)</f>
        <v>0</v>
      </c>
      <c r="BA152" s="8">
        <f>AX152-IFERROR(VLOOKUP(H152,#REF!,42,FALSE),0)</f>
        <v>0</v>
      </c>
      <c r="BB152" s="47">
        <f>IF(AV152=0,0,(1-((AX152+AY152)/AV152)))</f>
        <v>0</v>
      </c>
      <c r="BC152" s="24">
        <f>IFERROR(VLOOKUP(H152,#REF!,47,FALSE),IFERROR(VLOOKUP(H152,#REF!,5,FALSE),0)+IFERROR(VLOOKUP(H152,#REF!,5,FALSE),0))</f>
        <v>0</v>
      </c>
      <c r="BD152" s="25">
        <f>IFERROR(VLOOKUP(H152,#REF!,2,FALSE),0)</f>
        <v>0</v>
      </c>
      <c r="BE152" s="25">
        <f>IFERROR(VLOOKUP(H152,#REF!,49,FALSE),0)</f>
        <v>0</v>
      </c>
      <c r="BF152" s="50" t="e">
        <f t="shared" si="41"/>
        <v>#REF!</v>
      </c>
      <c r="BG152" s="50">
        <f t="shared" si="42"/>
        <v>0</v>
      </c>
      <c r="BH152" s="27">
        <f>AE152+ (AI152-AJ152+AM152+Tableau5617192223242425262827293031333432353620383961719241822254140424344104746[[#This Row],[Int Commandé OT
€]]-Tableau5617192223242425262827293031333432353620383961719241822254140424344104746[[#This Row],[Int Réalisé OT
€]]+AR152) +AY152+BC152</f>
        <v>1553.5</v>
      </c>
      <c r="BI152" s="47">
        <f>IF(BG152+BH152=0,100%,BG152/(BG152+BH152))</f>
        <v>0</v>
      </c>
      <c r="BJ152" s="47" t="e">
        <f t="shared" si="43"/>
        <v>#REF!</v>
      </c>
      <c r="BK152" s="27" t="e">
        <f t="shared" si="44"/>
        <v>#REF!</v>
      </c>
      <c r="BL152" s="26" t="e">
        <f t="shared" si="45"/>
        <v>#REF!</v>
      </c>
      <c r="BM152" s="96">
        <f>IFERROR(VLOOKUP(H152,'[1]2023dec'!H:CA,54,FALSE),105)</f>
        <v>105</v>
      </c>
      <c r="BN152" s="29">
        <v>1</v>
      </c>
      <c r="BO152" s="30" t="e">
        <f>P152-AC152-AG152-AV152-Tableau5617192223242425262827293031333432353620383961719241822254140424344104746[[#This Row],[Provisions pour risques]]</f>
        <v>#REF!</v>
      </c>
      <c r="BP15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1553.5</v>
      </c>
      <c r="BQ15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2" s="97" t="e">
        <f>BF152</f>
        <v>#REF!</v>
      </c>
      <c r="BS152" s="34">
        <f>Tableau5617192223242425262827293031333432353620383961719241822254140424344104746[[#This Row],[Consommé global Enregistré à date (€ HT)]]-IFERROR(VLOOKUP(H152,#REF!,50,FALSE),0)</f>
        <v>0</v>
      </c>
      <c r="BT152" s="35" t="e">
        <f>BR152-BS152</f>
        <v>#REF!</v>
      </c>
      <c r="BU152" s="36">
        <f>BD152-IFERROR(VLOOKUP(H152,#REF!,47,FALSE),0)</f>
        <v>0</v>
      </c>
      <c r="BV152" s="37" t="e">
        <f>+BF152+Tableau5617192223242425262827293031333432353620383961719241822254140424344104746[[#This Row],[CA fin N-1]]-IFERROR(VLOOKUP(H152,#REF!,49,FALSE),0)-IFERROR(VLOOKUP(H152,#REF!,50,FALSE),0)</f>
        <v>#REF!</v>
      </c>
      <c r="BW152" s="33">
        <f>BG152-IFERROR(VLOOKUP(H152,#REF!,51,FALSE),0)</f>
        <v>0</v>
      </c>
      <c r="BX152" s="35" t="e">
        <f>BV152-BW152</f>
        <v>#REF!</v>
      </c>
      <c r="BY152" s="36">
        <f>BD152-IFERROR(VLOOKUP(H152,#REF!,48,FALSE),0)</f>
        <v>0</v>
      </c>
      <c r="BZ15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2" s="39" t="e">
        <f>VLOOKUP(Tableau5617192223242425262827293031333432353620383961719241822254140424344104746[[#This Row],[Num Projets]],#REF!,1,FALSE)</f>
        <v>#REF!</v>
      </c>
      <c r="CB152" s="40">
        <v>16.5</v>
      </c>
      <c r="CC152" s="40">
        <v>16</v>
      </c>
      <c r="CD15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-16.5</v>
      </c>
    </row>
    <row r="153" spans="1:82" ht="15" customHeight="1" x14ac:dyDescent="0.25">
      <c r="A153" s="312" t="s">
        <v>288</v>
      </c>
      <c r="B153" s="1"/>
      <c r="C153" s="2" t="e">
        <f>_xlfn.XLOOKUP(Tableau5617192223242425262827293031333432353620383961719241822254140424344104746[[#This Row],[Num Projets]],#REF!,#REF!,FALSE)</f>
        <v>#REF!</v>
      </c>
      <c r="D153" s="3" t="s">
        <v>6</v>
      </c>
      <c r="E153" s="3" t="e">
        <f>_xlfn.XLOOKUP(Tableau5617192223242425262827293031333432353620383961719241822254140424344104746[[#This Row],[Num Projets]],#REF!,#REF!,FALSE)</f>
        <v>#REF!</v>
      </c>
      <c r="F153" s="3" t="e">
        <f>_xlfn.XLOOKUP(Tableau5617192223242425262827293031333432353620383961719241822254140424344104746[[#This Row],[Num Projets]],#REF!,#REF!,"newavr",0)</f>
        <v>#REF!</v>
      </c>
      <c r="G153" s="3" t="s">
        <v>183</v>
      </c>
      <c r="H153" s="3" t="s">
        <v>289</v>
      </c>
      <c r="I15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3" s="4" t="e">
        <f>VLOOKUP(Tableau5617192223242425262827293031333432353620383961719241822254140424344104746[[#This Row],[Num Projets]],#REF!,36,FALSE)</f>
        <v>#REF!</v>
      </c>
      <c r="K153" s="45" t="s">
        <v>9</v>
      </c>
      <c r="L15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3" s="3" t="e">
        <f>SUBSTITUTE(_xlfn.XLOOKUP(Tableau5617192223242425262827293031333432353620383961719241822254140424344104746[[#This Row],[Num Projets]],#REF!,#REF!,FALSE)," ","")</f>
        <v>#REF!</v>
      </c>
      <c r="N153" s="7" t="e">
        <f>VLOOKUP(H153,#REF!,7,FALSE)</f>
        <v>#REF!</v>
      </c>
      <c r="O153" s="7" t="e">
        <f>IF(VLOOKUP(H153,#REF!,27,FALSE)=0,"",VLOOKUP(H153,#REF!,27,FALSE))</f>
        <v>#REF!</v>
      </c>
      <c r="P153" s="8" t="e">
        <f>VLOOKUP(H153,#REF!,2,FALSE)</f>
        <v>#REF!</v>
      </c>
      <c r="Q153" s="9" t="e">
        <f>Tableau5617192223242425262827293031333432353620383961719241822254140424344104746[[#This Row],[Total Budget
€]]-IFERROR(VLOOKUP(H153,#REF!,8,FALSE),0)</f>
        <v>#REF!</v>
      </c>
      <c r="R153" s="10">
        <f>AD153+AI153+Tableau5617192223242425262827293031333432353620383961719241822254140424344104746[[#This Row],[Int Commandé OT
€]]+AX153</f>
        <v>0</v>
      </c>
      <c r="S153" s="10">
        <f>AD153+AJ153+Tableau5617192223242425262827293031333432353620383961719241822254140424344104746[[#This Row],[Int Réalisé OT
€]]+AX153</f>
        <v>0</v>
      </c>
      <c r="T153" s="11" t="e">
        <f t="shared" si="38"/>
        <v>#REF!</v>
      </c>
      <c r="U15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3" s="12">
        <f>IFERROR(VLOOKUP(H153,#REF!,2,FALSE),0)</f>
        <v>0</v>
      </c>
      <c r="X153" s="13">
        <f>IFERROR(VLOOKUP(H153,#REF!,2,FALSE),0)</f>
        <v>0</v>
      </c>
      <c r="Y153" s="13">
        <f>IFERROR(VLOOKUP(H153,#REF!,3,FALSE),0)</f>
        <v>0</v>
      </c>
      <c r="Z15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983</v>
      </c>
      <c r="AA153" s="13">
        <f>IFERROR(VLOOKUP(H153,#REF!,18,FALSE),0)</f>
        <v>0</v>
      </c>
      <c r="AB153" s="13">
        <f>SUM(X153:Y153)-IFERROR(VLOOKUP(H153,#REF!,16,FALSE),0)-IFERROR(VLOOKUP(H153,#REF!,17,FALSE),0)</f>
        <v>0</v>
      </c>
      <c r="AC153" s="15" t="e">
        <f>VLOOKUP(Tableau5617192223242425262827293031333432353620383961719241822254140424344104746[[#This Row],[Num Projets]],#REF!,2,FALSE)</f>
        <v>#REF!</v>
      </c>
      <c r="AD153" s="15">
        <f>IFERROR(VLOOKUP(Tableau5617192223242425262827293031333432353620383961719241822254140424344104746[[#This Row],[Num Projets]],#REF!,2,FALSE),0)</f>
        <v>0</v>
      </c>
      <c r="AE153" s="8">
        <f t="shared" si="39"/>
        <v>46987.399999999994</v>
      </c>
      <c r="AF153" s="22" t="e">
        <f t="shared" si="40"/>
        <v>#REF!</v>
      </c>
      <c r="AG153" s="8">
        <f>IFERROR(VLOOKUP(H153,#REF!,3,FALSE),0)+IFERROR(VLOOKUP(H153,#REF!,3,FALSE),0)</f>
        <v>0</v>
      </c>
      <c r="AH153" s="8">
        <f>IFERROR(VLOOKUP(Tableau5617192223242425262827293031333432353620383961719241822254140424344104746[[#This Row],[Num Projets]],#REF!,2,FALSE),0)</f>
        <v>0</v>
      </c>
      <c r="AI153" s="17">
        <f>+IFERROR(VLOOKUP(H153,#REF!,2,FALSE),0)-Tableau5617192223242425262827293031333432353620383961719241822254140424344104746[[#This Row],[Int Commandé OT
€]]</f>
        <v>0</v>
      </c>
      <c r="AJ153" s="8">
        <f>IFERROR(VLOOKUP(H153,#REF!,11,FALSE),0)-IFERROR(VLOOKUP(H153,#REF!,10,FALSE),0)+Tableau5617192223242425262827293031333432353620383961719241822254140424344104746[[#This Row],[dont FNP à date (€ HT)]]</f>
        <v>0</v>
      </c>
      <c r="AK153" s="15">
        <f t="shared" si="46"/>
        <v>0</v>
      </c>
      <c r="AL15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3" s="19">
        <f>IF(Tableau5617192223242425262827293031333432353620383961719241822254140424344104746[[#This Row],[RAF Achats M-1
€]]=0,0,AN153-AO153)</f>
        <v>0</v>
      </c>
      <c r="AN153" s="8">
        <f>IFERROR(VLOOKUP(H153,#REF!,31,FALSE),0)</f>
        <v>0</v>
      </c>
      <c r="AO153" s="8">
        <f>AI153+-IFERROR(VLOOKUP(H153,#REF!,27,FALSE),0)</f>
        <v>0</v>
      </c>
      <c r="AP153" s="20">
        <f>IFERROR(VLOOKUP(Tableau5617192223242425262827293031333432353620383961719241822254140424344104746[[#This Row],[Num Projets]],#REF!,2,FALSE),0)</f>
        <v>0</v>
      </c>
      <c r="AQ153" s="20">
        <f>_xlfn.XLOOKUP(H153,[2]Synth!$N:$N,[2]Synth!$O:$O,0,FALSE)+_xlfn.XLOOKUP(Tableau5617192223242425262827293031333432353620383961719241822254140424344104746[[#This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3" s="21">
        <v>0</v>
      </c>
      <c r="AS153" s="20">
        <f>+IFERROR(VLOOKUP(H153,#REF!,36,FALSE),0)</f>
        <v>0</v>
      </c>
      <c r="AT15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3" s="22">
        <f>IF(AG153=0,0,1-((AI153+AM153+Tableau5617192223242425262827293031333432353620383961719241822254140424344104746[[#This Row],[Int Commandé OT
€]]+Tableau5617192223242425262827293031333432353620383961719241822254140424344104746[[#This Row],[RAF Int OT
€]])/AG153))</f>
        <v>0</v>
      </c>
      <c r="AV153" s="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Achat HT
€]]-Tableau5617192223242425262827293031333432353620383961719241822254140424344104746[[#This Row],[Provisions pour risques]]</f>
        <v>#REF!</v>
      </c>
      <c r="AW153" s="8">
        <f>IFERROR(VLOOKUP(Tableau5617192223242425262827293031333432353620383961719241822254140424344104746[[#This Row],[Num Projets]],#REF!,3,FALSE),0)</f>
        <v>0</v>
      </c>
      <c r="AX153" s="95">
        <f>IFERROR(VLOOKUP(Tableau5617192223242425262827293031333432353620383961719241822254140424344104746[[#This Row],[Num Projets]],#REF!,10,FALSE),0)</f>
        <v>0</v>
      </c>
      <c r="AY153" s="23">
        <v>0</v>
      </c>
      <c r="AZ153" s="8">
        <f>IFERROR(VLOOKUP(H153,#REF!,43,FALSE),0)</f>
        <v>0</v>
      </c>
      <c r="BA153" s="8">
        <f>AX153-IFERROR(VLOOKUP(H153,#REF!,42,FALSE),0)</f>
        <v>0</v>
      </c>
      <c r="BB153" s="47" t="e">
        <f t="shared" ref="BB153:BB190" si="47">IF(AV153=0,0,(1-((AX153+AY153)/AV153)))</f>
        <v>#REF!</v>
      </c>
      <c r="BC153" s="24">
        <f>IFERROR(VLOOKUP(H153,#REF!,47,FALSE),IFERROR(VLOOKUP(H153,#REF!,5,FALSE),0)+IFERROR(VLOOKUP(H153,#REF!,5,FALSE),0))</f>
        <v>0</v>
      </c>
      <c r="BD153" s="25">
        <f>IFERROR(VLOOKUP(H153,#REF!,2,FALSE),0)</f>
        <v>0</v>
      </c>
      <c r="BE153" s="25">
        <f>IFERROR(VLOOKUP(H153,#REF!,49,FALSE),0)</f>
        <v>0</v>
      </c>
      <c r="BF153" s="50" t="e">
        <f t="shared" si="41"/>
        <v>#REF!</v>
      </c>
      <c r="BG153" s="50">
        <f t="shared" si="42"/>
        <v>0</v>
      </c>
      <c r="BH153" s="27">
        <f>AE153+ (AI153-AJ153+AM153+Tableau5617192223242425262827293031333432353620383961719241822254140424344104746[[#This Row],[Int Commandé OT
€]]-Tableau5617192223242425262827293031333432353620383961719241822254140424344104746[[#This Row],[Int Réalisé OT
€]]+AR153) +AY153+BC153</f>
        <v>46987.399999999994</v>
      </c>
      <c r="BI153" s="131" t="e">
        <f>Tableau5617192223242425262827293031333432353620383961719241822254140424344104746[[#This Row],[Avancement Global Facturation à date (%)]]</f>
        <v>#REF!</v>
      </c>
      <c r="BJ153" s="47" t="e">
        <f t="shared" si="43"/>
        <v>#REF!</v>
      </c>
      <c r="BK153" s="27" t="e">
        <f t="shared" si="44"/>
        <v>#REF!</v>
      </c>
      <c r="BL153" s="26" t="e">
        <f t="shared" si="45"/>
        <v>#REF!</v>
      </c>
      <c r="BM153" s="96">
        <f>IFERROR(VLOOKUP(H153,'[1]2023dec'!H:CA,54,FALSE),105)</f>
        <v>105</v>
      </c>
      <c r="BN153" s="29">
        <v>0.9</v>
      </c>
      <c r="BO153" s="30" t="e">
        <f>P153-AC153-AG153-AV153-Tableau5617192223242425262827293031333432353620383961719241822254140424344104746[[#This Row],[Provisions pour risques]]</f>
        <v>#REF!</v>
      </c>
      <c r="BP15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46987.399999999994</v>
      </c>
      <c r="BQ153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53" s="97" t="e">
        <f t="shared" ref="BR153:BR176" si="48">BF153</f>
        <v>#REF!</v>
      </c>
      <c r="BS153" s="34">
        <f>Tableau5617192223242425262827293031333432353620383961719241822254140424344104746[[#This Row],[Consommé global Enregistré à date (€ HT)]]-IFERROR(VLOOKUP(H153,#REF!,50,FALSE),0)</f>
        <v>0</v>
      </c>
      <c r="BT153" s="35" t="e">
        <f t="shared" ref="BT153:BT176" si="49">BR153-BS153</f>
        <v>#REF!</v>
      </c>
      <c r="BU153" s="36">
        <f>BD153-IFERROR(VLOOKUP(H153,#REF!,47,FALSE),0)</f>
        <v>0</v>
      </c>
      <c r="BV153" s="37" t="e">
        <f>+BF153+Tableau5617192223242425262827293031333432353620383961719241822254140424344104746[[#This Row],[CA fin N-1]]-IFERROR(VLOOKUP(H153,#REF!,49,FALSE),0)-IFERROR(VLOOKUP(H153,#REF!,50,FALSE),0)</f>
        <v>#REF!</v>
      </c>
      <c r="BW153" s="33">
        <f>BG153-IFERROR(VLOOKUP(H153,#REF!,51,FALSE),0)</f>
        <v>0</v>
      </c>
      <c r="BX153" s="35" t="e">
        <f t="shared" ref="BX153:BX176" si="50">BV153-BW153</f>
        <v>#REF!</v>
      </c>
      <c r="BY153" s="36">
        <f>BD153-IFERROR(VLOOKUP(H153,#REF!,48,FALSE),0)</f>
        <v>0</v>
      </c>
      <c r="BZ15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3" s="39" t="e">
        <f>VLOOKUP(Tableau5617192223242425262827293031333432353620383961719241822254140424344104746[[#This Row],[Num Projets]],#REF!,1,FALSE)</f>
        <v>#REF!</v>
      </c>
      <c r="CB153" s="40">
        <v>475.5</v>
      </c>
      <c r="CC153" s="40">
        <v>507.5</v>
      </c>
      <c r="CD15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-475.5</v>
      </c>
    </row>
    <row r="154" spans="1:82" ht="15" customHeight="1" x14ac:dyDescent="0.25">
      <c r="A154" s="313" t="s">
        <v>290</v>
      </c>
      <c r="B154" s="1"/>
      <c r="C154" s="2" t="e">
        <f>_xlfn.XLOOKUP(Tableau5617192223242425262827293031333432353620383961719241822254140424344104746[[#This Row],[Num Projets]],#REF!,#REF!,FALSE)</f>
        <v>#REF!</v>
      </c>
      <c r="D154" s="3" t="s">
        <v>6</v>
      </c>
      <c r="E154" s="3" t="e">
        <f>_xlfn.XLOOKUP(Tableau5617192223242425262827293031333432353620383961719241822254140424344104746[[#This Row],[Num Projets]],#REF!,#REF!,FALSE)</f>
        <v>#REF!</v>
      </c>
      <c r="F154" s="3" t="s">
        <v>52</v>
      </c>
      <c r="G154" s="3" t="s">
        <v>2</v>
      </c>
      <c r="H154" s="3" t="s">
        <v>291</v>
      </c>
      <c r="I15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4" s="4" t="e">
        <f>VLOOKUP(Tableau5617192223242425262827293031333432353620383961719241822254140424344104746[[#This Row],[Num Projets]],#REF!,36,FALSE)</f>
        <v>#REF!</v>
      </c>
      <c r="K154" s="5" t="s">
        <v>9</v>
      </c>
      <c r="L15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4" s="3" t="e">
        <f>SUBSTITUTE(_xlfn.XLOOKUP(Tableau5617192223242425262827293031333432353620383961719241822254140424344104746[[#This Row],[Num Projets]],#REF!,#REF!,FALSE)," ","")</f>
        <v>#REF!</v>
      </c>
      <c r="N154" s="7" t="e">
        <f>VLOOKUP(H154,#REF!,7,FALSE)</f>
        <v>#REF!</v>
      </c>
      <c r="O154" s="7">
        <v>45747</v>
      </c>
      <c r="P154" s="8" t="e">
        <f>VLOOKUP(H154,#REF!,2,FALSE)</f>
        <v>#REF!</v>
      </c>
      <c r="Q154" s="9" t="e">
        <f>Tableau5617192223242425262827293031333432353620383961719241822254140424344104746[[#This Row],[Total Budget
€]]-IFERROR(VLOOKUP(H154,#REF!,8,FALSE),0)</f>
        <v>#REF!</v>
      </c>
      <c r="R154" s="10">
        <f>AD154+AI154+Tableau5617192223242425262827293031333432353620383961719241822254140424344104746[[#This Row],[Int Commandé OT
€]]+AX154</f>
        <v>0</v>
      </c>
      <c r="S154" s="10">
        <f>AD154+AJ154+Tableau5617192223242425262827293031333432353620383961719241822254140424344104746[[#This Row],[Int Réalisé OT
€]]+AX154</f>
        <v>0</v>
      </c>
      <c r="T154" s="11" t="e">
        <f t="shared" si="38"/>
        <v>#REF!</v>
      </c>
      <c r="U15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4" s="12">
        <f>IFERROR(VLOOKUP(H154,#REF!,2,FALSE),0)</f>
        <v>0</v>
      </c>
      <c r="X154" s="13">
        <f>IFERROR(VLOOKUP(H154,#REF!,2,FALSE),0)</f>
        <v>0</v>
      </c>
      <c r="Y154" s="13">
        <f>IFERROR(VLOOKUP(H154,#REF!,3,FALSE),0)</f>
        <v>0</v>
      </c>
      <c r="Z15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</v>
      </c>
      <c r="AA154" s="13">
        <f>IFERROR(VLOOKUP(H154,#REF!,18,FALSE),0)</f>
        <v>0</v>
      </c>
      <c r="AB154" s="13">
        <f>SUM(X154:Y154)-IFERROR(VLOOKUP(H154,#REF!,16,FALSE),0)-IFERROR(VLOOKUP(H154,#REF!,17,FALSE),0)</f>
        <v>0</v>
      </c>
      <c r="AC154" s="15" t="e">
        <f>VLOOKUP(Tableau5617192223242425262827293031333432353620383961719241822254140424344104746[[#This Row],[Num Projets]],#REF!,2,FALSE)</f>
        <v>#REF!</v>
      </c>
      <c r="AD154" s="15">
        <f>IFERROR(VLOOKUP(Tableau5617192223242425262827293031333432353620383961719241822254140424344104746[[#This Row],[Num Projets]],#REF!,2,FALSE),0)</f>
        <v>0</v>
      </c>
      <c r="AE154" s="8">
        <f t="shared" si="39"/>
        <v>573.59999999999991</v>
      </c>
      <c r="AF154" s="22" t="e">
        <f t="shared" si="40"/>
        <v>#REF!</v>
      </c>
      <c r="AG154" s="8">
        <f>IFERROR(VLOOKUP(H154,#REF!,3,FALSE),0)+IFERROR(VLOOKUP(H154,#REF!,3,FALSE),0)</f>
        <v>0</v>
      </c>
      <c r="AH154" s="8">
        <f>IFERROR(VLOOKUP(Tableau5617192223242425262827293031333432353620383961719241822254140424344104746[[#This Row],[Num Projets]],#REF!,2,FALSE),0)</f>
        <v>0</v>
      </c>
      <c r="AI154" s="17">
        <f>+IFERROR(VLOOKUP(H154,#REF!,2,FALSE),0)-Tableau5617192223242425262827293031333432353620383961719241822254140424344104746[[#This Row],[Int Commandé OT
€]]</f>
        <v>0</v>
      </c>
      <c r="AJ154" s="8">
        <f>IFERROR(VLOOKUP(H154,#REF!,11,FALSE),0)-IFERROR(VLOOKUP(H154,#REF!,10,FALSE),0)+Tableau5617192223242425262827293031333432353620383961719241822254140424344104746[[#This Row],[dont FNP à date (€ HT)]]</f>
        <v>0</v>
      </c>
      <c r="AK154" s="15">
        <f t="shared" si="46"/>
        <v>0</v>
      </c>
      <c r="AL15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4" s="19">
        <f>IF(Tableau5617192223242425262827293031333432353620383961719241822254140424344104746[[#This Row],[RAF Achats M-1
€]]=0,0,AN154-AO154)</f>
        <v>0</v>
      </c>
      <c r="AN154" s="8">
        <f>IFERROR(VLOOKUP(H154,#REF!,31,FALSE),0)</f>
        <v>0</v>
      </c>
      <c r="AO154" s="8">
        <f>AI154+-IFERROR(VLOOKUP(H154,#REF!,27,FALSE),0)</f>
        <v>0</v>
      </c>
      <c r="AP154" s="20">
        <f>IFERROR(VLOOKUP(Tableau5617192223242425262827293031333432353620383961719241822254140424344104746[[#This Row],[Num Projets]],#REF!,2,FALSE),0)</f>
        <v>0</v>
      </c>
      <c r="AQ154" s="20">
        <f>_xlfn.XLOOKUP(H154,[2]Synth!$N:$N,[2]Synth!$O:$O,0,FALSE)+_xlfn.XLOOKUP(Tableau5617192223242425262827293031333432353620383961719241822254140424344104746[[#This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4" s="21">
        <v>0</v>
      </c>
      <c r="AS154" s="20">
        <f>+IFERROR(VLOOKUP(H154,#REF!,36,FALSE),0)</f>
        <v>0</v>
      </c>
      <c r="AT15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4" s="22">
        <f>IF(AG154=0,0,1-((AI154+AM154+Tableau5617192223242425262827293031333432353620383961719241822254140424344104746[[#This Row],[Int Commandé OT
€]]+Tableau5617192223242425262827293031333432353620383961719241822254140424344104746[[#This Row],[RAF Int OT
€]])/AG154))</f>
        <v>0</v>
      </c>
      <c r="AV154" s="8">
        <f>IFERROR(VLOOKUP(H154,#REF!,4,FALSE),0)+IFERROR(VLOOKUP(H154,#REF!,4,FALSE),0)</f>
        <v>0</v>
      </c>
      <c r="AW154" s="8">
        <f>IFERROR(VLOOKUP(Tableau5617192223242425262827293031333432353620383961719241822254140424344104746[[#This Row],[Num Projets]],#REF!,3,FALSE),0)</f>
        <v>0</v>
      </c>
      <c r="AX154" s="95">
        <f>IFERROR(VLOOKUP(Tableau5617192223242425262827293031333432353620383961719241822254140424344104746[[#This Row],[Num Projets]],#REF!,10,FALSE),0)</f>
        <v>0</v>
      </c>
      <c r="AY154" s="23">
        <f>Tableau5617192223242425262827293031333432353620383961719241822254140424344104746[[#This Row],[Budget Mission
 €]]/1.2-AX154</f>
        <v>0</v>
      </c>
      <c r="AZ154" s="8">
        <f>IFERROR(VLOOKUP(H154,#REF!,43,FALSE),0)</f>
        <v>0</v>
      </c>
      <c r="BA154" s="8">
        <f>AX154-IFERROR(VLOOKUP(H154,#REF!,42,FALSE),0)</f>
        <v>0</v>
      </c>
      <c r="BB154" s="47">
        <f t="shared" si="47"/>
        <v>0</v>
      </c>
      <c r="BC154" s="24">
        <f>IFERROR(VLOOKUP(H154,#REF!,47,FALSE),IFERROR(VLOOKUP(H154,#REF!,5,FALSE),0)+IFERROR(VLOOKUP(H154,#REF!,5,FALSE),0))</f>
        <v>0</v>
      </c>
      <c r="BD154" s="25">
        <f>IFERROR(VLOOKUP(H154,#REF!,2,FALSE),0)</f>
        <v>0</v>
      </c>
      <c r="BE154" s="25">
        <f>IFERROR(VLOOKUP(H154,#REF!,49,FALSE),0)</f>
        <v>0</v>
      </c>
      <c r="BF154" s="50" t="e">
        <f t="shared" si="41"/>
        <v>#REF!</v>
      </c>
      <c r="BG154" s="50">
        <f t="shared" si="42"/>
        <v>0</v>
      </c>
      <c r="BH154" s="27">
        <f>AE154+ (AI154-AJ154+AM154+Tableau5617192223242425262827293031333432353620383961719241822254140424344104746[[#This Row],[Int Commandé OT
€]]-Tableau5617192223242425262827293031333432353620383961719241822254140424344104746[[#This Row],[Int Réalisé OT
€]]+AR154) +AY154+BC154</f>
        <v>573.59999999999991</v>
      </c>
      <c r="BI154" s="47">
        <f t="shared" ref="BI154:BI176" si="51">IF(BG154+BH154=0,100%,BG154/(BG154+BH154))</f>
        <v>0</v>
      </c>
      <c r="BJ154" s="47" t="e">
        <f t="shared" si="43"/>
        <v>#REF!</v>
      </c>
      <c r="BK154" s="27" t="e">
        <f t="shared" si="44"/>
        <v>#REF!</v>
      </c>
      <c r="BL154" s="26" t="e">
        <f t="shared" si="45"/>
        <v>#REF!</v>
      </c>
      <c r="BM154" s="96">
        <f>IFERROR(VLOOKUP(H154,'[1]2023dec'!H:CA,54,FALSE),105)</f>
        <v>105</v>
      </c>
      <c r="BN154" s="29">
        <v>1</v>
      </c>
      <c r="BO154" s="30" t="e">
        <f>P154-AC154-AG154-AV154-Tableau5617192223242425262827293031333432353620383961719241822254140424344104746[[#This Row],[Provisions pour risques]]</f>
        <v>#REF!</v>
      </c>
      <c r="BP15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573.59999999999991</v>
      </c>
      <c r="BQ15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4" s="97" t="e">
        <f t="shared" si="48"/>
        <v>#REF!</v>
      </c>
      <c r="BS154" s="34">
        <f>Tableau5617192223242425262827293031333432353620383961719241822254140424344104746[[#This Row],[Consommé global Enregistré à date (€ HT)]]-IFERROR(VLOOKUP(H154,#REF!,50,FALSE),0)</f>
        <v>0</v>
      </c>
      <c r="BT154" s="35" t="e">
        <f t="shared" si="49"/>
        <v>#REF!</v>
      </c>
      <c r="BU154" s="36">
        <f>BD154-IFERROR(VLOOKUP(H154,#REF!,47,FALSE),0)</f>
        <v>0</v>
      </c>
      <c r="BV154" s="37" t="e">
        <f>+BF154+Tableau5617192223242425262827293031333432353620383961719241822254140424344104746[[#This Row],[CA fin N-1]]-IFERROR(VLOOKUP(H154,#REF!,49,FALSE),0)-IFERROR(VLOOKUP(H154,#REF!,50,FALSE),0)</f>
        <v>#REF!</v>
      </c>
      <c r="BW154" s="33">
        <f>BG154-IFERROR(VLOOKUP(H154,#REF!,51,FALSE),0)</f>
        <v>0</v>
      </c>
      <c r="BX154" s="35" t="e">
        <f t="shared" si="50"/>
        <v>#REF!</v>
      </c>
      <c r="BY154" s="36">
        <f>BD154-IFERROR(VLOOKUP(H154,#REF!,48,FALSE),0)</f>
        <v>0</v>
      </c>
      <c r="BZ15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4" s="39" t="e">
        <f>VLOOKUP(Tableau5617192223242425262827293031333432353620383961719241822254140424344104746[[#This Row],[Num Projets]],#REF!,1,FALSE)</f>
        <v>#REF!</v>
      </c>
      <c r="CB154" s="40">
        <v>12</v>
      </c>
      <c r="CC154" s="40">
        <v>0</v>
      </c>
      <c r="CD15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</v>
      </c>
    </row>
    <row r="155" spans="1:82" ht="15" customHeight="1" x14ac:dyDescent="0.25">
      <c r="A155" s="313" t="s">
        <v>292</v>
      </c>
      <c r="B155" s="1"/>
      <c r="C155" s="2" t="e">
        <f>_xlfn.XLOOKUP(Tableau5617192223242425262827293031333432353620383961719241822254140424344104746[[#This Row],[Num Projets]],#REF!,#REF!,FALSE)</f>
        <v>#REF!</v>
      </c>
      <c r="D155" s="3" t="s">
        <v>1</v>
      </c>
      <c r="E155" s="3" t="e">
        <f>_xlfn.XLOOKUP(Tableau5617192223242425262827293031333432353620383961719241822254140424344104746[[#This Row],[Num Projets]],#REF!,#REF!,FALSE)</f>
        <v>#REF!</v>
      </c>
      <c r="F155" s="3" t="e">
        <f>_xlfn.XLOOKUP(Tableau5617192223242425262827293031333432353620383961719241822254140424344104746[[#This Row],[Num Projets]],#REF!,#REF!,"newavr",0)</f>
        <v>#REF!</v>
      </c>
      <c r="G155" s="3" t="s">
        <v>2</v>
      </c>
      <c r="H155" s="3" t="s">
        <v>293</v>
      </c>
      <c r="I15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5" s="4" t="e">
        <f>VLOOKUP(Tableau5617192223242425262827293031333432353620383961719241822254140424344104746[[#This Row],[Num Projets]],#REF!,36,FALSE)</f>
        <v>#REF!</v>
      </c>
      <c r="K155" s="5" t="s">
        <v>4</v>
      </c>
      <c r="L15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5" s="3" t="e">
        <f>SUBSTITUTE(_xlfn.XLOOKUP(Tableau5617192223242425262827293031333432353620383961719241822254140424344104746[[#This Row],[Num Projets]],#REF!,#REF!,FALSE)," ","")</f>
        <v>#REF!</v>
      </c>
      <c r="N155" s="7" t="e">
        <f>VLOOKUP(H155,#REF!,7,FALSE)</f>
        <v>#REF!</v>
      </c>
      <c r="O155" s="7" t="e">
        <f>IF(VLOOKUP(H155,#REF!,27,FALSE)=0,"",VLOOKUP(H155,#REF!,27,FALSE))</f>
        <v>#REF!</v>
      </c>
      <c r="P155" s="8" t="e">
        <f>VLOOKUP(H155,#REF!,2,FALSE)</f>
        <v>#REF!</v>
      </c>
      <c r="Q155" s="9" t="e">
        <f>Tableau5617192223242425262827293031333432353620383961719241822254140424344104746[[#This Row],[Total Budget
€]]-IFERROR(VLOOKUP(H155,#REF!,8,FALSE),0)</f>
        <v>#REF!</v>
      </c>
      <c r="R155" s="10">
        <f>AD155+AI155+Tableau5617192223242425262827293031333432353620383961719241822254140424344104746[[#This Row],[Int Commandé OT
€]]+AX155</f>
        <v>0</v>
      </c>
      <c r="S155" s="10">
        <f>AD155+AJ155+Tableau5617192223242425262827293031333432353620383961719241822254140424344104746[[#This Row],[Int Réalisé OT
€]]+AX155</f>
        <v>0</v>
      </c>
      <c r="T155" s="11" t="e">
        <f t="shared" si="38"/>
        <v>#REF!</v>
      </c>
      <c r="U15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5" s="12">
        <f>IFERROR(VLOOKUP(H155,#REF!,2,FALSE),0)</f>
        <v>0</v>
      </c>
      <c r="X155" s="13">
        <f>IFERROR(VLOOKUP(H155,#REF!,2,FALSE),0)</f>
        <v>0</v>
      </c>
      <c r="Y155" s="13">
        <f>IFERROR(VLOOKUP(H155,#REF!,3,FALSE),0)</f>
        <v>0</v>
      </c>
      <c r="Z15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26.5</v>
      </c>
      <c r="AA155" s="13">
        <f>IFERROR(VLOOKUP(H155,#REF!,18,FALSE),0)</f>
        <v>0</v>
      </c>
      <c r="AB155" s="13">
        <f>SUM(X155:Y155)-IFERROR(VLOOKUP(H155,#REF!,16,FALSE),0)-IFERROR(VLOOKUP(H155,#REF!,17,FALSE),0)</f>
        <v>0</v>
      </c>
      <c r="AC155" s="15" t="e">
        <f>VLOOKUP(Tableau5617192223242425262827293031333432353620383961719241822254140424344104746[[#This Row],[Num Projets]],#REF!,2,FALSE)</f>
        <v>#REF!</v>
      </c>
      <c r="AD155" s="15">
        <f>IFERROR(VLOOKUP(Tableau5617192223242425262827293031333432353620383961719241822254140424344104746[[#This Row],[Num Projets]],#REF!,2,FALSE),0)</f>
        <v>0</v>
      </c>
      <c r="AE155" s="8">
        <f t="shared" si="39"/>
        <v>1266.6999999999998</v>
      </c>
      <c r="AF155" s="22" t="e">
        <f t="shared" si="40"/>
        <v>#REF!</v>
      </c>
      <c r="AG155" s="8">
        <f>IFERROR(VLOOKUP(H155,#REF!,3,FALSE),0)+IFERROR(VLOOKUP(H155,#REF!,3,FALSE),0)</f>
        <v>0</v>
      </c>
      <c r="AH155" s="8">
        <f>IFERROR(VLOOKUP(Tableau5617192223242425262827293031333432353620383961719241822254140424344104746[[#This Row],[Num Projets]],#REF!,2,FALSE),0)</f>
        <v>0</v>
      </c>
      <c r="AI155" s="17">
        <f>+IFERROR(VLOOKUP(H155,#REF!,2,FALSE),0)-Tableau5617192223242425262827293031333432353620383961719241822254140424344104746[[#This Row],[Int Commandé OT
€]]</f>
        <v>0</v>
      </c>
      <c r="AJ155" s="8">
        <f>IFERROR(VLOOKUP(H155,#REF!,11,FALSE),0)-IFERROR(VLOOKUP(H155,#REF!,10,FALSE),0)+Tableau5617192223242425262827293031333432353620383961719241822254140424344104746[[#This Row],[dont FNP à date (€ HT)]]</f>
        <v>0</v>
      </c>
      <c r="AK155" s="15">
        <f t="shared" si="46"/>
        <v>0</v>
      </c>
      <c r="AL15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5" s="19">
        <f>IF(Tableau5617192223242425262827293031333432353620383961719241822254140424344104746[[#This Row],[RAF Achats M-1
€]]=0,0,AN155-AO155)</f>
        <v>0</v>
      </c>
      <c r="AN155" s="8">
        <f>IFERROR(VLOOKUP(H155,#REF!,31,FALSE),0)</f>
        <v>0</v>
      </c>
      <c r="AO155" s="8">
        <f>AI155+-IFERROR(VLOOKUP(H155,#REF!,27,FALSE),0)</f>
        <v>0</v>
      </c>
      <c r="AP155" s="20">
        <f>IFERROR(VLOOKUP(Tableau5617192223242425262827293031333432353620383961719241822254140424344104746[[#This Row],[Num Projets]],#REF!,2,FALSE),0)</f>
        <v>0</v>
      </c>
      <c r="AQ155" s="20">
        <f>_xlfn.XLOOKUP(H155,[2]Synth!$N:$N,[2]Synth!$O:$O,0,FALSE)+_xlfn.XLOOKUP(Tableau5617192223242425262827293031333432353620383961719241822254140424344104746[[#This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5" s="21">
        <v>0</v>
      </c>
      <c r="AS155" s="20">
        <f>+IFERROR(VLOOKUP(H155,#REF!,36,FALSE),0)</f>
        <v>0</v>
      </c>
      <c r="AT15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5" s="22">
        <f>IF(AG155=0,0,1-((AI155+AM155+Tableau5617192223242425262827293031333432353620383961719241822254140424344104746[[#This Row],[Int Commandé OT
€]]+Tableau5617192223242425262827293031333432353620383961719241822254140424344104746[[#This Row],[RAF Int OT
€]])/AG155))</f>
        <v>0</v>
      </c>
      <c r="AV155" s="8">
        <f>IFERROR(VLOOKUP(H155,#REF!,4,FALSE),0)+IFERROR(VLOOKUP(H155,#REF!,4,FALSE),0)</f>
        <v>0</v>
      </c>
      <c r="AW155" s="8">
        <f>IFERROR(VLOOKUP(Tableau5617192223242425262827293031333432353620383961719241822254140424344104746[[#This Row],[Num Projets]],#REF!,3,FALSE),0)</f>
        <v>0</v>
      </c>
      <c r="AX155" s="95">
        <f>IFERROR(VLOOKUP(Tableau5617192223242425262827293031333432353620383961719241822254140424344104746[[#This Row],[Num Projets]],#REF!,10,FALSE),0)</f>
        <v>0</v>
      </c>
      <c r="AY155" s="23">
        <f>Tableau5617192223242425262827293031333432353620383961719241822254140424344104746[[#This Row],[Budget Mission
 €]]/1.2-AX155</f>
        <v>0</v>
      </c>
      <c r="AZ155" s="8">
        <f>IFERROR(VLOOKUP(H155,#REF!,43,FALSE),0)</f>
        <v>0</v>
      </c>
      <c r="BA155" s="8">
        <f>AX155-IFERROR(VLOOKUP(H155,#REF!,42,FALSE),0)</f>
        <v>0</v>
      </c>
      <c r="BB155" s="47">
        <f t="shared" si="47"/>
        <v>0</v>
      </c>
      <c r="BC155" s="24">
        <f>IFERROR(VLOOKUP(H155,#REF!,47,FALSE),IFERROR(VLOOKUP(H155,#REF!,5,FALSE),0)+IFERROR(VLOOKUP(H155,#REF!,5,FALSE),0))</f>
        <v>0</v>
      </c>
      <c r="BD155" s="25">
        <f>IFERROR(VLOOKUP(H155,#REF!,2,FALSE),0)</f>
        <v>0</v>
      </c>
      <c r="BE155" s="25">
        <f>IFERROR(VLOOKUP(H155,#REF!,49,FALSE),0)</f>
        <v>0</v>
      </c>
      <c r="BF155" s="50" t="e">
        <f t="shared" si="41"/>
        <v>#REF!</v>
      </c>
      <c r="BG155" s="50">
        <f t="shared" si="42"/>
        <v>0</v>
      </c>
      <c r="BH155" s="27">
        <f>AE155+ (AI155-AJ155+AM155+Tableau5617192223242425262827293031333432353620383961719241822254140424344104746[[#This Row],[Int Commandé OT
€]]-Tableau5617192223242425262827293031333432353620383961719241822254140424344104746[[#This Row],[Int Réalisé OT
€]]+AR155) +AY155+BC155</f>
        <v>1266.6999999999998</v>
      </c>
      <c r="BI155" s="47">
        <f t="shared" si="51"/>
        <v>0</v>
      </c>
      <c r="BJ155" s="47" t="e">
        <f t="shared" si="43"/>
        <v>#REF!</v>
      </c>
      <c r="BK155" s="27" t="e">
        <f t="shared" si="44"/>
        <v>#REF!</v>
      </c>
      <c r="BL155" s="26" t="e">
        <f t="shared" si="45"/>
        <v>#REF!</v>
      </c>
      <c r="BM155" s="96">
        <f>IFERROR(VLOOKUP(H155,'[1]2023dec'!H:CA,54,FALSE),105)</f>
        <v>105</v>
      </c>
      <c r="BN155" s="29">
        <v>1</v>
      </c>
      <c r="BO155" s="30" t="e">
        <f>P155-AC155-AG155-AV155-Tableau5617192223242425262827293031333432353620383961719241822254140424344104746[[#This Row],[Provisions pour risques]]</f>
        <v>#REF!</v>
      </c>
      <c r="BP15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1266.6999999999998</v>
      </c>
      <c r="BQ15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5" s="97" t="e">
        <f t="shared" si="48"/>
        <v>#REF!</v>
      </c>
      <c r="BS155" s="34">
        <f>Tableau5617192223242425262827293031333432353620383961719241822254140424344104746[[#This Row],[Consommé global Enregistré à date (€ HT)]]-IFERROR(VLOOKUP(H155,#REF!,50,FALSE),0)</f>
        <v>0</v>
      </c>
      <c r="BT155" s="35" t="e">
        <f t="shared" si="49"/>
        <v>#REF!</v>
      </c>
      <c r="BU155" s="36">
        <f>BD155-IFERROR(VLOOKUP(H155,#REF!,47,FALSE),0)</f>
        <v>0</v>
      </c>
      <c r="BV155" s="37" t="e">
        <f>+BF155+Tableau5617192223242425262827293031333432353620383961719241822254140424344104746[[#This Row],[CA fin N-1]]-IFERROR(VLOOKUP(H155,#REF!,49,FALSE),0)-IFERROR(VLOOKUP(H155,#REF!,50,FALSE),0)</f>
        <v>#REF!</v>
      </c>
      <c r="BW155" s="33">
        <f>BG155-IFERROR(VLOOKUP(H155,#REF!,51,FALSE),0)</f>
        <v>0</v>
      </c>
      <c r="BX155" s="35" t="e">
        <f t="shared" si="50"/>
        <v>#REF!</v>
      </c>
      <c r="BY155" s="36">
        <f>BD155-IFERROR(VLOOKUP(H155,#REF!,48,FALSE),0)</f>
        <v>0</v>
      </c>
      <c r="BZ15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5" s="39" t="e">
        <f>VLOOKUP(Tableau5617192223242425262827293031333432353620383961719241822254140424344104746[[#This Row],[Num Projets]],#REF!,1,FALSE)</f>
        <v>#REF!</v>
      </c>
      <c r="CB155" s="40">
        <v>22.5</v>
      </c>
      <c r="CC155" s="40">
        <v>4</v>
      </c>
      <c r="CD15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-22.5</v>
      </c>
    </row>
    <row r="156" spans="1:82" ht="15" customHeight="1" x14ac:dyDescent="0.25">
      <c r="A156" s="313" t="s">
        <v>294</v>
      </c>
      <c r="B156" s="1"/>
      <c r="C156" s="2" t="e">
        <f>_xlfn.XLOOKUP(Tableau5617192223242425262827293031333432353620383961719241822254140424344104746[[#This Row],[Num Projets]],#REF!,#REF!,FALSE)</f>
        <v>#REF!</v>
      </c>
      <c r="D156" s="3" t="s">
        <v>6</v>
      </c>
      <c r="E156" s="3" t="e">
        <f>_xlfn.XLOOKUP(Tableau5617192223242425262827293031333432353620383961719241822254140424344104746[[#This Row],[Num Projets]],#REF!,#REF!,FALSE)</f>
        <v>#REF!</v>
      </c>
      <c r="F156" s="3" t="e">
        <f>_xlfn.XLOOKUP(Tableau5617192223242425262827293031333432353620383961719241822254140424344104746[[#This Row],[Num Projets]],#REF!,#REF!,"newavr",0)</f>
        <v>#REF!</v>
      </c>
      <c r="G156" s="3" t="s">
        <v>2</v>
      </c>
      <c r="H156" s="3" t="s">
        <v>295</v>
      </c>
      <c r="I15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6" s="4" t="e">
        <f>VLOOKUP(Tableau5617192223242425262827293031333432353620383961719241822254140424344104746[[#This Row],[Num Projets]],#REF!,36,FALSE)</f>
        <v>#REF!</v>
      </c>
      <c r="K156" s="5" t="s">
        <v>4</v>
      </c>
      <c r="L15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6" s="3" t="e">
        <f>SUBSTITUTE(_xlfn.XLOOKUP(Tableau5617192223242425262827293031333432353620383961719241822254140424344104746[[#This Row],[Num Projets]],#REF!,#REF!,FALSE)," ","")</f>
        <v>#REF!</v>
      </c>
      <c r="N156" s="7" t="e">
        <f>VLOOKUP(H156,#REF!,7,FALSE)</f>
        <v>#REF!</v>
      </c>
      <c r="O156" s="7" t="e">
        <f>IF(VLOOKUP(H156,#REF!,27,FALSE)=0,"",VLOOKUP(H156,#REF!,27,FALSE))</f>
        <v>#REF!</v>
      </c>
      <c r="P156" s="8" t="e">
        <f>VLOOKUP(H156,#REF!,2,FALSE)</f>
        <v>#REF!</v>
      </c>
      <c r="Q156" s="9" t="e">
        <f>Tableau5617192223242425262827293031333432353620383961719241822254140424344104746[[#This Row],[Total Budget
€]]-IFERROR(VLOOKUP(H156,#REF!,8,FALSE),0)</f>
        <v>#REF!</v>
      </c>
      <c r="R156" s="10">
        <f>AD156+AI156+Tableau5617192223242425262827293031333432353620383961719241822254140424344104746[[#This Row],[Int Commandé OT
€]]+AX156</f>
        <v>0</v>
      </c>
      <c r="S156" s="10">
        <f>AD156+AJ156+Tableau5617192223242425262827293031333432353620383961719241822254140424344104746[[#This Row],[Int Réalisé OT
€]]+AX156</f>
        <v>0</v>
      </c>
      <c r="T156" s="11" t="e">
        <f t="shared" si="38"/>
        <v>#REF!</v>
      </c>
      <c r="U15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6" s="12">
        <f>IFERROR(VLOOKUP(H156,#REF!,2,FALSE),0)</f>
        <v>0</v>
      </c>
      <c r="X156" s="13">
        <f>IFERROR(VLOOKUP(H156,#REF!,2,FALSE),0)</f>
        <v>0</v>
      </c>
      <c r="Y156" s="13">
        <f>IFERROR(VLOOKUP(H156,#REF!,3,FALSE),0)</f>
        <v>0</v>
      </c>
      <c r="Z15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17.5</v>
      </c>
      <c r="AA156" s="13">
        <f>IFERROR(VLOOKUP(H156,#REF!,18,FALSE),0)</f>
        <v>0</v>
      </c>
      <c r="AB156" s="13">
        <f>SUM(X156:Y156)-IFERROR(VLOOKUP(H156,#REF!,16,FALSE),0)-IFERROR(VLOOKUP(H156,#REF!,17,FALSE),0)</f>
        <v>0</v>
      </c>
      <c r="AC156" s="15" t="e">
        <f>VLOOKUP(Tableau5617192223242425262827293031333432353620383961719241822254140424344104746[[#This Row],[Num Projets]],#REF!,2,FALSE)</f>
        <v>#REF!</v>
      </c>
      <c r="AD156" s="15">
        <f>IFERROR(VLOOKUP(Tableau5617192223242425262827293031333432353620383961719241822254140424344104746[[#This Row],[Num Projets]],#REF!,2,FALSE),0)</f>
        <v>0</v>
      </c>
      <c r="AE156" s="8">
        <f t="shared" si="39"/>
        <v>836.5</v>
      </c>
      <c r="AF156" s="22" t="e">
        <f t="shared" si="40"/>
        <v>#REF!</v>
      </c>
      <c r="AG156" s="8">
        <f>IFERROR(VLOOKUP(H156,#REF!,3,FALSE),0)+IFERROR(VLOOKUP(H156,#REF!,3,FALSE),0)</f>
        <v>0</v>
      </c>
      <c r="AH156" s="8">
        <f>IFERROR(VLOOKUP(Tableau5617192223242425262827293031333432353620383961719241822254140424344104746[[#This Row],[Num Projets]],#REF!,2,FALSE),0)</f>
        <v>0</v>
      </c>
      <c r="AI156" s="17">
        <f>+IFERROR(VLOOKUP(H156,#REF!,2,FALSE),0)-Tableau5617192223242425262827293031333432353620383961719241822254140424344104746[[#This Row],[Int Commandé OT
€]]</f>
        <v>0</v>
      </c>
      <c r="AJ156" s="8">
        <f>IFERROR(VLOOKUP(H156,#REF!,11,FALSE),0)-IFERROR(VLOOKUP(H156,#REF!,10,FALSE),0)+Tableau5617192223242425262827293031333432353620383961719241822254140424344104746[[#This Row],[dont FNP à date (€ HT)]]</f>
        <v>0</v>
      </c>
      <c r="AK156" s="15">
        <f t="shared" si="46"/>
        <v>0</v>
      </c>
      <c r="AL15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6" s="19">
        <f>IF(Tableau5617192223242425262827293031333432353620383961719241822254140424344104746[[#This Row],[RAF Achats M-1
€]]=0,0,AN156-AO156)</f>
        <v>0</v>
      </c>
      <c r="AN156" s="8">
        <f>IFERROR(VLOOKUP(H156,#REF!,31,FALSE),0)</f>
        <v>0</v>
      </c>
      <c r="AO156" s="8">
        <f>AI156+-IFERROR(VLOOKUP(H156,#REF!,27,FALSE),0)</f>
        <v>0</v>
      </c>
      <c r="AP156" s="20">
        <f>IFERROR(VLOOKUP(Tableau5617192223242425262827293031333432353620383961719241822254140424344104746[[#This Row],[Num Projets]],#REF!,2,FALSE),0)</f>
        <v>0</v>
      </c>
      <c r="AQ156" s="20">
        <f>_xlfn.XLOOKUP(H156,[2]Synth!$N:$N,[2]Synth!$O:$O,0,FALSE)+_xlfn.XLOOKUP(Tableau5617192223242425262827293031333432353620383961719241822254140424344104746[[#This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6" s="21">
        <v>0</v>
      </c>
      <c r="AS156" s="20">
        <f>+IFERROR(VLOOKUP(H156,#REF!,36,FALSE),0)</f>
        <v>0</v>
      </c>
      <c r="AT15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6" s="22">
        <f>IF(AG156=0,0,1-((AI156+AM156+Tableau5617192223242425262827293031333432353620383961719241822254140424344104746[[#This Row],[Int Commandé OT
€]]+Tableau5617192223242425262827293031333432353620383961719241822254140424344104746[[#This Row],[RAF Int OT
€]])/AG156))</f>
        <v>0</v>
      </c>
      <c r="AV156" s="8">
        <f>IFERROR(VLOOKUP(H156,#REF!,4,FALSE),0)+IFERROR(VLOOKUP(H156,#REF!,4,FALSE),0)</f>
        <v>0</v>
      </c>
      <c r="AW156" s="8">
        <f>IFERROR(VLOOKUP(Tableau5617192223242425262827293031333432353620383961719241822254140424344104746[[#This Row],[Num Projets]],#REF!,3,FALSE),0)</f>
        <v>0</v>
      </c>
      <c r="AX156" s="95">
        <f>IFERROR(VLOOKUP(Tableau5617192223242425262827293031333432353620383961719241822254140424344104746[[#This Row],[Num Projets]],#REF!,10,FALSE),0)</f>
        <v>0</v>
      </c>
      <c r="AY156" s="23">
        <f>Tableau5617192223242425262827293031333432353620383961719241822254140424344104746[[#This Row],[Budget Mission
 €]]/1.2-AX156</f>
        <v>0</v>
      </c>
      <c r="AZ156" s="8">
        <f>IFERROR(VLOOKUP(H156,#REF!,43,FALSE),0)</f>
        <v>0</v>
      </c>
      <c r="BA156" s="8">
        <f>AX156-IFERROR(VLOOKUP(H156,#REF!,42,FALSE),0)</f>
        <v>0</v>
      </c>
      <c r="BB156" s="47">
        <f t="shared" si="47"/>
        <v>0</v>
      </c>
      <c r="BC156" s="24">
        <f>IFERROR(VLOOKUP(H156,#REF!,47,FALSE),IFERROR(VLOOKUP(H156,#REF!,5,FALSE),0)+IFERROR(VLOOKUP(H156,#REF!,5,FALSE),0))</f>
        <v>0</v>
      </c>
      <c r="BD156" s="25">
        <f>IFERROR(VLOOKUP(H156,#REF!,2,FALSE),0)</f>
        <v>0</v>
      </c>
      <c r="BE156" s="25">
        <f>IFERROR(VLOOKUP(H156,#REF!,49,FALSE),0)</f>
        <v>0</v>
      </c>
      <c r="BF156" s="50" t="e">
        <f t="shared" si="41"/>
        <v>#REF!</v>
      </c>
      <c r="BG156" s="50">
        <f t="shared" si="42"/>
        <v>0</v>
      </c>
      <c r="BH156" s="27">
        <f>AE156+ (AI156-AJ156+AM156+Tableau5617192223242425262827293031333432353620383961719241822254140424344104746[[#This Row],[Int Commandé OT
€]]-Tableau5617192223242425262827293031333432353620383961719241822254140424344104746[[#This Row],[Int Réalisé OT
€]]+AR156) +AY156+BC156</f>
        <v>836.5</v>
      </c>
      <c r="BI156" s="47">
        <f t="shared" si="51"/>
        <v>0</v>
      </c>
      <c r="BJ156" s="47" t="e">
        <f t="shared" si="43"/>
        <v>#REF!</v>
      </c>
      <c r="BK156" s="27" t="e">
        <f t="shared" si="44"/>
        <v>#REF!</v>
      </c>
      <c r="BL156" s="26" t="e">
        <f t="shared" si="45"/>
        <v>#REF!</v>
      </c>
      <c r="BM156" s="96">
        <f>IFERROR(VLOOKUP(H156,'[1]2023dec'!H:CA,54,FALSE),105)</f>
        <v>105</v>
      </c>
      <c r="BN156" s="29">
        <v>1</v>
      </c>
      <c r="BO156" s="30" t="e">
        <f>P156-AC156-AG156-AV156-Tableau5617192223242425262827293031333432353620383961719241822254140424344104746[[#This Row],[Provisions pour risques]]</f>
        <v>#REF!</v>
      </c>
      <c r="BP15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836.5</v>
      </c>
      <c r="BQ15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6" s="97" t="e">
        <f t="shared" si="48"/>
        <v>#REF!</v>
      </c>
      <c r="BS156" s="34">
        <f>Tableau5617192223242425262827293031333432353620383961719241822254140424344104746[[#This Row],[Consommé global Enregistré à date (€ HT)]]-IFERROR(VLOOKUP(H156,#REF!,50,FALSE),0)</f>
        <v>0</v>
      </c>
      <c r="BT156" s="35" t="e">
        <f t="shared" si="49"/>
        <v>#REF!</v>
      </c>
      <c r="BU156" s="36">
        <f>BD156-IFERROR(VLOOKUP(H156,#REF!,47,FALSE),0)</f>
        <v>0</v>
      </c>
      <c r="BV156" s="37" t="e">
        <f>+BF156+Tableau5617192223242425262827293031333432353620383961719241822254140424344104746[[#This Row],[CA fin N-1]]-IFERROR(VLOOKUP(H156,#REF!,49,FALSE),0)-IFERROR(VLOOKUP(H156,#REF!,50,FALSE),0)</f>
        <v>#REF!</v>
      </c>
      <c r="BW156" s="33">
        <f>BG156-IFERROR(VLOOKUP(H156,#REF!,51,FALSE),0)</f>
        <v>0</v>
      </c>
      <c r="BX156" s="35" t="e">
        <f t="shared" si="50"/>
        <v>#REF!</v>
      </c>
      <c r="BY156" s="36">
        <f>BD156-IFERROR(VLOOKUP(H156,#REF!,48,FALSE),0)</f>
        <v>0</v>
      </c>
      <c r="BZ15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6" s="39" t="e">
        <f>VLOOKUP(Tableau5617192223242425262827293031333432353620383961719241822254140424344104746[[#This Row],[Num Projets]],#REF!,1,FALSE)</f>
        <v>#REF!</v>
      </c>
      <c r="CB156" s="40">
        <v>17.5</v>
      </c>
      <c r="CC156" s="40">
        <v>0</v>
      </c>
      <c r="CD15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-17.5</v>
      </c>
    </row>
    <row r="157" spans="1:82" ht="15" customHeight="1" x14ac:dyDescent="0.25">
      <c r="A157" s="311"/>
      <c r="B157" s="1"/>
      <c r="C157" s="2" t="e">
        <f>_xlfn.XLOOKUP(Tableau5617192223242425262827293031333432353620383961719241822254140424344104746[[#This Row],[Num Projets]],#REF!,#REF!,FALSE)</f>
        <v>#REF!</v>
      </c>
      <c r="D157" s="3" t="s">
        <v>6</v>
      </c>
      <c r="E157" s="3" t="e">
        <f>_xlfn.XLOOKUP(Tableau5617192223242425262827293031333432353620383961719241822254140424344104746[[#This Row],[Num Projets]],#REF!,#REF!,FALSE)</f>
        <v>#REF!</v>
      </c>
      <c r="F157" s="3" t="e">
        <f>_xlfn.XLOOKUP(Tableau5617192223242425262827293031333432353620383961719241822254140424344104746[[#This Row],[Num Projets]],#REF!,#REF!,"newavr",0)</f>
        <v>#REF!</v>
      </c>
      <c r="G157" s="3" t="s">
        <v>2</v>
      </c>
      <c r="H157" s="3" t="s">
        <v>296</v>
      </c>
      <c r="I15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7" s="4" t="e">
        <f>VLOOKUP(Tableau5617192223242425262827293031333432353620383961719241822254140424344104746[[#This Row],[Num Projets]],#REF!,36,FALSE)</f>
        <v>#REF!</v>
      </c>
      <c r="K157" s="5" t="s">
        <v>9</v>
      </c>
      <c r="L15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7" s="3" t="e">
        <f>SUBSTITUTE(_xlfn.XLOOKUP(Tableau5617192223242425262827293031333432353620383961719241822254140424344104746[[#This Row],[Num Projets]],#REF!,#REF!,FALSE)," ","")</f>
        <v>#REF!</v>
      </c>
      <c r="N157" s="7" t="e">
        <f>VLOOKUP(H157,#REF!,7,FALSE)</f>
        <v>#REF!</v>
      </c>
      <c r="O157" s="7" t="e">
        <f>IF(VLOOKUP(H157,#REF!,27,FALSE)=0,"",VLOOKUP(H157,#REF!,27,FALSE))</f>
        <v>#REF!</v>
      </c>
      <c r="P157" s="8" t="e">
        <f>VLOOKUP(H157,#REF!,2,FALSE)</f>
        <v>#REF!</v>
      </c>
      <c r="Q157" s="9" t="e">
        <f>Tableau5617192223242425262827293031333432353620383961719241822254140424344104746[[#This Row],[Total Budget
€]]-IFERROR(VLOOKUP(H157,#REF!,8,FALSE),0)</f>
        <v>#REF!</v>
      </c>
      <c r="R157" s="10">
        <f>AD157+AI157+Tableau5617192223242425262827293031333432353620383961719241822254140424344104746[[#This Row],[Int Commandé OT
€]]+AX157</f>
        <v>0</v>
      </c>
      <c r="S157" s="10">
        <f>AD157+AJ157+Tableau5617192223242425262827293031333432353620383961719241822254140424344104746[[#This Row],[Int Réalisé OT
€]]+AX157</f>
        <v>0</v>
      </c>
      <c r="T157" s="11" t="e">
        <f t="shared" si="38"/>
        <v>#REF!</v>
      </c>
      <c r="U15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7" s="12">
        <f>IFERROR(VLOOKUP(H157,#REF!,2,FALSE),0)</f>
        <v>0</v>
      </c>
      <c r="X157" s="13">
        <f>IFERROR(VLOOKUP(H157,#REF!,2,FALSE),0)</f>
        <v>0</v>
      </c>
      <c r="Y157" s="13">
        <f>IFERROR(VLOOKUP(H157,#REF!,3,FALSE),0)</f>
        <v>0</v>
      </c>
      <c r="Z15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27</v>
      </c>
      <c r="AA157" s="13">
        <f>IFERROR(VLOOKUP(H157,#REF!,18,FALSE),0)</f>
        <v>0</v>
      </c>
      <c r="AB157" s="13">
        <f>SUM(X157:Y157)-IFERROR(VLOOKUP(H157,#REF!,16,FALSE),0)-IFERROR(VLOOKUP(H157,#REF!,17,FALSE),0)</f>
        <v>0</v>
      </c>
      <c r="AC157" s="15" t="e">
        <f>VLOOKUP(Tableau5617192223242425262827293031333432353620383961719241822254140424344104746[[#This Row],[Num Projets]],#REF!,2,FALSE)</f>
        <v>#REF!</v>
      </c>
      <c r="AD157" s="15">
        <f>IFERROR(VLOOKUP(Tableau5617192223242425262827293031333432353620383961719241822254140424344104746[[#This Row],[Num Projets]],#REF!,2,FALSE),0)</f>
        <v>0</v>
      </c>
      <c r="AE157" s="8">
        <f t="shared" si="39"/>
        <v>1290.5999999999999</v>
      </c>
      <c r="AF157" s="22" t="e">
        <f t="shared" si="40"/>
        <v>#REF!</v>
      </c>
      <c r="AG157" s="8">
        <f>IFERROR(VLOOKUP(H157,#REF!,3,FALSE),0)+IFERROR(VLOOKUP(H157,#REF!,3,FALSE),0)</f>
        <v>0</v>
      </c>
      <c r="AH157" s="8">
        <f>IFERROR(VLOOKUP(Tableau5617192223242425262827293031333432353620383961719241822254140424344104746[[#This Row],[Num Projets]],#REF!,2,FALSE),0)</f>
        <v>0</v>
      </c>
      <c r="AI157" s="17">
        <f>+IFERROR(VLOOKUP(H157,#REF!,2,FALSE),0)-Tableau5617192223242425262827293031333432353620383961719241822254140424344104746[[#This Row],[Int Commandé OT
€]]</f>
        <v>0</v>
      </c>
      <c r="AJ157" s="8">
        <f>IFERROR(VLOOKUP(H157,#REF!,11,FALSE),0)-IFERROR(VLOOKUP(H157,#REF!,10,FALSE),0)+Tableau5617192223242425262827293031333432353620383961719241822254140424344104746[[#This Row],[dont FNP à date (€ HT)]]</f>
        <v>0</v>
      </c>
      <c r="AK157" s="15">
        <f t="shared" si="46"/>
        <v>0</v>
      </c>
      <c r="AL15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7" s="19">
        <f>IF(Tableau5617192223242425262827293031333432353620383961719241822254140424344104746[[#This Row],[RAF Achats M-1
€]]=0,0,AN157-AO157)</f>
        <v>0</v>
      </c>
      <c r="AN157" s="8">
        <f>IFERROR(VLOOKUP(H157,#REF!,31,FALSE),0)</f>
        <v>0</v>
      </c>
      <c r="AO157" s="8">
        <f>AI157+-IFERROR(VLOOKUP(H157,#REF!,27,FALSE),0)</f>
        <v>0</v>
      </c>
      <c r="AP157" s="20">
        <f>IFERROR(VLOOKUP(Tableau5617192223242425262827293031333432353620383961719241822254140424344104746[[#This Row],[Num Projets]],#REF!,2,FALSE),0)</f>
        <v>0</v>
      </c>
      <c r="AQ157" s="20">
        <f>_xlfn.XLOOKUP(H157,[2]Synth!$N:$N,[2]Synth!$O:$O,0,FALSE)+_xlfn.XLOOKUP(Tableau5617192223242425262827293031333432353620383961719241822254140424344104746[[#This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7" s="21">
        <v>0</v>
      </c>
      <c r="AS157" s="20">
        <f>+IFERROR(VLOOKUP(H157,#REF!,36,FALSE),0)</f>
        <v>0</v>
      </c>
      <c r="AT15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7" s="22">
        <f>IF(AG157=0,0,1-((AI157+AM157+Tableau5617192223242425262827293031333432353620383961719241822254140424344104746[[#This Row],[Int Commandé OT
€]]+Tableau5617192223242425262827293031333432353620383961719241822254140424344104746[[#This Row],[RAF Int OT
€]])/AG157))</f>
        <v>0</v>
      </c>
      <c r="AV157" s="8">
        <f>IFERROR(VLOOKUP(H157,#REF!,4,FALSE),0)+IFERROR(VLOOKUP(H157,#REF!,4,FALSE),0)</f>
        <v>0</v>
      </c>
      <c r="AW157" s="8">
        <f>IFERROR(VLOOKUP(Tableau5617192223242425262827293031333432353620383961719241822254140424344104746[[#This Row],[Num Projets]],#REF!,3,FALSE),0)</f>
        <v>0</v>
      </c>
      <c r="AX157" s="95">
        <f>IFERROR(VLOOKUP(Tableau5617192223242425262827293031333432353620383961719241822254140424344104746[[#This Row],[Num Projets]],#REF!,10,FALSE),0)</f>
        <v>0</v>
      </c>
      <c r="AY157" s="23">
        <f>Tableau5617192223242425262827293031333432353620383961719241822254140424344104746[[#This Row],[Budget Mission
 €]]/1.2-AX157</f>
        <v>0</v>
      </c>
      <c r="AZ157" s="8">
        <f>IFERROR(VLOOKUP(H157,#REF!,43,FALSE),0)</f>
        <v>0</v>
      </c>
      <c r="BA157" s="8">
        <f>AX157-IFERROR(VLOOKUP(H157,#REF!,42,FALSE),0)</f>
        <v>0</v>
      </c>
      <c r="BB157" s="47">
        <f t="shared" si="47"/>
        <v>0</v>
      </c>
      <c r="BC157" s="24">
        <f>IFERROR(VLOOKUP(H157,#REF!,47,FALSE),IFERROR(VLOOKUP(H157,#REF!,5,FALSE),0)+IFERROR(VLOOKUP(H157,#REF!,5,FALSE),0))</f>
        <v>0</v>
      </c>
      <c r="BD157" s="25">
        <f>IFERROR(VLOOKUP(H157,#REF!,2,FALSE),0)</f>
        <v>0</v>
      </c>
      <c r="BE157" s="25">
        <f>IFERROR(VLOOKUP(H157,#REF!,49,FALSE),0)</f>
        <v>0</v>
      </c>
      <c r="BF157" s="50" t="e">
        <f t="shared" si="41"/>
        <v>#REF!</v>
      </c>
      <c r="BG157" s="50">
        <f t="shared" si="42"/>
        <v>0</v>
      </c>
      <c r="BH157" s="27">
        <f>AE157+ (AI157-AJ157+AM157+Tableau5617192223242425262827293031333432353620383961719241822254140424344104746[[#This Row],[Int Commandé OT
€]]-Tableau5617192223242425262827293031333432353620383961719241822254140424344104746[[#This Row],[Int Réalisé OT
€]]+AR157) +AY157+BC157</f>
        <v>1290.5999999999999</v>
      </c>
      <c r="BI157" s="47">
        <f t="shared" si="51"/>
        <v>0</v>
      </c>
      <c r="BJ157" s="47" t="e">
        <f t="shared" si="43"/>
        <v>#REF!</v>
      </c>
      <c r="BK157" s="27" t="e">
        <f t="shared" si="44"/>
        <v>#REF!</v>
      </c>
      <c r="BL157" s="26" t="e">
        <f t="shared" si="45"/>
        <v>#REF!</v>
      </c>
      <c r="BM157" s="96">
        <f>IFERROR(VLOOKUP(H157,'[1]2023dec'!H:CA,54,FALSE),105)</f>
        <v>105</v>
      </c>
      <c r="BN157" s="29">
        <v>1</v>
      </c>
      <c r="BO157" s="30" t="e">
        <f>P157-AC157-AG157-AV157-Tableau5617192223242425262827293031333432353620383961719241822254140424344104746[[#This Row],[Provisions pour risques]]</f>
        <v>#REF!</v>
      </c>
      <c r="BP15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1290.5999999999999</v>
      </c>
      <c r="BQ15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7" s="97" t="e">
        <f t="shared" si="48"/>
        <v>#REF!</v>
      </c>
      <c r="BS157" s="34">
        <f>Tableau5617192223242425262827293031333432353620383961719241822254140424344104746[[#This Row],[Consommé global Enregistré à date (€ HT)]]-IFERROR(VLOOKUP(H157,#REF!,50,FALSE),0)</f>
        <v>0</v>
      </c>
      <c r="BT157" s="35" t="e">
        <f t="shared" si="49"/>
        <v>#REF!</v>
      </c>
      <c r="BU157" s="36">
        <f>BD157-IFERROR(VLOOKUP(H157,#REF!,47,FALSE),0)</f>
        <v>0</v>
      </c>
      <c r="BV157" s="37" t="e">
        <f>+BF157+Tableau5617192223242425262827293031333432353620383961719241822254140424344104746[[#This Row],[CA fin N-1]]-IFERROR(VLOOKUP(H157,#REF!,49,FALSE),0)-IFERROR(VLOOKUP(H157,#REF!,50,FALSE),0)</f>
        <v>#REF!</v>
      </c>
      <c r="BW157" s="33">
        <f>BG157-IFERROR(VLOOKUP(H157,#REF!,51,FALSE),0)</f>
        <v>0</v>
      </c>
      <c r="BX157" s="35" t="e">
        <f t="shared" si="50"/>
        <v>#REF!</v>
      </c>
      <c r="BY157" s="36">
        <f>BD157-IFERROR(VLOOKUP(H157,#REF!,48,FALSE),0)</f>
        <v>0</v>
      </c>
      <c r="BZ15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7" s="39" t="e">
        <f>VLOOKUP(Tableau5617192223242425262827293031333432353620383961719241822254140424344104746[[#This Row],[Num Projets]],#REF!,1,FALSE)</f>
        <v>#REF!</v>
      </c>
      <c r="CB157" s="40">
        <v>27</v>
      </c>
      <c r="CC157" s="40">
        <v>0</v>
      </c>
      <c r="CD15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-27</v>
      </c>
    </row>
    <row r="158" spans="1:82" ht="15" customHeight="1" x14ac:dyDescent="0.25">
      <c r="A158" s="311"/>
      <c r="B158" s="1"/>
      <c r="C158" s="2" t="e">
        <f>_xlfn.XLOOKUP(Tableau5617192223242425262827293031333432353620383961719241822254140424344104746[[#This Row],[Num Projets]],#REF!,#REF!,FALSE)</f>
        <v>#REF!</v>
      </c>
      <c r="D158" s="3" t="s">
        <v>6</v>
      </c>
      <c r="E158" s="3" t="e">
        <f>_xlfn.XLOOKUP(Tableau5617192223242425262827293031333432353620383961719241822254140424344104746[[#This Row],[Num Projets]],#REF!,#REF!,FALSE)</f>
        <v>#REF!</v>
      </c>
      <c r="F158" s="3" t="e">
        <f>_xlfn.XLOOKUP(Tableau5617192223242425262827293031333432353620383961719241822254140424344104746[[#This Row],[Num Projets]],#REF!,#REF!,"newavr",0)</f>
        <v>#REF!</v>
      </c>
      <c r="G158" s="3" t="s">
        <v>2</v>
      </c>
      <c r="H158" s="3" t="s">
        <v>297</v>
      </c>
      <c r="I15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8" s="4" t="e">
        <f>VLOOKUP(Tableau5617192223242425262827293031333432353620383961719241822254140424344104746[[#This Row],[Num Projets]],#REF!,36,FALSE)</f>
        <v>#REF!</v>
      </c>
      <c r="K158" s="5" t="s">
        <v>9</v>
      </c>
      <c r="L15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8" s="3" t="e">
        <f>SUBSTITUTE(_xlfn.XLOOKUP(Tableau5617192223242425262827293031333432353620383961719241822254140424344104746[[#This Row],[Num Projets]],#REF!,#REF!,FALSE)," ","")</f>
        <v>#REF!</v>
      </c>
      <c r="N158" s="7" t="e">
        <f>VLOOKUP(H158,#REF!,7,FALSE)</f>
        <v>#REF!</v>
      </c>
      <c r="O158" s="7" t="e">
        <f>IF(VLOOKUP(H158,#REF!,27,FALSE)=0,"",VLOOKUP(H158,#REF!,27,FALSE))</f>
        <v>#REF!</v>
      </c>
      <c r="P158" s="8" t="e">
        <f>VLOOKUP(H158,#REF!,2,FALSE)</f>
        <v>#REF!</v>
      </c>
      <c r="Q158" s="9" t="e">
        <f>Tableau5617192223242425262827293031333432353620383961719241822254140424344104746[[#This Row],[Total Budget
€]]-IFERROR(VLOOKUP(H158,#REF!,8,FALSE),0)</f>
        <v>#REF!</v>
      </c>
      <c r="R158" s="10">
        <f>AD158+AI158+Tableau5617192223242425262827293031333432353620383961719241822254140424344104746[[#This Row],[Int Commandé OT
€]]+AX158</f>
        <v>0</v>
      </c>
      <c r="S158" s="10">
        <f>AD158+AJ158+Tableau5617192223242425262827293031333432353620383961719241822254140424344104746[[#This Row],[Int Réalisé OT
€]]+AX158</f>
        <v>0</v>
      </c>
      <c r="T158" s="11" t="e">
        <f t="shared" si="38"/>
        <v>#REF!</v>
      </c>
      <c r="U15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8" s="12">
        <f>IFERROR(VLOOKUP(H158,#REF!,2,FALSE),0)</f>
        <v>0</v>
      </c>
      <c r="X158" s="13">
        <f>IFERROR(VLOOKUP(H158,#REF!,2,FALSE),0)</f>
        <v>0</v>
      </c>
      <c r="Y158" s="13">
        <f>IFERROR(VLOOKUP(H158,#REF!,3,FALSE),0)</f>
        <v>0</v>
      </c>
      <c r="Z15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19.5</v>
      </c>
      <c r="AA158" s="13">
        <f>IFERROR(VLOOKUP(H158,#REF!,18,FALSE),0)</f>
        <v>0</v>
      </c>
      <c r="AB158" s="13">
        <f>SUM(X158:Y158)-IFERROR(VLOOKUP(H158,#REF!,16,FALSE),0)-IFERROR(VLOOKUP(H158,#REF!,17,FALSE),0)</f>
        <v>0</v>
      </c>
      <c r="AC158" s="15" t="e">
        <f>VLOOKUP(Tableau5617192223242425262827293031333432353620383961719241822254140424344104746[[#This Row],[Num Projets]],#REF!,2,FALSE)</f>
        <v>#REF!</v>
      </c>
      <c r="AD158" s="15">
        <f>IFERROR(VLOOKUP(Tableau5617192223242425262827293031333432353620383961719241822254140424344104746[[#This Row],[Num Projets]],#REF!,2,FALSE),0)</f>
        <v>0</v>
      </c>
      <c r="AE158" s="8">
        <f t="shared" si="39"/>
        <v>932.09999999999991</v>
      </c>
      <c r="AF158" s="22" t="e">
        <f t="shared" si="40"/>
        <v>#REF!</v>
      </c>
      <c r="AG158" s="8">
        <f>IFERROR(VLOOKUP(H158,#REF!,3,FALSE),0)+IFERROR(VLOOKUP(H158,#REF!,3,FALSE),0)</f>
        <v>0</v>
      </c>
      <c r="AH158" s="8">
        <f>IFERROR(VLOOKUP(Tableau5617192223242425262827293031333432353620383961719241822254140424344104746[[#This Row],[Num Projets]],#REF!,2,FALSE),0)</f>
        <v>0</v>
      </c>
      <c r="AI158" s="17">
        <f>+IFERROR(VLOOKUP(H158,#REF!,2,FALSE),0)-Tableau5617192223242425262827293031333432353620383961719241822254140424344104746[[#This Row],[Int Commandé OT
€]]</f>
        <v>0</v>
      </c>
      <c r="AJ158" s="8">
        <f>IFERROR(VLOOKUP(H158,#REF!,11,FALSE),0)-IFERROR(VLOOKUP(H158,#REF!,10,FALSE),0)+Tableau5617192223242425262827293031333432353620383961719241822254140424344104746[[#This Row],[dont FNP à date (€ HT)]]</f>
        <v>0</v>
      </c>
      <c r="AK158" s="15">
        <f t="shared" si="46"/>
        <v>0</v>
      </c>
      <c r="AL15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8" s="19">
        <f>IF(Tableau5617192223242425262827293031333432353620383961719241822254140424344104746[[#This Row],[RAF Achats M-1
€]]=0,0,AN158-AO158)</f>
        <v>0</v>
      </c>
      <c r="AN158" s="8">
        <f>IFERROR(VLOOKUP(H158,#REF!,31,FALSE),0)</f>
        <v>0</v>
      </c>
      <c r="AO158" s="8">
        <f>AI158+-IFERROR(VLOOKUP(H158,#REF!,27,FALSE),0)</f>
        <v>0</v>
      </c>
      <c r="AP158" s="20">
        <f>IFERROR(VLOOKUP(Tableau5617192223242425262827293031333432353620383961719241822254140424344104746[[#This Row],[Num Projets]],#REF!,2,FALSE),0)</f>
        <v>0</v>
      </c>
      <c r="AQ158" s="20">
        <f>_xlfn.XLOOKUP(H158,[2]Synth!$N:$N,[2]Synth!$O:$O,0,FALSE)+_xlfn.XLOOKUP(Tableau5617192223242425262827293031333432353620383961719241822254140424344104746[[#This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8" s="21">
        <v>0</v>
      </c>
      <c r="AS158" s="20">
        <f>+IFERROR(VLOOKUP(H158,#REF!,36,FALSE),0)</f>
        <v>0</v>
      </c>
      <c r="AT15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8" s="22">
        <f>IF(AG158=0,0,1-((AI158+AM158+Tableau5617192223242425262827293031333432353620383961719241822254140424344104746[[#This Row],[Int Commandé OT
€]]+Tableau5617192223242425262827293031333432353620383961719241822254140424344104746[[#This Row],[RAF Int OT
€]])/AG158))</f>
        <v>0</v>
      </c>
      <c r="AV158" s="8">
        <f>IFERROR(VLOOKUP(H158,#REF!,4,FALSE),0)+IFERROR(VLOOKUP(H158,#REF!,4,FALSE),0)</f>
        <v>0</v>
      </c>
      <c r="AW158" s="8">
        <f>IFERROR(VLOOKUP(Tableau5617192223242425262827293031333432353620383961719241822254140424344104746[[#This Row],[Num Projets]],#REF!,3,FALSE),0)</f>
        <v>0</v>
      </c>
      <c r="AX158" s="95">
        <f>IFERROR(VLOOKUP(Tableau5617192223242425262827293031333432353620383961719241822254140424344104746[[#This Row],[Num Projets]],#REF!,10,FALSE),0)</f>
        <v>0</v>
      </c>
      <c r="AY158" s="23">
        <f>Tableau5617192223242425262827293031333432353620383961719241822254140424344104746[[#This Row],[Budget Mission
 €]]/1.2-AX158</f>
        <v>0</v>
      </c>
      <c r="AZ158" s="8">
        <f>IFERROR(VLOOKUP(H158,#REF!,43,FALSE),0)</f>
        <v>0</v>
      </c>
      <c r="BA158" s="8">
        <f>AX158-IFERROR(VLOOKUP(H158,#REF!,42,FALSE),0)</f>
        <v>0</v>
      </c>
      <c r="BB158" s="47">
        <f t="shared" si="47"/>
        <v>0</v>
      </c>
      <c r="BC158" s="24">
        <f>IFERROR(VLOOKUP(H158,#REF!,47,FALSE),IFERROR(VLOOKUP(H158,#REF!,5,FALSE),0)+IFERROR(VLOOKUP(H158,#REF!,5,FALSE),0))</f>
        <v>0</v>
      </c>
      <c r="BD158" s="25">
        <f>IFERROR(VLOOKUP(H158,#REF!,2,FALSE),0)</f>
        <v>0</v>
      </c>
      <c r="BE158" s="25">
        <f>IFERROR(VLOOKUP(H158,#REF!,49,FALSE),0)</f>
        <v>0</v>
      </c>
      <c r="BF158" s="50" t="e">
        <f t="shared" si="41"/>
        <v>#REF!</v>
      </c>
      <c r="BG158" s="50">
        <f t="shared" si="42"/>
        <v>0</v>
      </c>
      <c r="BH158" s="27">
        <f>AE158+ (AI158-AJ158+AM158+Tableau5617192223242425262827293031333432353620383961719241822254140424344104746[[#This Row],[Int Commandé OT
€]]-Tableau5617192223242425262827293031333432353620383961719241822254140424344104746[[#This Row],[Int Réalisé OT
€]]+AR158) +AY158+BC158</f>
        <v>932.09999999999991</v>
      </c>
      <c r="BI158" s="47">
        <f t="shared" si="51"/>
        <v>0</v>
      </c>
      <c r="BJ158" s="47" t="e">
        <f t="shared" si="43"/>
        <v>#REF!</v>
      </c>
      <c r="BK158" s="27" t="e">
        <f t="shared" si="44"/>
        <v>#REF!</v>
      </c>
      <c r="BL158" s="26" t="e">
        <f t="shared" si="45"/>
        <v>#REF!</v>
      </c>
      <c r="BM158" s="96">
        <f>IFERROR(VLOOKUP(H158,'[1]2023dec'!H:CA,54,FALSE),105)</f>
        <v>105</v>
      </c>
      <c r="BN158" s="29">
        <v>1</v>
      </c>
      <c r="BO158" s="30" t="e">
        <f>P158-AC158-AG158-AV158-Tableau5617192223242425262827293031333432353620383961719241822254140424344104746[[#This Row],[Provisions pour risques]]</f>
        <v>#REF!</v>
      </c>
      <c r="BP15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932.09999999999991</v>
      </c>
      <c r="BQ15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8" s="97" t="e">
        <f t="shared" si="48"/>
        <v>#REF!</v>
      </c>
      <c r="BS158" s="34">
        <f>Tableau5617192223242425262827293031333432353620383961719241822254140424344104746[[#This Row],[Consommé global Enregistré à date (€ HT)]]-IFERROR(VLOOKUP(H158,#REF!,50,FALSE),0)</f>
        <v>0</v>
      </c>
      <c r="BT158" s="35" t="e">
        <f t="shared" si="49"/>
        <v>#REF!</v>
      </c>
      <c r="BU158" s="36">
        <f>BD158-IFERROR(VLOOKUP(H158,#REF!,47,FALSE),0)</f>
        <v>0</v>
      </c>
      <c r="BV158" s="37" t="e">
        <f>+BF158+Tableau5617192223242425262827293031333432353620383961719241822254140424344104746[[#This Row],[CA fin N-1]]-IFERROR(VLOOKUP(H158,#REF!,49,FALSE),0)-IFERROR(VLOOKUP(H158,#REF!,50,FALSE),0)</f>
        <v>#REF!</v>
      </c>
      <c r="BW158" s="33">
        <f>BG158-IFERROR(VLOOKUP(H158,#REF!,51,FALSE),0)</f>
        <v>0</v>
      </c>
      <c r="BX158" s="35" t="e">
        <f t="shared" si="50"/>
        <v>#REF!</v>
      </c>
      <c r="BY158" s="36">
        <f>BD158-IFERROR(VLOOKUP(H158,#REF!,48,FALSE),0)</f>
        <v>0</v>
      </c>
      <c r="BZ15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8" s="39" t="e">
        <f>VLOOKUP(Tableau5617192223242425262827293031333432353620383961719241822254140424344104746[[#This Row],[Num Projets]],#REF!,1,FALSE)</f>
        <v>#REF!</v>
      </c>
      <c r="CB158" s="40">
        <v>19.5</v>
      </c>
      <c r="CC158" s="40">
        <v>0</v>
      </c>
      <c r="CD15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-19.5</v>
      </c>
    </row>
    <row r="159" spans="1:82" ht="15" customHeight="1" x14ac:dyDescent="0.25">
      <c r="A159" s="311"/>
      <c r="B159" s="1"/>
      <c r="C159" s="2" t="e">
        <f>_xlfn.XLOOKUP(Tableau5617192223242425262827293031333432353620383961719241822254140424344104746[[#This Row],[Num Projets]],#REF!,#REF!,FALSE)</f>
        <v>#REF!</v>
      </c>
      <c r="D159" s="3" t="s">
        <v>6</v>
      </c>
      <c r="E159" s="3" t="e">
        <f>_xlfn.XLOOKUP(Tableau5617192223242425262827293031333432353620383961719241822254140424344104746[[#This Row],[Num Projets]],#REF!,#REF!,FALSE)</f>
        <v>#REF!</v>
      </c>
      <c r="F159" s="3" t="e">
        <f>_xlfn.XLOOKUP(Tableau5617192223242425262827293031333432353620383961719241822254140424344104746[[#This Row],[Num Projets]],#REF!,#REF!,"newavr",0)</f>
        <v>#REF!</v>
      </c>
      <c r="G159" s="3" t="s">
        <v>219</v>
      </c>
      <c r="H159" s="3" t="s">
        <v>298</v>
      </c>
      <c r="I15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59" s="4" t="e">
        <f>VLOOKUP(Tableau5617192223242425262827293031333432353620383961719241822254140424344104746[[#This Row],[Num Projets]],#REF!,36,FALSE)</f>
        <v>#REF!</v>
      </c>
      <c r="K159" s="5" t="s">
        <v>9</v>
      </c>
      <c r="L15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59" s="3" t="e">
        <f>SUBSTITUTE(_xlfn.XLOOKUP(Tableau5617192223242425262827293031333432353620383961719241822254140424344104746[[#This Row],[Num Projets]],#REF!,#REF!,FALSE)," ","")</f>
        <v>#REF!</v>
      </c>
      <c r="N159" s="7" t="e">
        <f>VLOOKUP(H159,#REF!,7,FALSE)</f>
        <v>#REF!</v>
      </c>
      <c r="O159" s="7" t="e">
        <f>IF(VLOOKUP(H159,#REF!,27,FALSE)=0,"",VLOOKUP(H159,#REF!,27,FALSE))</f>
        <v>#REF!</v>
      </c>
      <c r="P159" s="8" t="e">
        <f>VLOOKUP(H159,#REF!,2,FALSE)</f>
        <v>#REF!</v>
      </c>
      <c r="Q159" s="9" t="e">
        <f>Tableau5617192223242425262827293031333432353620383961719241822254140424344104746[[#This Row],[Total Budget
€]]-IFERROR(VLOOKUP(H159,#REF!,8,FALSE),0)</f>
        <v>#REF!</v>
      </c>
      <c r="R159" s="10">
        <f>AD159+AI159+Tableau5617192223242425262827293031333432353620383961719241822254140424344104746[[#This Row],[Int Commandé OT
€]]+AX159</f>
        <v>0</v>
      </c>
      <c r="S159" s="10">
        <f>AD159+AJ159+Tableau5617192223242425262827293031333432353620383961719241822254140424344104746[[#This Row],[Int Réalisé OT
€]]+AX159</f>
        <v>0</v>
      </c>
      <c r="T159" s="11" t="e">
        <f t="shared" si="38"/>
        <v>#REF!</v>
      </c>
      <c r="U15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5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59" s="12">
        <f>IFERROR(VLOOKUP(H159,#REF!,2,FALSE),0)</f>
        <v>0</v>
      </c>
      <c r="X159" s="13">
        <f>IFERROR(VLOOKUP(H159,#REF!,2,FALSE),0)</f>
        <v>0</v>
      </c>
      <c r="Y159" s="13">
        <f>IFERROR(VLOOKUP(H159,#REF!,3,FALSE),0)</f>
        <v>0</v>
      </c>
      <c r="Z15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</v>
      </c>
      <c r="AA159" s="13">
        <f>IFERROR(VLOOKUP(H159,#REF!,18,FALSE),0)</f>
        <v>0</v>
      </c>
      <c r="AB159" s="13">
        <f>SUM(X159:Y159)-IFERROR(VLOOKUP(H159,#REF!,16,FALSE),0)-IFERROR(VLOOKUP(H159,#REF!,17,FALSE),0)</f>
        <v>0</v>
      </c>
      <c r="AC159" s="15" t="e">
        <f>VLOOKUP(Tableau5617192223242425262827293031333432353620383961719241822254140424344104746[[#This Row],[Num Projets]],#REF!,2,FALSE)</f>
        <v>#REF!</v>
      </c>
      <c r="AD159" s="15">
        <f>IFERROR(VLOOKUP(Tableau5617192223242425262827293031333432353620383961719241822254140424344104746[[#This Row],[Num Projets]],#REF!,2,FALSE),0)</f>
        <v>0</v>
      </c>
      <c r="AE159" s="8">
        <f t="shared" si="39"/>
        <v>573.59999999999991</v>
      </c>
      <c r="AF159" s="22" t="e">
        <f t="shared" si="40"/>
        <v>#REF!</v>
      </c>
      <c r="AG159" s="8">
        <f>IFERROR(VLOOKUP(H159,#REF!,3,FALSE),0)+IFERROR(VLOOKUP(H159,#REF!,3,FALSE),0)</f>
        <v>0</v>
      </c>
      <c r="AH159" s="8">
        <f>IFERROR(VLOOKUP(Tableau5617192223242425262827293031333432353620383961719241822254140424344104746[[#This Row],[Num Projets]],#REF!,2,FALSE),0)</f>
        <v>0</v>
      </c>
      <c r="AI159" s="17">
        <f>+IFERROR(VLOOKUP(H159,#REF!,2,FALSE),0)-Tableau5617192223242425262827293031333432353620383961719241822254140424344104746[[#This Row],[Int Commandé OT
€]]</f>
        <v>0</v>
      </c>
      <c r="AJ159" s="8">
        <f>IFERROR(VLOOKUP(H159,#REF!,11,FALSE),0)-IFERROR(VLOOKUP(H159,#REF!,10,FALSE),0)+Tableau5617192223242425262827293031333432353620383961719241822254140424344104746[[#This Row],[dont FNP à date (€ HT)]]</f>
        <v>0</v>
      </c>
      <c r="AK159" s="15">
        <f t="shared" si="46"/>
        <v>0</v>
      </c>
      <c r="AL15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59" s="19">
        <f>IF(Tableau5617192223242425262827293031333432353620383961719241822254140424344104746[[#This Row],[RAF Achats M-1
€]]=0,0,AN159-AO159)</f>
        <v>0</v>
      </c>
      <c r="AN159" s="8">
        <f>IFERROR(VLOOKUP(H159,#REF!,31,FALSE),0)</f>
        <v>0</v>
      </c>
      <c r="AO159" s="8">
        <f>AI159+-IFERROR(VLOOKUP(H159,#REF!,27,FALSE),0)</f>
        <v>0</v>
      </c>
      <c r="AP159" s="20">
        <f>IFERROR(VLOOKUP(Tableau5617192223242425262827293031333432353620383961719241822254140424344104746[[#This Row],[Num Projets]],#REF!,2,FALSE),0)</f>
        <v>0</v>
      </c>
      <c r="AQ159" s="20">
        <f>_xlfn.XLOOKUP(H159,[2]Synth!$N:$N,[2]Synth!$O:$O,0,FALSE)+_xlfn.XLOOKUP(Tableau5617192223242425262827293031333432353620383961719241822254140424344104746[[#This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59" s="21">
        <v>0</v>
      </c>
      <c r="AS159" s="20">
        <f>+IFERROR(VLOOKUP(H159,#REF!,36,FALSE),0)</f>
        <v>0</v>
      </c>
      <c r="AT15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59" s="22">
        <f>IF(AG159=0,0,1-((AI159+AM159+Tableau5617192223242425262827293031333432353620383961719241822254140424344104746[[#This Row],[Int Commandé OT
€]]+Tableau5617192223242425262827293031333432353620383961719241822254140424344104746[[#This Row],[RAF Int OT
€]])/AG159))</f>
        <v>0</v>
      </c>
      <c r="AV159" s="8">
        <f>IFERROR(VLOOKUP(H159,#REF!,4,FALSE),0)+IFERROR(VLOOKUP(H159,#REF!,4,FALSE),0)</f>
        <v>0</v>
      </c>
      <c r="AW159" s="8">
        <f>IFERROR(VLOOKUP(Tableau5617192223242425262827293031333432353620383961719241822254140424344104746[[#This Row],[Num Projets]],#REF!,3,FALSE),0)</f>
        <v>0</v>
      </c>
      <c r="AX159" s="95">
        <f>IFERROR(VLOOKUP(Tableau5617192223242425262827293031333432353620383961719241822254140424344104746[[#This Row],[Num Projets]],#REF!,10,FALSE),0)</f>
        <v>0</v>
      </c>
      <c r="AY159" s="23">
        <f>Tableau5617192223242425262827293031333432353620383961719241822254140424344104746[[#This Row],[Budget Mission
 €]]/1.2-AX159</f>
        <v>0</v>
      </c>
      <c r="AZ159" s="8">
        <f>IFERROR(VLOOKUP(H159,#REF!,43,FALSE),0)</f>
        <v>0</v>
      </c>
      <c r="BA159" s="8">
        <f>AX159-IFERROR(VLOOKUP(H159,#REF!,42,FALSE),0)</f>
        <v>0</v>
      </c>
      <c r="BB159" s="47">
        <f t="shared" si="47"/>
        <v>0</v>
      </c>
      <c r="BC159" s="24">
        <f>IFERROR(VLOOKUP(H159,#REF!,47,FALSE),IFERROR(VLOOKUP(H159,#REF!,5,FALSE),0)+IFERROR(VLOOKUP(H159,#REF!,5,FALSE),0))</f>
        <v>0</v>
      </c>
      <c r="BD159" s="25">
        <f>IFERROR(VLOOKUP(H159,#REF!,2,FALSE),0)</f>
        <v>0</v>
      </c>
      <c r="BE159" s="25">
        <f>IFERROR(VLOOKUP(H159,#REF!,49,FALSE),0)</f>
        <v>0</v>
      </c>
      <c r="BF159" s="50" t="e">
        <f t="shared" si="41"/>
        <v>#REF!</v>
      </c>
      <c r="BG159" s="50">
        <f t="shared" si="42"/>
        <v>0</v>
      </c>
      <c r="BH159" s="27">
        <f>AE159+ (AI159-AJ159+AM159+Tableau5617192223242425262827293031333432353620383961719241822254140424344104746[[#This Row],[Int Commandé OT
€]]-Tableau5617192223242425262827293031333432353620383961719241822254140424344104746[[#This Row],[Int Réalisé OT
€]]+AR159) +AY159+BC159</f>
        <v>573.59999999999991</v>
      </c>
      <c r="BI159" s="47">
        <f t="shared" si="51"/>
        <v>0</v>
      </c>
      <c r="BJ159" s="47" t="e">
        <f t="shared" si="43"/>
        <v>#REF!</v>
      </c>
      <c r="BK159" s="27" t="e">
        <f t="shared" si="44"/>
        <v>#REF!</v>
      </c>
      <c r="BL159" s="26" t="e">
        <f t="shared" si="45"/>
        <v>#REF!</v>
      </c>
      <c r="BM159" s="96">
        <f>IFERROR(VLOOKUP(H159,'[1]2023dec'!H:CA,54,FALSE),105)</f>
        <v>105</v>
      </c>
      <c r="BN159" s="29">
        <v>1</v>
      </c>
      <c r="BO159" s="30" t="e">
        <f>P159-AC159-AG159-AV159-Tableau5617192223242425262827293031333432353620383961719241822254140424344104746[[#This Row],[Provisions pour risques]]</f>
        <v>#REF!</v>
      </c>
      <c r="BP15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573.59999999999991</v>
      </c>
      <c r="BQ15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59" s="97" t="e">
        <f t="shared" si="48"/>
        <v>#REF!</v>
      </c>
      <c r="BS159" s="34">
        <f>Tableau5617192223242425262827293031333432353620383961719241822254140424344104746[[#This Row],[Consommé global Enregistré à date (€ HT)]]-IFERROR(VLOOKUP(H159,#REF!,50,FALSE),0)</f>
        <v>0</v>
      </c>
      <c r="BT159" s="35" t="e">
        <f t="shared" si="49"/>
        <v>#REF!</v>
      </c>
      <c r="BU159" s="36">
        <f>BD159-IFERROR(VLOOKUP(H159,#REF!,47,FALSE),0)</f>
        <v>0</v>
      </c>
      <c r="BV159" s="37" t="e">
        <f>+BF159+Tableau5617192223242425262827293031333432353620383961719241822254140424344104746[[#This Row],[CA fin N-1]]-IFERROR(VLOOKUP(H159,#REF!,49,FALSE),0)-IFERROR(VLOOKUP(H159,#REF!,50,FALSE),0)</f>
        <v>#REF!</v>
      </c>
      <c r="BW159" s="33">
        <f>BG159-IFERROR(VLOOKUP(H159,#REF!,51,FALSE),0)</f>
        <v>0</v>
      </c>
      <c r="BX159" s="35" t="e">
        <f t="shared" si="50"/>
        <v>#REF!</v>
      </c>
      <c r="BY159" s="36">
        <f>BD159-IFERROR(VLOOKUP(H159,#REF!,48,FALSE),0)</f>
        <v>0</v>
      </c>
      <c r="BZ15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59" s="39" t="e">
        <f>VLOOKUP(Tableau5617192223242425262827293031333432353620383961719241822254140424344104746[[#This Row],[Num Projets]],#REF!,1,FALSE)</f>
        <v>#REF!</v>
      </c>
      <c r="CB159" s="40">
        <v>12</v>
      </c>
      <c r="CC159" s="40">
        <v>0</v>
      </c>
      <c r="CD15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</v>
      </c>
    </row>
    <row r="160" spans="1:82" ht="15" customHeight="1" x14ac:dyDescent="0.25">
      <c r="A160" s="313"/>
      <c r="B160" s="1"/>
      <c r="C160" s="2" t="e">
        <f>_xlfn.XLOOKUP(Tableau5617192223242425262827293031333432353620383961719241822254140424344104746[[#This Row],[Num Projets]],#REF!,#REF!,FALSE)</f>
        <v>#REF!</v>
      </c>
      <c r="D160" s="3" t="s">
        <v>6</v>
      </c>
      <c r="E160" s="3" t="e">
        <f>_xlfn.XLOOKUP(Tableau5617192223242425262827293031333432353620383961719241822254140424344104746[[#This Row],[Num Projets]],#REF!,#REF!,FALSE)</f>
        <v>#REF!</v>
      </c>
      <c r="F160" s="3" t="e">
        <f>_xlfn.XLOOKUP(Tableau5617192223242425262827293031333432353620383961719241822254140424344104746[[#This Row],[Num Projets]],#REF!,#REF!,"newavr",0)</f>
        <v>#REF!</v>
      </c>
      <c r="G160" s="3" t="s">
        <v>2</v>
      </c>
      <c r="H160" s="3" t="s">
        <v>299</v>
      </c>
      <c r="I16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0" s="4" t="e">
        <f>VLOOKUP(Tableau5617192223242425262827293031333432353620383961719241822254140424344104746[[#This Row],[Num Projets]],#REF!,36,FALSE)</f>
        <v>#REF!</v>
      </c>
      <c r="K160" s="5" t="s">
        <v>9</v>
      </c>
      <c r="L16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0" s="3" t="e">
        <f>SUBSTITUTE(_xlfn.XLOOKUP(Tableau5617192223242425262827293031333432353620383961719241822254140424344104746[[#This Row],[Num Projets]],#REF!,#REF!,FALSE)," ","")</f>
        <v>#REF!</v>
      </c>
      <c r="N160" s="7" t="e">
        <f>VLOOKUP(H160,#REF!,7,FALSE)</f>
        <v>#REF!</v>
      </c>
      <c r="O160" s="7" t="e">
        <f>IF(VLOOKUP(H160,#REF!,27,FALSE)=0,"",VLOOKUP(H160,#REF!,27,FALSE))</f>
        <v>#REF!</v>
      </c>
      <c r="P160" s="8" t="e">
        <f>VLOOKUP(H160,#REF!,2,FALSE)</f>
        <v>#REF!</v>
      </c>
      <c r="Q160" s="9" t="e">
        <f>Tableau5617192223242425262827293031333432353620383961719241822254140424344104746[[#This Row],[Total Budget
€]]-IFERROR(VLOOKUP(H160,#REF!,8,FALSE),0)</f>
        <v>#REF!</v>
      </c>
      <c r="R160" s="10">
        <f>AD160+AI160+Tableau5617192223242425262827293031333432353620383961719241822254140424344104746[[#This Row],[Int Commandé OT
€]]+AX160</f>
        <v>0</v>
      </c>
      <c r="S160" s="10">
        <f>AD160+AJ160+Tableau5617192223242425262827293031333432353620383961719241822254140424344104746[[#This Row],[Int Réalisé OT
€]]+AX160</f>
        <v>0</v>
      </c>
      <c r="T160" s="11" t="e">
        <f t="shared" si="38"/>
        <v>#REF!</v>
      </c>
      <c r="U16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0" s="12">
        <f>IFERROR(VLOOKUP(H160,#REF!,2,FALSE),0)</f>
        <v>0</v>
      </c>
      <c r="X160" s="13">
        <f>IFERROR(VLOOKUP(H160,#REF!,2,FALSE),0)</f>
        <v>0</v>
      </c>
      <c r="Y160" s="13">
        <f>IFERROR(VLOOKUP(H160,#REF!,3,FALSE),0)</f>
        <v>0</v>
      </c>
      <c r="Z16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120</v>
      </c>
      <c r="AA160" s="13">
        <f>IFERROR(VLOOKUP(H160,#REF!,18,FALSE),0)</f>
        <v>0</v>
      </c>
      <c r="AB160" s="13">
        <f>SUM(X160:Y160)-IFERROR(VLOOKUP(H160,#REF!,16,FALSE),0)-IFERROR(VLOOKUP(H160,#REF!,17,FALSE),0)</f>
        <v>0</v>
      </c>
      <c r="AC160" s="15" t="e">
        <f>VLOOKUP(Tableau5617192223242425262827293031333432353620383961719241822254140424344104746[[#This Row],[Num Projets]],#REF!,2,FALSE)</f>
        <v>#REF!</v>
      </c>
      <c r="AD160" s="15">
        <f>IFERROR(VLOOKUP(Tableau5617192223242425262827293031333432353620383961719241822254140424344104746[[#This Row],[Num Projets]],#REF!,2,FALSE),0)</f>
        <v>0</v>
      </c>
      <c r="AE160" s="8">
        <f t="shared" si="39"/>
        <v>5736</v>
      </c>
      <c r="AF160" s="22" t="e">
        <f t="shared" si="40"/>
        <v>#REF!</v>
      </c>
      <c r="AG160" s="8">
        <f>IFERROR(VLOOKUP(H160,#REF!,3,FALSE),0)+IFERROR(VLOOKUP(H160,#REF!,3,FALSE),0)</f>
        <v>0</v>
      </c>
      <c r="AH160" s="8">
        <f>IFERROR(VLOOKUP(Tableau5617192223242425262827293031333432353620383961719241822254140424344104746[[#This Row],[Num Projets]],#REF!,2,FALSE),0)</f>
        <v>0</v>
      </c>
      <c r="AI160" s="17">
        <f>+IFERROR(VLOOKUP(H160,#REF!,2,FALSE),0)-Tableau5617192223242425262827293031333432353620383961719241822254140424344104746[[#This Row],[Int Commandé OT
€]]</f>
        <v>0</v>
      </c>
      <c r="AJ160" s="8">
        <f>IFERROR(VLOOKUP(H160,#REF!,11,FALSE),0)-IFERROR(VLOOKUP(H160,#REF!,10,FALSE),0)+Tableau5617192223242425262827293031333432353620383961719241822254140424344104746[[#This Row],[dont FNP à date (€ HT)]]</f>
        <v>0</v>
      </c>
      <c r="AK160" s="15">
        <f t="shared" si="46"/>
        <v>0</v>
      </c>
      <c r="AL16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0" s="19">
        <f>IF(Tableau5617192223242425262827293031333432353620383961719241822254140424344104746[[#This Row],[RAF Achats M-1
€]]=0,0,AN160-AO160)</f>
        <v>0</v>
      </c>
      <c r="AN160" s="8">
        <f>IFERROR(VLOOKUP(H160,#REF!,31,FALSE),0)</f>
        <v>0</v>
      </c>
      <c r="AO160" s="8">
        <f>AI160+-IFERROR(VLOOKUP(H160,#REF!,27,FALSE),0)</f>
        <v>0</v>
      </c>
      <c r="AP160" s="20">
        <f>IFERROR(VLOOKUP(Tableau5617192223242425262827293031333432353620383961719241822254140424344104746[[#This Row],[Num Projets]],#REF!,2,FALSE),0)</f>
        <v>0</v>
      </c>
      <c r="AQ160" s="20">
        <f>_xlfn.XLOOKUP(H160,[2]Synth!$N:$N,[2]Synth!$O:$O,0,FALSE)+_xlfn.XLOOKUP(Tableau5617192223242425262827293031333432353620383961719241822254140424344104746[[#This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0" s="21">
        <v>0</v>
      </c>
      <c r="AS160" s="20">
        <f>+IFERROR(VLOOKUP(H160,#REF!,36,FALSE),0)</f>
        <v>0</v>
      </c>
      <c r="AT16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0" s="22">
        <f>IF(AG160=0,0,1-((AI160+AM160+Tableau5617192223242425262827293031333432353620383961719241822254140424344104746[[#This Row],[Int Commandé OT
€]]+Tableau5617192223242425262827293031333432353620383961719241822254140424344104746[[#This Row],[RAF Int OT
€]])/AG160))</f>
        <v>0</v>
      </c>
      <c r="AV160" s="8">
        <f>IFERROR(VLOOKUP(H160,#REF!,4,FALSE),0)+IFERROR(VLOOKUP(H160,#REF!,4,FALSE),0)</f>
        <v>0</v>
      </c>
      <c r="AW160" s="8">
        <f>IFERROR(VLOOKUP(Tableau5617192223242425262827293031333432353620383961719241822254140424344104746[[#This Row],[Num Projets]],#REF!,3,FALSE),0)</f>
        <v>0</v>
      </c>
      <c r="AX160" s="95">
        <f>IFERROR(VLOOKUP(Tableau5617192223242425262827293031333432353620383961719241822254140424344104746[[#This Row],[Num Projets]],#REF!,10,FALSE),0)</f>
        <v>0</v>
      </c>
      <c r="AY160" s="23">
        <f>Tableau5617192223242425262827293031333432353620383961719241822254140424344104746[[#This Row],[Budget Mission
 €]]/1.2-AX160</f>
        <v>0</v>
      </c>
      <c r="AZ160" s="8">
        <f>IFERROR(VLOOKUP(H160,#REF!,43,FALSE),0)</f>
        <v>0</v>
      </c>
      <c r="BA160" s="8">
        <f>AX160-IFERROR(VLOOKUP(H160,#REF!,42,FALSE),0)</f>
        <v>0</v>
      </c>
      <c r="BB160" s="47">
        <f t="shared" si="47"/>
        <v>0</v>
      </c>
      <c r="BC160" s="24">
        <f>IFERROR(VLOOKUP(H160,#REF!,47,FALSE),IFERROR(VLOOKUP(H160,#REF!,5,FALSE),0)+IFERROR(VLOOKUP(H160,#REF!,5,FALSE),0))</f>
        <v>0</v>
      </c>
      <c r="BD160" s="25">
        <f>IFERROR(VLOOKUP(H160,#REF!,2,FALSE),0)</f>
        <v>0</v>
      </c>
      <c r="BE160" s="25">
        <f>IFERROR(VLOOKUP(H160,#REF!,49,FALSE),0)</f>
        <v>0</v>
      </c>
      <c r="BF160" s="50" t="e">
        <f t="shared" si="41"/>
        <v>#REF!</v>
      </c>
      <c r="BG160" s="50">
        <f t="shared" si="42"/>
        <v>0</v>
      </c>
      <c r="BH160" s="27">
        <f>AE160+ (AI160-AJ160+AM160+Tableau5617192223242425262827293031333432353620383961719241822254140424344104746[[#This Row],[Int Commandé OT
€]]-Tableau5617192223242425262827293031333432353620383961719241822254140424344104746[[#This Row],[Int Réalisé OT
€]]+AR160) +AY160+BC160</f>
        <v>5736</v>
      </c>
      <c r="BI160" s="47">
        <f t="shared" si="51"/>
        <v>0</v>
      </c>
      <c r="BJ160" s="47" t="e">
        <f t="shared" si="43"/>
        <v>#REF!</v>
      </c>
      <c r="BK160" s="27" t="e">
        <f t="shared" si="44"/>
        <v>#REF!</v>
      </c>
      <c r="BL160" s="26" t="e">
        <f t="shared" si="45"/>
        <v>#REF!</v>
      </c>
      <c r="BM160" s="96">
        <f>IFERROR(VLOOKUP(H160,'[1]2023dec'!H:CA,54,FALSE),105)</f>
        <v>105</v>
      </c>
      <c r="BN160" s="29">
        <v>1</v>
      </c>
      <c r="BO160" s="30" t="e">
        <f>P160-AC160-AG160-AV160-Tableau5617192223242425262827293031333432353620383961719241822254140424344104746[[#This Row],[Provisions pour risques]]</f>
        <v>#REF!</v>
      </c>
      <c r="BP16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5736</v>
      </c>
      <c r="BQ16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0" s="97" t="e">
        <f t="shared" si="48"/>
        <v>#REF!</v>
      </c>
      <c r="BS160" s="34">
        <f>Tableau5617192223242425262827293031333432353620383961719241822254140424344104746[[#This Row],[Consommé global Enregistré à date (€ HT)]]-IFERROR(VLOOKUP(H160,#REF!,50,FALSE),0)</f>
        <v>0</v>
      </c>
      <c r="BT160" s="35" t="e">
        <f t="shared" si="49"/>
        <v>#REF!</v>
      </c>
      <c r="BU160" s="36">
        <f>BD160-IFERROR(VLOOKUP(H160,#REF!,47,FALSE),0)</f>
        <v>0</v>
      </c>
      <c r="BV160" s="37" t="e">
        <f>+BF160+Tableau5617192223242425262827293031333432353620383961719241822254140424344104746[[#This Row],[CA fin N-1]]-IFERROR(VLOOKUP(H160,#REF!,49,FALSE),0)-IFERROR(VLOOKUP(H160,#REF!,50,FALSE),0)</f>
        <v>#REF!</v>
      </c>
      <c r="BW160" s="33">
        <f>BG160-IFERROR(VLOOKUP(H160,#REF!,51,FALSE),0)</f>
        <v>0</v>
      </c>
      <c r="BX160" s="35" t="e">
        <f t="shared" si="50"/>
        <v>#REF!</v>
      </c>
      <c r="BY160" s="36">
        <f>BD160-IFERROR(VLOOKUP(H160,#REF!,48,FALSE),0)</f>
        <v>0</v>
      </c>
      <c r="BZ16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0" s="39" t="e">
        <f>VLOOKUP(Tableau5617192223242425262827293031333432353620383961719241822254140424344104746[[#This Row],[Num Projets]],#REF!,1,FALSE)</f>
        <v>#REF!</v>
      </c>
      <c r="CB160" s="40">
        <v>103.5</v>
      </c>
      <c r="CC160" s="40">
        <v>16.5</v>
      </c>
      <c r="CD16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-103.5</v>
      </c>
    </row>
    <row r="161" spans="1:82" ht="15" customHeight="1" x14ac:dyDescent="0.25">
      <c r="A161" s="311"/>
      <c r="B161" s="1"/>
      <c r="C161" s="2" t="e">
        <f>_xlfn.XLOOKUP(Tableau5617192223242425262827293031333432353620383961719241822254140424344104746[[#This Row],[Num Projets]],#REF!,#REF!,FALSE)</f>
        <v>#REF!</v>
      </c>
      <c r="D161" s="3" t="s">
        <v>6</v>
      </c>
      <c r="E161" s="3" t="e">
        <f>_xlfn.XLOOKUP(Tableau5617192223242425262827293031333432353620383961719241822254140424344104746[[#This Row],[Num Projets]],#REF!,#REF!,FALSE)</f>
        <v>#REF!</v>
      </c>
      <c r="F161" s="3" t="e">
        <f>_xlfn.XLOOKUP(Tableau5617192223242425262827293031333432353620383961719241822254140424344104746[[#This Row],[Num Projets]],#REF!,#REF!,"newavr",0)</f>
        <v>#REF!</v>
      </c>
      <c r="G161" s="3" t="s">
        <v>2</v>
      </c>
      <c r="H161" s="3" t="s">
        <v>300</v>
      </c>
      <c r="I16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1" s="4" t="e">
        <f>VLOOKUP(Tableau5617192223242425262827293031333432353620383961719241822254140424344104746[[#This Row],[Num Projets]],#REF!,36,FALSE)</f>
        <v>#REF!</v>
      </c>
      <c r="K161" s="5" t="s">
        <v>9</v>
      </c>
      <c r="L16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1" s="3" t="e">
        <f>SUBSTITUTE(_xlfn.XLOOKUP(Tableau5617192223242425262827293031333432353620383961719241822254140424344104746[[#This Row],[Num Projets]],#REF!,#REF!,FALSE)," ","")</f>
        <v>#REF!</v>
      </c>
      <c r="N161" s="7" t="e">
        <f>VLOOKUP(H161,#REF!,7,FALSE)</f>
        <v>#REF!</v>
      </c>
      <c r="O161" s="7" t="e">
        <f>IF(VLOOKUP(H161,#REF!,27,FALSE)=0,"",VLOOKUP(H161,#REF!,27,FALSE))</f>
        <v>#REF!</v>
      </c>
      <c r="P161" s="8" t="e">
        <f>VLOOKUP(H161,#REF!,2,FALSE)</f>
        <v>#REF!</v>
      </c>
      <c r="Q161" s="9" t="e">
        <f>Tableau5617192223242425262827293031333432353620383961719241822254140424344104746[[#This Row],[Total Budget
€]]-IFERROR(VLOOKUP(H161,#REF!,8,FALSE),0)</f>
        <v>#REF!</v>
      </c>
      <c r="R161" s="10">
        <f>AD161+AI161+Tableau5617192223242425262827293031333432353620383961719241822254140424344104746[[#This Row],[Int Commandé OT
€]]+AX161</f>
        <v>0</v>
      </c>
      <c r="S161" s="10">
        <f>AD161+AJ161+Tableau5617192223242425262827293031333432353620383961719241822254140424344104746[[#This Row],[Int Réalisé OT
€]]+AX161</f>
        <v>0</v>
      </c>
      <c r="T161" s="11" t="e">
        <f t="shared" si="38"/>
        <v>#REF!</v>
      </c>
      <c r="U16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1" s="12">
        <f>IFERROR(VLOOKUP(H161,#REF!,2,FALSE),0)</f>
        <v>0</v>
      </c>
      <c r="X161" s="13">
        <f>IFERROR(VLOOKUP(H161,#REF!,2,FALSE),0)</f>
        <v>0</v>
      </c>
      <c r="Y161" s="13">
        <f>IFERROR(VLOOKUP(H161,#REF!,3,FALSE),0)</f>
        <v>0</v>
      </c>
      <c r="Z16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13</v>
      </c>
      <c r="AA161" s="13">
        <f>IFERROR(VLOOKUP(H161,#REF!,18,FALSE),0)</f>
        <v>0</v>
      </c>
      <c r="AB161" s="13">
        <f>SUM(X161:Y161)-IFERROR(VLOOKUP(H161,#REF!,16,FALSE),0)-IFERROR(VLOOKUP(H161,#REF!,17,FALSE),0)</f>
        <v>0</v>
      </c>
      <c r="AC161" s="15" t="e">
        <f>VLOOKUP(Tableau5617192223242425262827293031333432353620383961719241822254140424344104746[[#This Row],[Num Projets]],#REF!,2,FALSE)</f>
        <v>#REF!</v>
      </c>
      <c r="AD161" s="15">
        <f>IFERROR(VLOOKUP(Tableau5617192223242425262827293031333432353620383961719241822254140424344104746[[#This Row],[Num Projets]],#REF!,2,FALSE),0)</f>
        <v>0</v>
      </c>
      <c r="AE161" s="8">
        <f t="shared" si="39"/>
        <v>621.4</v>
      </c>
      <c r="AF161" s="22" t="e">
        <f t="shared" si="40"/>
        <v>#REF!</v>
      </c>
      <c r="AG161" s="8">
        <f>IFERROR(VLOOKUP(H161,#REF!,3,FALSE),0)+IFERROR(VLOOKUP(H161,#REF!,3,FALSE),0)</f>
        <v>0</v>
      </c>
      <c r="AH161" s="8">
        <f>IFERROR(VLOOKUP(Tableau5617192223242425262827293031333432353620383961719241822254140424344104746[[#This Row],[Num Projets]],#REF!,2,FALSE),0)</f>
        <v>0</v>
      </c>
      <c r="AI161" s="17">
        <f>+IFERROR(VLOOKUP(H161,#REF!,2,FALSE),0)-Tableau5617192223242425262827293031333432353620383961719241822254140424344104746[[#This Row],[Int Commandé OT
€]]</f>
        <v>0</v>
      </c>
      <c r="AJ161" s="8">
        <f>IFERROR(VLOOKUP(H161,#REF!,11,FALSE),0)-IFERROR(VLOOKUP(H161,#REF!,10,FALSE),0)+Tableau5617192223242425262827293031333432353620383961719241822254140424344104746[[#This Row],[dont FNP à date (€ HT)]]</f>
        <v>0</v>
      </c>
      <c r="AK161" s="15">
        <f t="shared" si="46"/>
        <v>0</v>
      </c>
      <c r="AL16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1" s="19">
        <f>IF(Tableau5617192223242425262827293031333432353620383961719241822254140424344104746[[#This Row],[RAF Achats M-1
€]]=0,0,AN161-AO161)</f>
        <v>0</v>
      </c>
      <c r="AN161" s="8">
        <f>IFERROR(VLOOKUP(H161,#REF!,31,FALSE),0)</f>
        <v>0</v>
      </c>
      <c r="AO161" s="8">
        <f>AI161+-IFERROR(VLOOKUP(H161,#REF!,27,FALSE),0)</f>
        <v>0</v>
      </c>
      <c r="AP161" s="20">
        <f>IFERROR(VLOOKUP(Tableau5617192223242425262827293031333432353620383961719241822254140424344104746[[#This Row],[Num Projets]],#REF!,2,FALSE),0)</f>
        <v>0</v>
      </c>
      <c r="AQ161" s="20">
        <f>_xlfn.XLOOKUP(H161,[2]Synth!$N:$N,[2]Synth!$O:$O,0,FALSE)+_xlfn.XLOOKUP(Tableau5617192223242425262827293031333432353620383961719241822254140424344104746[[#This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1" s="21">
        <v>0</v>
      </c>
      <c r="AS161" s="20">
        <f>+IFERROR(VLOOKUP(H161,#REF!,36,FALSE),0)</f>
        <v>0</v>
      </c>
      <c r="AT16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1" s="22">
        <f>IF(AG161=0,0,1-((AI161+AM161+Tableau5617192223242425262827293031333432353620383961719241822254140424344104746[[#This Row],[Int Commandé OT
€]]+Tableau5617192223242425262827293031333432353620383961719241822254140424344104746[[#This Row],[RAF Int OT
€]])/AG161))</f>
        <v>0</v>
      </c>
      <c r="AV161" s="8">
        <f>IFERROR(VLOOKUP(H161,#REF!,4,FALSE),0)+IFERROR(VLOOKUP(H161,#REF!,4,FALSE),0)</f>
        <v>0</v>
      </c>
      <c r="AW161" s="8">
        <f>IFERROR(VLOOKUP(Tableau5617192223242425262827293031333432353620383961719241822254140424344104746[[#This Row],[Num Projets]],#REF!,3,FALSE),0)</f>
        <v>0</v>
      </c>
      <c r="AX161" s="95">
        <f>IFERROR(VLOOKUP(Tableau5617192223242425262827293031333432353620383961719241822254140424344104746[[#This Row],[Num Projets]],#REF!,10,FALSE),0)</f>
        <v>0</v>
      </c>
      <c r="AY161" s="23">
        <f>Tableau5617192223242425262827293031333432353620383961719241822254140424344104746[[#This Row],[Budget Mission
 €]]/1.2-AX161</f>
        <v>0</v>
      </c>
      <c r="AZ161" s="8">
        <f>IFERROR(VLOOKUP(H161,#REF!,43,FALSE),0)</f>
        <v>0</v>
      </c>
      <c r="BA161" s="8">
        <f>AX161-IFERROR(VLOOKUP(H161,#REF!,42,FALSE),0)</f>
        <v>0</v>
      </c>
      <c r="BB161" s="47">
        <f t="shared" si="47"/>
        <v>0</v>
      </c>
      <c r="BC161" s="24">
        <f>IFERROR(VLOOKUP(H161,#REF!,47,FALSE),IFERROR(VLOOKUP(H161,#REF!,5,FALSE),0)+IFERROR(VLOOKUP(H161,#REF!,5,FALSE),0))</f>
        <v>0</v>
      </c>
      <c r="BD161" s="25">
        <f>IFERROR(VLOOKUP(H161,#REF!,2,FALSE),0)</f>
        <v>0</v>
      </c>
      <c r="BE161" s="25">
        <f>IFERROR(VLOOKUP(H161,#REF!,49,FALSE),0)</f>
        <v>0</v>
      </c>
      <c r="BF161" s="50" t="e">
        <f t="shared" si="41"/>
        <v>#REF!</v>
      </c>
      <c r="BG161" s="50">
        <f t="shared" si="42"/>
        <v>0</v>
      </c>
      <c r="BH161" s="27">
        <f>AE161+ (AI161-AJ161+AM161+Tableau5617192223242425262827293031333432353620383961719241822254140424344104746[[#This Row],[Int Commandé OT
€]]-Tableau5617192223242425262827293031333432353620383961719241822254140424344104746[[#This Row],[Int Réalisé OT
€]]+AR161) +AY161+BC161</f>
        <v>621.4</v>
      </c>
      <c r="BI161" s="47">
        <f t="shared" si="51"/>
        <v>0</v>
      </c>
      <c r="BJ161" s="47" t="e">
        <f t="shared" si="43"/>
        <v>#REF!</v>
      </c>
      <c r="BK161" s="27" t="e">
        <f t="shared" si="44"/>
        <v>#REF!</v>
      </c>
      <c r="BL161" s="26" t="e">
        <f t="shared" si="45"/>
        <v>#REF!</v>
      </c>
      <c r="BM161" s="96">
        <f>IFERROR(VLOOKUP(H161,'[1]2023dec'!H:CA,54,FALSE),105)</f>
        <v>105</v>
      </c>
      <c r="BN161" s="29">
        <v>1</v>
      </c>
      <c r="BO161" s="30" t="e">
        <f>P161-AC161-AG161-AV161-Tableau5617192223242425262827293031333432353620383961719241822254140424344104746[[#This Row],[Provisions pour risques]]</f>
        <v>#REF!</v>
      </c>
      <c r="BP16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621.4</v>
      </c>
      <c r="BQ16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1" s="97" t="e">
        <f t="shared" si="48"/>
        <v>#REF!</v>
      </c>
      <c r="BS161" s="34">
        <f>Tableau5617192223242425262827293031333432353620383961719241822254140424344104746[[#This Row],[Consommé global Enregistré à date (€ HT)]]-IFERROR(VLOOKUP(H161,#REF!,50,FALSE),0)</f>
        <v>0</v>
      </c>
      <c r="BT161" s="35" t="e">
        <f t="shared" si="49"/>
        <v>#REF!</v>
      </c>
      <c r="BU161" s="36">
        <f>BD161-IFERROR(VLOOKUP(H161,#REF!,47,FALSE),0)</f>
        <v>0</v>
      </c>
      <c r="BV161" s="37" t="e">
        <f>+BF161+Tableau5617192223242425262827293031333432353620383961719241822254140424344104746[[#This Row],[CA fin N-1]]-IFERROR(VLOOKUP(H161,#REF!,49,FALSE),0)-IFERROR(VLOOKUP(H161,#REF!,50,FALSE),0)</f>
        <v>#REF!</v>
      </c>
      <c r="BW161" s="33">
        <f>BG161-IFERROR(VLOOKUP(H161,#REF!,51,FALSE),0)</f>
        <v>0</v>
      </c>
      <c r="BX161" s="35" t="e">
        <f t="shared" si="50"/>
        <v>#REF!</v>
      </c>
      <c r="BY161" s="36">
        <f>BD161-IFERROR(VLOOKUP(H161,#REF!,48,FALSE),0)</f>
        <v>0</v>
      </c>
      <c r="BZ16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1" s="39" t="e">
        <f>VLOOKUP(Tableau5617192223242425262827293031333432353620383961719241822254140424344104746[[#This Row],[Num Projets]],#REF!,1,FALSE)</f>
        <v>#REF!</v>
      </c>
      <c r="CB161" s="40">
        <v>13</v>
      </c>
      <c r="CC161" s="40">
        <v>0</v>
      </c>
      <c r="CD16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-13</v>
      </c>
    </row>
    <row r="162" spans="1:82" ht="15" customHeight="1" x14ac:dyDescent="0.25">
      <c r="A162" s="313"/>
      <c r="B162" s="1"/>
      <c r="C162" s="2" t="e">
        <f>_xlfn.XLOOKUP(Tableau5617192223242425262827293031333432353620383961719241822254140424344104746[[#This Row],[Num Projets]],#REF!,#REF!,FALSE)</f>
        <v>#REF!</v>
      </c>
      <c r="D162" s="3" t="s">
        <v>1</v>
      </c>
      <c r="E162" s="3" t="e">
        <f>_xlfn.XLOOKUP(Tableau5617192223242425262827293031333432353620383961719241822254140424344104746[[#This Row],[Num Projets]],#REF!,#REF!,FALSE)</f>
        <v>#REF!</v>
      </c>
      <c r="F162" s="3" t="e">
        <f>_xlfn.XLOOKUP(Tableau5617192223242425262827293031333432353620383961719241822254140424344104746[[#This Row],[Num Projets]],#REF!,#REF!,"newavr",0)</f>
        <v>#REF!</v>
      </c>
      <c r="G162" s="3" t="s">
        <v>2</v>
      </c>
      <c r="H162" s="3" t="s">
        <v>301</v>
      </c>
      <c r="I16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2" s="4" t="e">
        <f>VLOOKUP(Tableau5617192223242425262827293031333432353620383961719241822254140424344104746[[#This Row],[Num Projets]],#REF!,36,FALSE)</f>
        <v>#REF!</v>
      </c>
      <c r="K162" s="5" t="s">
        <v>4</v>
      </c>
      <c r="L16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2" s="3" t="e">
        <f>SUBSTITUTE(_xlfn.XLOOKUP(Tableau5617192223242425262827293031333432353620383961719241822254140424344104746[[#This Row],[Num Projets]],#REF!,#REF!,FALSE)," ","")</f>
        <v>#REF!</v>
      </c>
      <c r="N162" s="7" t="e">
        <f>VLOOKUP(H162,#REF!,7,FALSE)</f>
        <v>#REF!</v>
      </c>
      <c r="O162" s="7" t="e">
        <f>IF(VLOOKUP(H162,#REF!,27,FALSE)=0,"",VLOOKUP(H162,#REF!,27,FALSE))</f>
        <v>#REF!</v>
      </c>
      <c r="P162" s="8" t="e">
        <f>VLOOKUP(H162,#REF!,2,FALSE)</f>
        <v>#REF!</v>
      </c>
      <c r="Q162" s="9" t="e">
        <f>Tableau5617192223242425262827293031333432353620383961719241822254140424344104746[[#This Row],[Total Budget
€]]-IFERROR(VLOOKUP(H162,#REF!,8,FALSE),0)</f>
        <v>#REF!</v>
      </c>
      <c r="R162" s="10">
        <f>AD162+AI162+Tableau5617192223242425262827293031333432353620383961719241822254140424344104746[[#This Row],[Int Commandé OT
€]]+AX162</f>
        <v>0</v>
      </c>
      <c r="S162" s="10">
        <f>AD162+AJ162+Tableau5617192223242425262827293031333432353620383961719241822254140424344104746[[#This Row],[Int Réalisé OT
€]]+AX162</f>
        <v>0</v>
      </c>
      <c r="T162" s="11" t="e">
        <f t="shared" si="38"/>
        <v>#REF!</v>
      </c>
      <c r="U16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2" s="12">
        <f>IFERROR(VLOOKUP(H162,#REF!,2,FALSE),0)</f>
        <v>0</v>
      </c>
      <c r="X162" s="13">
        <f>IFERROR(VLOOKUP(H162,#REF!,2,FALSE),0)</f>
        <v>0</v>
      </c>
      <c r="Y162" s="13">
        <f>IFERROR(VLOOKUP(H162,#REF!,3,FALSE),0)</f>
        <v>0</v>
      </c>
      <c r="Z16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37</v>
      </c>
      <c r="AA162" s="13">
        <f>IFERROR(VLOOKUP(H162,#REF!,18,FALSE),0)</f>
        <v>0</v>
      </c>
      <c r="AB162" s="13">
        <f>SUM(X162:Y162)-IFERROR(VLOOKUP(H162,#REF!,16,FALSE),0)-IFERROR(VLOOKUP(H162,#REF!,17,FALSE),0)</f>
        <v>0</v>
      </c>
      <c r="AC162" s="15" t="e">
        <f>VLOOKUP(Tableau5617192223242425262827293031333432353620383961719241822254140424344104746[[#This Row],[Num Projets]],#REF!,2,FALSE)</f>
        <v>#REF!</v>
      </c>
      <c r="AD162" s="15">
        <f>IFERROR(VLOOKUP(Tableau5617192223242425262827293031333432353620383961719241822254140424344104746[[#This Row],[Num Projets]],#REF!,2,FALSE),0)</f>
        <v>0</v>
      </c>
      <c r="AE162" s="8">
        <f t="shared" si="39"/>
        <v>1768.6</v>
      </c>
      <c r="AF162" s="22" t="e">
        <f t="shared" si="40"/>
        <v>#REF!</v>
      </c>
      <c r="AG162" s="8">
        <f>IFERROR(VLOOKUP(H162,#REF!,3,FALSE),0)+IFERROR(VLOOKUP(H162,#REF!,3,FALSE),0)</f>
        <v>0</v>
      </c>
      <c r="AH162" s="8">
        <f>IFERROR(VLOOKUP(Tableau5617192223242425262827293031333432353620383961719241822254140424344104746[[#This Row],[Num Projets]],#REF!,2,FALSE),0)</f>
        <v>0</v>
      </c>
      <c r="AI162" s="17">
        <f>+IFERROR(VLOOKUP(H162,#REF!,2,FALSE),0)-Tableau5617192223242425262827293031333432353620383961719241822254140424344104746[[#This Row],[Int Commandé OT
€]]</f>
        <v>0</v>
      </c>
      <c r="AJ162" s="8">
        <f>IFERROR(VLOOKUP(H162,#REF!,11,FALSE),0)-IFERROR(VLOOKUP(H162,#REF!,10,FALSE),0)+Tableau5617192223242425262827293031333432353620383961719241822254140424344104746[[#This Row],[dont FNP à date (€ HT)]]</f>
        <v>0</v>
      </c>
      <c r="AK162" s="15">
        <f t="shared" si="46"/>
        <v>0</v>
      </c>
      <c r="AL16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2" s="19">
        <f>IF(Tableau5617192223242425262827293031333432353620383961719241822254140424344104746[[#This Row],[RAF Achats M-1
€]]=0,0,AN162-AO162)</f>
        <v>0</v>
      </c>
      <c r="AN162" s="8">
        <f>IFERROR(VLOOKUP(H162,#REF!,31,FALSE),0)</f>
        <v>0</v>
      </c>
      <c r="AO162" s="8">
        <f>AI162+-IFERROR(VLOOKUP(H162,#REF!,27,FALSE),0)</f>
        <v>0</v>
      </c>
      <c r="AP162" s="20">
        <f>IFERROR(VLOOKUP(Tableau5617192223242425262827293031333432353620383961719241822254140424344104746[[#This Row],[Num Projets]],#REF!,2,FALSE),0)</f>
        <v>0</v>
      </c>
      <c r="AQ162" s="20">
        <f>_xlfn.XLOOKUP(H162,[2]Synth!$N:$N,[2]Synth!$O:$O,0,FALSE)+_xlfn.XLOOKUP(Tableau5617192223242425262827293031333432353620383961719241822254140424344104746[[#This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2" s="21">
        <v>0</v>
      </c>
      <c r="AS162" s="20">
        <f>+IFERROR(VLOOKUP(H162,#REF!,36,FALSE),0)</f>
        <v>0</v>
      </c>
      <c r="AT16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2" s="22">
        <f>IF(AG162=0,0,1-((AI162+AM162+Tableau5617192223242425262827293031333432353620383961719241822254140424344104746[[#This Row],[Int Commandé OT
€]]+Tableau5617192223242425262827293031333432353620383961719241822254140424344104746[[#This Row],[RAF Int OT
€]])/AG162))</f>
        <v>0</v>
      </c>
      <c r="AV162" s="8">
        <f>IFERROR(VLOOKUP(H162,#REF!,4,FALSE),0)+IFERROR(VLOOKUP(H162,#REF!,4,FALSE),0)</f>
        <v>0</v>
      </c>
      <c r="AW162" s="8">
        <f>IFERROR(VLOOKUP(Tableau5617192223242425262827293031333432353620383961719241822254140424344104746[[#This Row],[Num Projets]],#REF!,3,FALSE),0)</f>
        <v>0</v>
      </c>
      <c r="AX162" s="95">
        <f>IFERROR(VLOOKUP(Tableau5617192223242425262827293031333432353620383961719241822254140424344104746[[#This Row],[Num Projets]],#REF!,10,FALSE),0)</f>
        <v>0</v>
      </c>
      <c r="AY162" s="23">
        <f>Tableau5617192223242425262827293031333432353620383961719241822254140424344104746[[#This Row],[Budget Mission
 €]]/1.2-AX162</f>
        <v>0</v>
      </c>
      <c r="AZ162" s="8">
        <f>IFERROR(VLOOKUP(H162,#REF!,43,FALSE),0)</f>
        <v>0</v>
      </c>
      <c r="BA162" s="8">
        <f>AX162-IFERROR(VLOOKUP(H162,#REF!,42,FALSE),0)</f>
        <v>0</v>
      </c>
      <c r="BB162" s="47">
        <f t="shared" si="47"/>
        <v>0</v>
      </c>
      <c r="BC162" s="24">
        <f>IFERROR(VLOOKUP(H162,#REF!,47,FALSE),IFERROR(VLOOKUP(H162,#REF!,5,FALSE),0)+IFERROR(VLOOKUP(H162,#REF!,5,FALSE),0))</f>
        <v>0</v>
      </c>
      <c r="BD162" s="25">
        <f>IFERROR(VLOOKUP(H162,#REF!,2,FALSE),0)</f>
        <v>0</v>
      </c>
      <c r="BE162" s="25">
        <f>IFERROR(VLOOKUP(H162,#REF!,49,FALSE),0)</f>
        <v>0</v>
      </c>
      <c r="BF162" s="50" t="e">
        <f t="shared" si="41"/>
        <v>#REF!</v>
      </c>
      <c r="BG162" s="50">
        <f t="shared" si="42"/>
        <v>0</v>
      </c>
      <c r="BH162" s="27">
        <f>AE162+ (AI162-AJ162+AM162+Tableau5617192223242425262827293031333432353620383961719241822254140424344104746[[#This Row],[Int Commandé OT
€]]-Tableau5617192223242425262827293031333432353620383961719241822254140424344104746[[#This Row],[Int Réalisé OT
€]]+AR162) +AY162+BC162</f>
        <v>1768.6</v>
      </c>
      <c r="BI162" s="47">
        <f t="shared" si="51"/>
        <v>0</v>
      </c>
      <c r="BJ162" s="47" t="e">
        <f t="shared" si="43"/>
        <v>#REF!</v>
      </c>
      <c r="BK162" s="27" t="e">
        <f t="shared" si="44"/>
        <v>#REF!</v>
      </c>
      <c r="BL162" s="26" t="e">
        <f t="shared" si="45"/>
        <v>#REF!</v>
      </c>
      <c r="BM162" s="96">
        <f>IFERROR(VLOOKUP(H162,'[1]2023dec'!H:CA,54,FALSE),105)</f>
        <v>105</v>
      </c>
      <c r="BN162" s="29">
        <v>1</v>
      </c>
      <c r="BO162" s="30" t="e">
        <f>P162-AC162-AG162-AV162-Tableau5617192223242425262827293031333432353620383961719241822254140424344104746[[#This Row],[Provisions pour risques]]</f>
        <v>#REF!</v>
      </c>
      <c r="BP16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1768.6</v>
      </c>
      <c r="BQ16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2" s="97" t="e">
        <f t="shared" si="48"/>
        <v>#REF!</v>
      </c>
      <c r="BS162" s="34">
        <f>Tableau5617192223242425262827293031333432353620383961719241822254140424344104746[[#This Row],[Consommé global Enregistré à date (€ HT)]]-IFERROR(VLOOKUP(H162,#REF!,50,FALSE),0)</f>
        <v>0</v>
      </c>
      <c r="BT162" s="35" t="e">
        <f t="shared" si="49"/>
        <v>#REF!</v>
      </c>
      <c r="BU162" s="36">
        <f>BD162-IFERROR(VLOOKUP(H162,#REF!,47,FALSE),0)</f>
        <v>0</v>
      </c>
      <c r="BV162" s="37" t="e">
        <f>+BF162+Tableau5617192223242425262827293031333432353620383961719241822254140424344104746[[#This Row],[CA fin N-1]]-IFERROR(VLOOKUP(H162,#REF!,49,FALSE),0)-IFERROR(VLOOKUP(H162,#REF!,50,FALSE),0)</f>
        <v>#REF!</v>
      </c>
      <c r="BW162" s="33">
        <f>BG162-IFERROR(VLOOKUP(H162,#REF!,51,FALSE),0)</f>
        <v>0</v>
      </c>
      <c r="BX162" s="35" t="e">
        <f t="shared" si="50"/>
        <v>#REF!</v>
      </c>
      <c r="BY162" s="36">
        <f>BD162-IFERROR(VLOOKUP(H162,#REF!,48,FALSE),0)</f>
        <v>0</v>
      </c>
      <c r="BZ16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2" s="39" t="e">
        <f>VLOOKUP(Tableau5617192223242425262827293031333432353620383961719241822254140424344104746[[#This Row],[Num Projets]],#REF!,1,FALSE)</f>
        <v>#REF!</v>
      </c>
      <c r="CB162" s="40">
        <v>30</v>
      </c>
      <c r="CC162" s="40">
        <v>7</v>
      </c>
      <c r="CD16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-30</v>
      </c>
    </row>
    <row r="163" spans="1:82" ht="15" customHeight="1" x14ac:dyDescent="0.25">
      <c r="A163" s="313"/>
      <c r="B163" s="1"/>
      <c r="C163" s="2" t="e">
        <f>_xlfn.XLOOKUP(Tableau5617192223242425262827293031333432353620383961719241822254140424344104746[[#This Row],[Num Projets]],#REF!,#REF!,FALSE)</f>
        <v>#REF!</v>
      </c>
      <c r="D163" s="3" t="s">
        <v>1</v>
      </c>
      <c r="E163" s="3" t="e">
        <f>_xlfn.XLOOKUP(Tableau5617192223242425262827293031333432353620383961719241822254140424344104746[[#This Row],[Num Projets]],#REF!,#REF!,FALSE)</f>
        <v>#REF!</v>
      </c>
      <c r="F163" s="3" t="e">
        <f>_xlfn.XLOOKUP(Tableau5617192223242425262827293031333432353620383961719241822254140424344104746[[#This Row],[Num Projets]],#REF!,#REF!,"newavr",0)</f>
        <v>#REF!</v>
      </c>
      <c r="G163" s="3" t="s">
        <v>2</v>
      </c>
      <c r="H163" s="3" t="s">
        <v>302</v>
      </c>
      <c r="I16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3" s="4" t="e">
        <f>VLOOKUP(Tableau5617192223242425262827293031333432353620383961719241822254140424344104746[[#This Row],[Num Projets]],#REF!,36,FALSE)</f>
        <v>#REF!</v>
      </c>
      <c r="K163" s="5" t="s">
        <v>4</v>
      </c>
      <c r="L16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3" s="3" t="e">
        <f>SUBSTITUTE(_xlfn.XLOOKUP(Tableau5617192223242425262827293031333432353620383961719241822254140424344104746[[#This Row],[Num Projets]],#REF!,#REF!,FALSE)," ","")</f>
        <v>#REF!</v>
      </c>
      <c r="N163" s="7" t="e">
        <f>VLOOKUP(H163,#REF!,7,FALSE)</f>
        <v>#REF!</v>
      </c>
      <c r="O163" s="7" t="e">
        <f>IF(VLOOKUP(H163,#REF!,27,FALSE)=0,"",VLOOKUP(H163,#REF!,27,FALSE))</f>
        <v>#REF!</v>
      </c>
      <c r="P163" s="8" t="e">
        <f>VLOOKUP(H163,#REF!,2,FALSE)</f>
        <v>#REF!</v>
      </c>
      <c r="Q163" s="9" t="e">
        <f>Tableau5617192223242425262827293031333432353620383961719241822254140424344104746[[#This Row],[Total Budget
€]]-IFERROR(VLOOKUP(H163,#REF!,8,FALSE),0)</f>
        <v>#REF!</v>
      </c>
      <c r="R163" s="10">
        <f>AD163+AI163+Tableau5617192223242425262827293031333432353620383961719241822254140424344104746[[#This Row],[Int Commandé OT
€]]+AX163</f>
        <v>0</v>
      </c>
      <c r="S163" s="10">
        <f>AD163+AJ163+Tableau5617192223242425262827293031333432353620383961719241822254140424344104746[[#This Row],[Int Réalisé OT
€]]+AX163</f>
        <v>0</v>
      </c>
      <c r="T163" s="11" t="e">
        <f t="shared" si="38"/>
        <v>#REF!</v>
      </c>
      <c r="U16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3" s="12">
        <f>IFERROR(VLOOKUP(H163,#REF!,2,FALSE),0)</f>
        <v>0</v>
      </c>
      <c r="X163" s="13">
        <f>IFERROR(VLOOKUP(H163,#REF!,2,FALSE),0)</f>
        <v>0</v>
      </c>
      <c r="Y163" s="13">
        <f>IFERROR(VLOOKUP(H163,#REF!,3,FALSE),0)</f>
        <v>0</v>
      </c>
      <c r="Z16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242.5</v>
      </c>
      <c r="AA163" s="13">
        <f>IFERROR(VLOOKUP(H163,#REF!,18,FALSE),0)</f>
        <v>0</v>
      </c>
      <c r="AB163" s="13">
        <f>SUM(X163:Y163)-IFERROR(VLOOKUP(H163,#REF!,16,FALSE),0)-IFERROR(VLOOKUP(H163,#REF!,17,FALSE),0)</f>
        <v>0</v>
      </c>
      <c r="AC163" s="15" t="e">
        <f>VLOOKUP(Tableau5617192223242425262827293031333432353620383961719241822254140424344104746[[#This Row],[Num Projets]],#REF!,2,FALSE)</f>
        <v>#REF!</v>
      </c>
      <c r="AD163" s="15">
        <f>IFERROR(VLOOKUP(Tableau5617192223242425262827293031333432353620383961719241822254140424344104746[[#This Row],[Num Projets]],#REF!,2,FALSE),0)</f>
        <v>0</v>
      </c>
      <c r="AE163" s="8">
        <f t="shared" si="39"/>
        <v>11591.5</v>
      </c>
      <c r="AF163" s="22" t="e">
        <f>IF(AC163=0,0,1-((AD163+AE163)/AC163))</f>
        <v>#REF!</v>
      </c>
      <c r="AG163" s="8">
        <f>IFERROR(VLOOKUP(H163,#REF!,3,FALSE),0)+IFERROR(VLOOKUP(H163,#REF!,3,FALSE),0)</f>
        <v>0</v>
      </c>
      <c r="AH163" s="8">
        <f>IFERROR(VLOOKUP(Tableau5617192223242425262827293031333432353620383961719241822254140424344104746[[#This Row],[Num Projets]],#REF!,2,FALSE),0)</f>
        <v>0</v>
      </c>
      <c r="AI163" s="17">
        <f>+IFERROR(VLOOKUP(H163,#REF!,2,FALSE),0)-Tableau5617192223242425262827293031333432353620383961719241822254140424344104746[[#This Row],[Int Commandé OT
€]]</f>
        <v>0</v>
      </c>
      <c r="AJ163" s="8">
        <f>IFERROR(VLOOKUP(H163,#REF!,11,FALSE),0)-IFERROR(VLOOKUP(H163,#REF!,10,FALSE),0)+Tableau5617192223242425262827293031333432353620383961719241822254140424344104746[[#This Row],[dont FNP à date (€ HT)]]</f>
        <v>0</v>
      </c>
      <c r="AK163" s="15">
        <f t="shared" si="46"/>
        <v>0</v>
      </c>
      <c r="AL16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3" s="19">
        <f>IF(Tableau5617192223242425262827293031333432353620383961719241822254140424344104746[[#This Row],[RAF Achats M-1
€]]=0,0,AN163-AO163)</f>
        <v>0</v>
      </c>
      <c r="AN163" s="8">
        <f>IFERROR(VLOOKUP(H163,#REF!,31,FALSE),0)</f>
        <v>0</v>
      </c>
      <c r="AO163" s="8">
        <f>AI163+-IFERROR(VLOOKUP(H163,#REF!,27,FALSE),0)</f>
        <v>0</v>
      </c>
      <c r="AP163" s="20">
        <f>IFERROR(VLOOKUP(Tableau5617192223242425262827293031333432353620383961719241822254140424344104746[[#This Row],[Num Projets]],#REF!,2,FALSE),0)</f>
        <v>0</v>
      </c>
      <c r="AQ163" s="20">
        <f>_xlfn.XLOOKUP(H163,[2]Synth!$N:$N,[2]Synth!$O:$O,0,FALSE)+_xlfn.XLOOKUP(Tableau5617192223242425262827293031333432353620383961719241822254140424344104746[[#This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3" s="21">
        <v>0</v>
      </c>
      <c r="AS163" s="20">
        <f>+IFERROR(VLOOKUP(H163,#REF!,36,FALSE),0)</f>
        <v>0</v>
      </c>
      <c r="AT16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3" s="22">
        <f>IF(AG163=0,0,1-((AI163+AM163+Tableau5617192223242425262827293031333432353620383961719241822254140424344104746[[#This Row],[Int Commandé OT
€]]+Tableau5617192223242425262827293031333432353620383961719241822254140424344104746[[#This Row],[RAF Int OT
€]])/AG163))</f>
        <v>0</v>
      </c>
      <c r="AV163" s="8">
        <f>IFERROR(VLOOKUP(H163,#REF!,4,FALSE),0)+IFERROR(VLOOKUP(H163,#REF!,4,FALSE),0)</f>
        <v>0</v>
      </c>
      <c r="AW163" s="8">
        <f>IFERROR(VLOOKUP(Tableau5617192223242425262827293031333432353620383961719241822254140424344104746[[#This Row],[Num Projets]],#REF!,3,FALSE),0)</f>
        <v>0</v>
      </c>
      <c r="AX163" s="95">
        <f>IFERROR(VLOOKUP(Tableau5617192223242425262827293031333432353620383961719241822254140424344104746[[#This Row],[Num Projets]],#REF!,10,FALSE),0)</f>
        <v>0</v>
      </c>
      <c r="AY163" s="23">
        <f>Tableau5617192223242425262827293031333432353620383961719241822254140424344104746[[#This Row],[Budget Mission
 €]]/1.2-AX163</f>
        <v>0</v>
      </c>
      <c r="AZ163" s="8">
        <f>IFERROR(VLOOKUP(H163,#REF!,43,FALSE),0)</f>
        <v>0</v>
      </c>
      <c r="BA163" s="8">
        <f>AX163-IFERROR(VLOOKUP(H163,#REF!,42,FALSE),0)</f>
        <v>0</v>
      </c>
      <c r="BB163" s="47">
        <f t="shared" si="47"/>
        <v>0</v>
      </c>
      <c r="BC163" s="24">
        <f>IFERROR(VLOOKUP(H163,#REF!,47,FALSE),IFERROR(VLOOKUP(H163,#REF!,5,FALSE),0)+IFERROR(VLOOKUP(H163,#REF!,5,FALSE),0))</f>
        <v>0</v>
      </c>
      <c r="BD163" s="25">
        <f>IFERROR(VLOOKUP(H163,#REF!,2,FALSE),0)</f>
        <v>0</v>
      </c>
      <c r="BE163" s="25">
        <f>IFERROR(VLOOKUP(H163,#REF!,49,FALSE),0)</f>
        <v>0</v>
      </c>
      <c r="BF163" s="50" t="e">
        <f t="shared" si="41"/>
        <v>#REF!</v>
      </c>
      <c r="BG163" s="50">
        <f t="shared" si="42"/>
        <v>0</v>
      </c>
      <c r="BH163" s="27">
        <f>AE163+ (AI163-AJ163+AM163+Tableau5617192223242425262827293031333432353620383961719241822254140424344104746[[#This Row],[Int Commandé OT
€]]-Tableau5617192223242425262827293031333432353620383961719241822254140424344104746[[#This Row],[Int Réalisé OT
€]]+AR163) +AY163+BC163</f>
        <v>11591.5</v>
      </c>
      <c r="BI163" s="47">
        <f t="shared" si="51"/>
        <v>0</v>
      </c>
      <c r="BJ163" s="47" t="e">
        <f t="shared" si="43"/>
        <v>#REF!</v>
      </c>
      <c r="BK163" s="27" t="e">
        <f t="shared" si="44"/>
        <v>#REF!</v>
      </c>
      <c r="BL163" s="26" t="e">
        <f t="shared" si="45"/>
        <v>#REF!</v>
      </c>
      <c r="BM163" s="96">
        <f>IFERROR(VLOOKUP(H163,'[1]2023dec'!H:CA,54,FALSE),105)</f>
        <v>105</v>
      </c>
      <c r="BN163" s="29">
        <v>1</v>
      </c>
      <c r="BO163" s="30" t="e">
        <f>P163-AC163-AG163-AV163-Tableau5617192223242425262827293031333432353620383961719241822254140424344104746[[#This Row],[Provisions pour risques]]</f>
        <v>#REF!</v>
      </c>
      <c r="BP16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11591.5</v>
      </c>
      <c r="BQ16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3" s="97" t="e">
        <f t="shared" si="48"/>
        <v>#REF!</v>
      </c>
      <c r="BS163" s="34">
        <f>Tableau5617192223242425262827293031333432353620383961719241822254140424344104746[[#This Row],[Consommé global Enregistré à date (€ HT)]]-IFERROR(VLOOKUP(H163,#REF!,50,FALSE),0)</f>
        <v>0</v>
      </c>
      <c r="BT163" s="35" t="e">
        <f t="shared" si="49"/>
        <v>#REF!</v>
      </c>
      <c r="BU163" s="36">
        <f>BD163-IFERROR(VLOOKUP(H163,#REF!,47,FALSE),0)</f>
        <v>0</v>
      </c>
      <c r="BV163" s="37" t="e">
        <f>+BF163+Tableau5617192223242425262827293031333432353620383961719241822254140424344104746[[#This Row],[CA fin N-1]]-IFERROR(VLOOKUP(H163,#REF!,49,FALSE),0)-IFERROR(VLOOKUP(H163,#REF!,50,FALSE),0)</f>
        <v>#REF!</v>
      </c>
      <c r="BW163" s="33">
        <f>BG163-IFERROR(VLOOKUP(H163,#REF!,51,FALSE),0)</f>
        <v>0</v>
      </c>
      <c r="BX163" s="35" t="e">
        <f t="shared" si="50"/>
        <v>#REF!</v>
      </c>
      <c r="BY163" s="36">
        <f>BD163-IFERROR(VLOOKUP(H163,#REF!,48,FALSE),0)</f>
        <v>0</v>
      </c>
      <c r="BZ16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3" s="39" t="e">
        <f>VLOOKUP(Tableau5617192223242425262827293031333432353620383961719241822254140424344104746[[#This Row],[Num Projets]],#REF!,1,FALSE)</f>
        <v>#REF!</v>
      </c>
      <c r="CB163" s="40">
        <v>233.5</v>
      </c>
      <c r="CC163" s="40">
        <v>9</v>
      </c>
      <c r="CD16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-233.5</v>
      </c>
    </row>
    <row r="164" spans="1:82" ht="15" customHeight="1" x14ac:dyDescent="0.25">
      <c r="A164" s="313"/>
      <c r="B164" s="1"/>
      <c r="C164" s="2" t="e">
        <f>_xlfn.XLOOKUP(Tableau5617192223242425262827293031333432353620383961719241822254140424344104746[[#This Row],[Num Projets]],#REF!,#REF!,FALSE)</f>
        <v>#REF!</v>
      </c>
      <c r="D164" s="3" t="s">
        <v>1</v>
      </c>
      <c r="E164" s="3" t="e">
        <f>_xlfn.XLOOKUP(Tableau5617192223242425262827293031333432353620383961719241822254140424344104746[[#This Row],[Num Projets]],#REF!,#REF!,FALSE)</f>
        <v>#REF!</v>
      </c>
      <c r="F164" s="3" t="s">
        <v>52</v>
      </c>
      <c r="G164" s="3" t="s">
        <v>2</v>
      </c>
      <c r="H164" s="3" t="s">
        <v>303</v>
      </c>
      <c r="I16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4" s="4" t="e">
        <f>VLOOKUP(Tableau5617192223242425262827293031333432353620383961719241822254140424344104746[[#This Row],[Num Projets]],#REF!,36,FALSE)</f>
        <v>#REF!</v>
      </c>
      <c r="K164" s="5" t="s">
        <v>4</v>
      </c>
      <c r="L16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4" s="3" t="e">
        <f>SUBSTITUTE(_xlfn.XLOOKUP(Tableau5617192223242425262827293031333432353620383961719241822254140424344104746[[#This Row],[Num Projets]],#REF!,#REF!,FALSE)," ","")</f>
        <v>#REF!</v>
      </c>
      <c r="N164" s="7" t="e">
        <f>VLOOKUP(H164,#REF!,7,FALSE)</f>
        <v>#REF!</v>
      </c>
      <c r="O164" s="7">
        <v>45777</v>
      </c>
      <c r="P164" s="8" t="e">
        <f>VLOOKUP(H164,#REF!,2,FALSE)</f>
        <v>#REF!</v>
      </c>
      <c r="Q164" s="9" t="e">
        <f>Tableau5617192223242425262827293031333432353620383961719241822254140424344104746[[#This Row],[Total Budget
€]]-IFERROR(VLOOKUP(H164,#REF!,8,FALSE),0)</f>
        <v>#REF!</v>
      </c>
      <c r="R164" s="10">
        <f>AD164+AI164+Tableau5617192223242425262827293031333432353620383961719241822254140424344104746[[#This Row],[Int Commandé OT
€]]+AX164</f>
        <v>0</v>
      </c>
      <c r="S164" s="10">
        <f>AD164+AJ164+Tableau5617192223242425262827293031333432353620383961719241822254140424344104746[[#This Row],[Int Réalisé OT
€]]+AX164</f>
        <v>0</v>
      </c>
      <c r="T164" s="11" t="e">
        <f t="shared" si="38"/>
        <v>#REF!</v>
      </c>
      <c r="U16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4" s="12">
        <f>IFERROR(VLOOKUP(H164,#REF!,2,FALSE),0)</f>
        <v>0</v>
      </c>
      <c r="X164" s="13">
        <f>IFERROR(VLOOKUP(H164,#REF!,2,FALSE),0)</f>
        <v>0</v>
      </c>
      <c r="Y164" s="13">
        <f>IFERROR(VLOOKUP(H164,#REF!,3,FALSE),0)</f>
        <v>0</v>
      </c>
      <c r="Z16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8.5</v>
      </c>
      <c r="AA164" s="13">
        <f>IFERROR(VLOOKUP(H164,#REF!,18,FALSE),0)</f>
        <v>0</v>
      </c>
      <c r="AB164" s="13">
        <f>SUM(X164:Y164)-IFERROR(VLOOKUP(H164,#REF!,16,FALSE),0)-IFERROR(VLOOKUP(H164,#REF!,17,FALSE),0)</f>
        <v>0</v>
      </c>
      <c r="AC164" s="15" t="e">
        <f>VLOOKUP(Tableau5617192223242425262827293031333432353620383961719241822254140424344104746[[#This Row],[Num Projets]],#REF!,2,FALSE)</f>
        <v>#REF!</v>
      </c>
      <c r="AD164" s="15">
        <f>IFERROR(VLOOKUP(Tableau5617192223242425262827293031333432353620383961719241822254140424344104746[[#This Row],[Num Projets]],#REF!,2,FALSE),0)</f>
        <v>0</v>
      </c>
      <c r="AE164" s="8">
        <f t="shared" si="39"/>
        <v>406.29999999999995</v>
      </c>
      <c r="AF164" s="22" t="e">
        <f t="shared" si="40"/>
        <v>#REF!</v>
      </c>
      <c r="AG164" s="8">
        <f>IFERROR(VLOOKUP(H164,#REF!,3,FALSE),0)+IFERROR(VLOOKUP(H164,#REF!,3,FALSE),0)</f>
        <v>0</v>
      </c>
      <c r="AH164" s="8">
        <f>IFERROR(VLOOKUP(Tableau5617192223242425262827293031333432353620383961719241822254140424344104746[[#This Row],[Num Projets]],#REF!,2,FALSE),0)</f>
        <v>0</v>
      </c>
      <c r="AI164" s="17">
        <f>+IFERROR(VLOOKUP(H164,#REF!,2,FALSE),0)-Tableau5617192223242425262827293031333432353620383961719241822254140424344104746[[#This Row],[Int Commandé OT
€]]</f>
        <v>0</v>
      </c>
      <c r="AJ164" s="8">
        <f>IFERROR(VLOOKUP(H164,#REF!,11,FALSE),0)-IFERROR(VLOOKUP(H164,#REF!,10,FALSE),0)+Tableau5617192223242425262827293031333432353620383961719241822254140424344104746[[#This Row],[dont FNP à date (€ HT)]]</f>
        <v>0</v>
      </c>
      <c r="AK164" s="15">
        <f t="shared" si="46"/>
        <v>0</v>
      </c>
      <c r="AL16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4" s="19">
        <f>IF(Tableau5617192223242425262827293031333432353620383961719241822254140424344104746[[#This Row],[RAF Achats M-1
€]]=0,0,AN164-AO164)</f>
        <v>0</v>
      </c>
      <c r="AN164" s="8">
        <f>IFERROR(VLOOKUP(H164,#REF!,31,FALSE),0)</f>
        <v>0</v>
      </c>
      <c r="AO164" s="8">
        <f>AI164+-IFERROR(VLOOKUP(H164,#REF!,27,FALSE),0)</f>
        <v>0</v>
      </c>
      <c r="AP164" s="20">
        <f>IFERROR(VLOOKUP(Tableau5617192223242425262827293031333432353620383961719241822254140424344104746[[#This Row],[Num Projets]],#REF!,2,FALSE),0)</f>
        <v>0</v>
      </c>
      <c r="AQ164" s="20">
        <f>_xlfn.XLOOKUP(H164,[2]Synth!$N:$N,[2]Synth!$O:$O,0,FALSE)+_xlfn.XLOOKUP(Tableau5617192223242425262827293031333432353620383961719241822254140424344104746[[#This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4" s="21">
        <v>0</v>
      </c>
      <c r="AS164" s="20">
        <f>+IFERROR(VLOOKUP(H164,#REF!,36,FALSE),0)</f>
        <v>0</v>
      </c>
      <c r="AT16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4" s="22">
        <f>IF(AG164=0,0,1-((AI164+AM164+Tableau5617192223242425262827293031333432353620383961719241822254140424344104746[[#This Row],[Int Commandé OT
€]]+Tableau5617192223242425262827293031333432353620383961719241822254140424344104746[[#This Row],[RAF Int OT
€]])/AG164))</f>
        <v>0</v>
      </c>
      <c r="AV164" s="8">
        <f>IFERROR(VLOOKUP(H164,#REF!,4,FALSE),0)+IFERROR(VLOOKUP(H164,#REF!,4,FALSE),0)</f>
        <v>0</v>
      </c>
      <c r="AW164" s="8">
        <f>IFERROR(VLOOKUP(Tableau5617192223242425262827293031333432353620383961719241822254140424344104746[[#This Row],[Num Projets]],#REF!,3,FALSE),0)</f>
        <v>0</v>
      </c>
      <c r="AX164" s="95">
        <f>IFERROR(VLOOKUP(Tableau5617192223242425262827293031333432353620383961719241822254140424344104746[[#This Row],[Num Projets]],#REF!,10,FALSE),0)</f>
        <v>0</v>
      </c>
      <c r="AY164" s="23">
        <f>Tableau5617192223242425262827293031333432353620383961719241822254140424344104746[[#This Row],[Budget Mission
 €]]/1.2-AX164</f>
        <v>0</v>
      </c>
      <c r="AZ164" s="8">
        <f>IFERROR(VLOOKUP(H164,#REF!,43,FALSE),0)</f>
        <v>0</v>
      </c>
      <c r="BA164" s="8">
        <f>AX164-IFERROR(VLOOKUP(H164,#REF!,42,FALSE),0)</f>
        <v>0</v>
      </c>
      <c r="BB164" s="47">
        <f t="shared" si="47"/>
        <v>0</v>
      </c>
      <c r="BC164" s="24">
        <f>IFERROR(VLOOKUP(H164,#REF!,47,FALSE),IFERROR(VLOOKUP(H164,#REF!,5,FALSE),0)+IFERROR(VLOOKUP(H164,#REF!,5,FALSE),0))</f>
        <v>0</v>
      </c>
      <c r="BD164" s="25">
        <f>IFERROR(VLOOKUP(H164,#REF!,2,FALSE),0)</f>
        <v>0</v>
      </c>
      <c r="BE164" s="25">
        <f>IFERROR(VLOOKUP(H164,#REF!,49,FALSE),0)</f>
        <v>0</v>
      </c>
      <c r="BF164" s="50" t="e">
        <f t="shared" si="41"/>
        <v>#REF!</v>
      </c>
      <c r="BG164" s="50">
        <f t="shared" si="42"/>
        <v>0</v>
      </c>
      <c r="BH164" s="27">
        <f>AE164+ (AI164-AJ164+AM164+Tableau5617192223242425262827293031333432353620383961719241822254140424344104746[[#This Row],[Int Commandé OT
€]]-Tableau5617192223242425262827293031333432353620383961719241822254140424344104746[[#This Row],[Int Réalisé OT
€]]+AR164) +AY164+BC164</f>
        <v>406.29999999999995</v>
      </c>
      <c r="BI164" s="47">
        <f t="shared" si="51"/>
        <v>0</v>
      </c>
      <c r="BJ164" s="47" t="e">
        <f t="shared" si="43"/>
        <v>#REF!</v>
      </c>
      <c r="BK164" s="27" t="e">
        <f t="shared" si="44"/>
        <v>#REF!</v>
      </c>
      <c r="BL164" s="26" t="e">
        <f t="shared" si="45"/>
        <v>#REF!</v>
      </c>
      <c r="BM164" s="96">
        <f>IFERROR(VLOOKUP(H164,'[1]2023dec'!H:CA,54,FALSE),105)</f>
        <v>105</v>
      </c>
      <c r="BN164" s="29">
        <v>1</v>
      </c>
      <c r="BO164" s="30" t="e">
        <f>P164-AC164-AG164-AV164-Tableau5617192223242425262827293031333432353620383961719241822254140424344104746[[#This Row],[Provisions pour risques]]</f>
        <v>#REF!</v>
      </c>
      <c r="BP16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406.29999999999995</v>
      </c>
      <c r="BQ16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4" s="97" t="e">
        <f t="shared" si="48"/>
        <v>#REF!</v>
      </c>
      <c r="BS164" s="34">
        <f>Tableau5617192223242425262827293031333432353620383961719241822254140424344104746[[#This Row],[Consommé global Enregistré à date (€ HT)]]-IFERROR(VLOOKUP(H164,#REF!,50,FALSE),0)</f>
        <v>0</v>
      </c>
      <c r="BT164" s="35" t="e">
        <f t="shared" si="49"/>
        <v>#REF!</v>
      </c>
      <c r="BU164" s="36">
        <f>BD164-IFERROR(VLOOKUP(H164,#REF!,47,FALSE),0)</f>
        <v>0</v>
      </c>
      <c r="BV164" s="37" t="e">
        <f>+BF164+Tableau5617192223242425262827293031333432353620383961719241822254140424344104746[[#This Row],[CA fin N-1]]-IFERROR(VLOOKUP(H164,#REF!,49,FALSE),0)-IFERROR(VLOOKUP(H164,#REF!,50,FALSE),0)</f>
        <v>#REF!</v>
      </c>
      <c r="BW164" s="33">
        <f>BG164-IFERROR(VLOOKUP(H164,#REF!,51,FALSE),0)</f>
        <v>0</v>
      </c>
      <c r="BX164" s="35" t="e">
        <f t="shared" si="50"/>
        <v>#REF!</v>
      </c>
      <c r="BY164" s="36">
        <f>BD164-IFERROR(VLOOKUP(H164,#REF!,48,FALSE),0)</f>
        <v>0</v>
      </c>
      <c r="BZ16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4" s="39" t="e">
        <f>VLOOKUP(Tableau5617192223242425262827293031333432353620383961719241822254140424344104746[[#This Row],[Num Projets]],#REF!,1,FALSE)</f>
        <v>#REF!</v>
      </c>
      <c r="CB164" s="40">
        <v>8.5</v>
      </c>
      <c r="CC164" s="40">
        <v>0</v>
      </c>
      <c r="CD16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-8.5</v>
      </c>
    </row>
    <row r="165" spans="1:82" ht="15" customHeight="1" x14ac:dyDescent="0.25">
      <c r="A165" s="313"/>
      <c r="B165" s="1"/>
      <c r="C165" s="2" t="e">
        <f>_xlfn.XLOOKUP(Tableau5617192223242425262827293031333432353620383961719241822254140424344104746[[#This Row],[Num Projets]],#REF!,#REF!,FALSE)</f>
        <v>#REF!</v>
      </c>
      <c r="D165" s="3" t="s">
        <v>1</v>
      </c>
      <c r="E165" s="3" t="e">
        <f>_xlfn.XLOOKUP(Tableau5617192223242425262827293031333432353620383961719241822254140424344104746[[#This Row],[Num Projets]],#REF!,#REF!,FALSE)</f>
        <v>#REF!</v>
      </c>
      <c r="F165" s="3" t="s">
        <v>52</v>
      </c>
      <c r="G165" s="3" t="s">
        <v>2</v>
      </c>
      <c r="H165" s="3" t="s">
        <v>304</v>
      </c>
      <c r="I16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5" s="4" t="e">
        <f>VLOOKUP(Tableau5617192223242425262827293031333432353620383961719241822254140424344104746[[#This Row],[Num Projets]],#REF!,36,FALSE)</f>
        <v>#REF!</v>
      </c>
      <c r="K165" s="5" t="s">
        <v>4</v>
      </c>
      <c r="L16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5" s="3" t="e">
        <f>SUBSTITUTE(_xlfn.XLOOKUP(Tableau5617192223242425262827293031333432353620383961719241822254140424344104746[[#This Row],[Num Projets]],#REF!,#REF!,FALSE)," ","")</f>
        <v>#REF!</v>
      </c>
      <c r="N165" s="7" t="e">
        <f>VLOOKUP(H165,#REF!,7,FALSE)</f>
        <v>#REF!</v>
      </c>
      <c r="O165" s="7" t="e">
        <f>IF(VLOOKUP(H165,#REF!,27,FALSE)=0,"",VLOOKUP(H165,#REF!,27,FALSE))</f>
        <v>#REF!</v>
      </c>
      <c r="P165" s="8" t="e">
        <f>VLOOKUP(H165,#REF!,2,FALSE)</f>
        <v>#REF!</v>
      </c>
      <c r="Q165" s="9" t="e">
        <f>Tableau5617192223242425262827293031333432353620383961719241822254140424344104746[[#This Row],[Total Budget
€]]-IFERROR(VLOOKUP(H165,#REF!,8,FALSE),0)</f>
        <v>#REF!</v>
      </c>
      <c r="R165" s="10">
        <f>AD165+AI165+Tableau5617192223242425262827293031333432353620383961719241822254140424344104746[[#This Row],[Int Commandé OT
€]]+AX165</f>
        <v>0</v>
      </c>
      <c r="S165" s="10">
        <f>AD165+AJ165+Tableau5617192223242425262827293031333432353620383961719241822254140424344104746[[#This Row],[Int Réalisé OT
€]]+AX165</f>
        <v>0</v>
      </c>
      <c r="T165" s="11" t="e">
        <f t="shared" si="38"/>
        <v>#REF!</v>
      </c>
      <c r="U16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5" s="42" t="e">
        <f>Tableau5617192223242425262827293031333432353620383961719241822254140424344104746[[#This Row],[Budget Heures Valorisées
€]]/105</f>
        <v>#REF!</v>
      </c>
      <c r="X165" s="13">
        <f>IFERROR(VLOOKUP(H165,#REF!,2,FALSE),0)</f>
        <v>0</v>
      </c>
      <c r="Y165" s="13">
        <f>IFERROR(VLOOKUP(H165,#REF!,3,FALSE),0)</f>
        <v>0</v>
      </c>
      <c r="Z16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</v>
      </c>
      <c r="AA165" s="13">
        <f>IFERROR(VLOOKUP(H165,#REF!,18,FALSE),0)</f>
        <v>0</v>
      </c>
      <c r="AB165" s="13">
        <f>SUM(X165:Y165)-IFERROR(VLOOKUP(H165,#REF!,16,FALSE),0)-IFERROR(VLOOKUP(H165,#REF!,17,FALSE),0)</f>
        <v>0</v>
      </c>
      <c r="AC165" s="15" t="e">
        <f>VLOOKUP(Tableau5617192223242425262827293031333432353620383961719241822254140424344104746[[#This Row],[Num Projets]],#REF!,2,FALSE)</f>
        <v>#REF!</v>
      </c>
      <c r="AD165" s="15">
        <f>IFERROR(VLOOKUP(Tableau5617192223242425262827293031333432353620383961719241822254140424344104746[[#This Row],[Num Projets]],#REF!,2,FALSE),0)</f>
        <v>0</v>
      </c>
      <c r="AE165" s="8">
        <f t="shared" si="39"/>
        <v>334.59999999999997</v>
      </c>
      <c r="AF165" s="22" t="e">
        <f t="shared" si="40"/>
        <v>#REF!</v>
      </c>
      <c r="AG165" s="8">
        <f>IFERROR(VLOOKUP(H165,#REF!,3,FALSE),0)+IFERROR(VLOOKUP(H165,#REF!,3,FALSE),0)</f>
        <v>0</v>
      </c>
      <c r="AH165" s="8">
        <f>IFERROR(VLOOKUP(Tableau5617192223242425262827293031333432353620383961719241822254140424344104746[[#This Row],[Num Projets]],#REF!,2,FALSE),0)</f>
        <v>0</v>
      </c>
      <c r="AI165" s="17">
        <f>+IFERROR(VLOOKUP(H165,#REF!,2,FALSE),0)-Tableau5617192223242425262827293031333432353620383961719241822254140424344104746[[#This Row],[Int Commandé OT
€]]</f>
        <v>0</v>
      </c>
      <c r="AJ165" s="8">
        <f>IFERROR(VLOOKUP(H165,#REF!,11,FALSE),0)-IFERROR(VLOOKUP(H165,#REF!,10,FALSE),0)+Tableau5617192223242425262827293031333432353620383961719241822254140424344104746[[#This Row],[dont FNP à date (€ HT)]]</f>
        <v>0</v>
      </c>
      <c r="AK165" s="15">
        <f t="shared" si="46"/>
        <v>0</v>
      </c>
      <c r="AL16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5" s="19">
        <f>IF(Tableau5617192223242425262827293031333432353620383961719241822254140424344104746[[#This Row],[RAF Achats M-1
€]]=0,0,AN165-AO165)</f>
        <v>0</v>
      </c>
      <c r="AN165" s="8">
        <f>IFERROR(VLOOKUP(H165,#REF!,31,FALSE),0)</f>
        <v>0</v>
      </c>
      <c r="AO165" s="8">
        <f>AI165+-IFERROR(VLOOKUP(H165,#REF!,27,FALSE),0)</f>
        <v>0</v>
      </c>
      <c r="AP165" s="20">
        <f>IFERROR(VLOOKUP(Tableau5617192223242425262827293031333432353620383961719241822254140424344104746[[#This Row],[Num Projets]],#REF!,2,FALSE),0)</f>
        <v>0</v>
      </c>
      <c r="AQ165" s="20">
        <f>_xlfn.XLOOKUP(H165,[2]Synth!$N:$N,[2]Synth!$O:$O,0,FALSE)+_xlfn.XLOOKUP(Tableau5617192223242425262827293031333432353620383961719241822254140424344104746[[#This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5" s="21">
        <v>0</v>
      </c>
      <c r="AS165" s="20">
        <f>+IFERROR(VLOOKUP(H165,#REF!,36,FALSE),0)</f>
        <v>0</v>
      </c>
      <c r="AT16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5" s="22">
        <f>IF(AG165=0,0,1-((AI165+AM165+Tableau5617192223242425262827293031333432353620383961719241822254140424344104746[[#This Row],[Int Commandé OT
€]]+Tableau5617192223242425262827293031333432353620383961719241822254140424344104746[[#This Row],[RAF Int OT
€]])/AG165))</f>
        <v>0</v>
      </c>
      <c r="AV165" s="8">
        <f>IFERROR(VLOOKUP(H165,#REF!,4,FALSE),0)+IFERROR(VLOOKUP(H165,#REF!,4,FALSE),0)</f>
        <v>0</v>
      </c>
      <c r="AW165" s="8">
        <f>IFERROR(VLOOKUP(Tableau5617192223242425262827293031333432353620383961719241822254140424344104746[[#This Row],[Num Projets]],#REF!,3,FALSE),0)</f>
        <v>0</v>
      </c>
      <c r="AX165" s="95">
        <f>IFERROR(VLOOKUP(Tableau5617192223242425262827293031333432353620383961719241822254140424344104746[[#This Row],[Num Projets]],#REF!,10,FALSE),0)</f>
        <v>0</v>
      </c>
      <c r="AY165" s="23">
        <f>Tableau5617192223242425262827293031333432353620383961719241822254140424344104746[[#This Row],[Budget Mission
 €]]/1.2-AX165</f>
        <v>0</v>
      </c>
      <c r="AZ165" s="8">
        <f>IFERROR(VLOOKUP(H165,#REF!,43,FALSE),0)</f>
        <v>0</v>
      </c>
      <c r="BA165" s="8">
        <f>AX165-IFERROR(VLOOKUP(H165,#REF!,42,FALSE),0)</f>
        <v>0</v>
      </c>
      <c r="BB165" s="47">
        <f t="shared" si="47"/>
        <v>0</v>
      </c>
      <c r="BC165" s="24">
        <f>IFERROR(VLOOKUP(H165,#REF!,47,FALSE),IFERROR(VLOOKUP(H165,#REF!,5,FALSE),0)+IFERROR(VLOOKUP(H165,#REF!,5,FALSE),0))</f>
        <v>0</v>
      </c>
      <c r="BD165" s="25">
        <f>IFERROR(VLOOKUP(H165,#REF!,2,FALSE),0)</f>
        <v>0</v>
      </c>
      <c r="BE165" s="25">
        <f>IFERROR(VLOOKUP(H165,#REF!,49,FALSE),0)</f>
        <v>0</v>
      </c>
      <c r="BF165" s="50" t="e">
        <f t="shared" si="41"/>
        <v>#REF!</v>
      </c>
      <c r="BG165" s="50">
        <f t="shared" si="42"/>
        <v>0</v>
      </c>
      <c r="BH165" s="27">
        <f>AE165+ (AI165-AJ165+AM165+Tableau5617192223242425262827293031333432353620383961719241822254140424344104746[[#This Row],[Int Commandé OT
€]]-Tableau5617192223242425262827293031333432353620383961719241822254140424344104746[[#This Row],[Int Réalisé OT
€]]+AR165) +AY165+BC165</f>
        <v>334.59999999999997</v>
      </c>
      <c r="BI165" s="47">
        <f t="shared" si="51"/>
        <v>0</v>
      </c>
      <c r="BJ165" s="47" t="e">
        <f t="shared" si="43"/>
        <v>#REF!</v>
      </c>
      <c r="BK165" s="27" t="e">
        <f t="shared" si="44"/>
        <v>#REF!</v>
      </c>
      <c r="BL165" s="26" t="e">
        <f t="shared" si="45"/>
        <v>#REF!</v>
      </c>
      <c r="BM165" s="96">
        <f>IFERROR(VLOOKUP(H165,'[1]2023dec'!H:CA,54,FALSE),105)</f>
        <v>105</v>
      </c>
      <c r="BN165" s="29">
        <v>1</v>
      </c>
      <c r="BO165" s="30" t="e">
        <f>P165-AC165-AG165-AV165-Tableau5617192223242425262827293031333432353620383961719241822254140424344104746[[#This Row],[Provisions pour risques]]</f>
        <v>#REF!</v>
      </c>
      <c r="BP16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334.59999999999997</v>
      </c>
      <c r="BQ16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5" s="97" t="e">
        <f t="shared" si="48"/>
        <v>#REF!</v>
      </c>
      <c r="BS165" s="34">
        <f>Tableau5617192223242425262827293031333432353620383961719241822254140424344104746[[#This Row],[Consommé global Enregistré à date (€ HT)]]-IFERROR(VLOOKUP(H165,#REF!,50,FALSE),0)</f>
        <v>0</v>
      </c>
      <c r="BT165" s="35" t="e">
        <f t="shared" si="49"/>
        <v>#REF!</v>
      </c>
      <c r="BU165" s="36">
        <f>BD165-IFERROR(VLOOKUP(H165,#REF!,47,FALSE),0)</f>
        <v>0</v>
      </c>
      <c r="BV165" s="37" t="e">
        <f>+BF165+Tableau5617192223242425262827293031333432353620383961719241822254140424344104746[[#This Row],[CA fin N-1]]-IFERROR(VLOOKUP(H165,#REF!,49,FALSE),0)-IFERROR(VLOOKUP(H165,#REF!,50,FALSE),0)</f>
        <v>#REF!</v>
      </c>
      <c r="BW165" s="33">
        <f>BG165-IFERROR(VLOOKUP(H165,#REF!,51,FALSE),0)</f>
        <v>0</v>
      </c>
      <c r="BX165" s="35" t="e">
        <f t="shared" si="50"/>
        <v>#REF!</v>
      </c>
      <c r="BY165" s="36">
        <f>BD165-IFERROR(VLOOKUP(H165,#REF!,48,FALSE),0)</f>
        <v>0</v>
      </c>
      <c r="BZ16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5" s="39" t="e">
        <f>VLOOKUP(Tableau5617192223242425262827293031333432353620383961719241822254140424344104746[[#This Row],[Num Projets]],#REF!,1,FALSE)</f>
        <v>#REF!</v>
      </c>
      <c r="CB165" s="40">
        <v>7</v>
      </c>
      <c r="CC165" s="40">
        <v>0</v>
      </c>
      <c r="CD16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</v>
      </c>
    </row>
    <row r="166" spans="1:82" ht="15" customHeight="1" x14ac:dyDescent="0.25">
      <c r="A166" s="313" t="s">
        <v>305</v>
      </c>
      <c r="B166" s="1"/>
      <c r="C166" s="2" t="e">
        <f>_xlfn.XLOOKUP(Tableau5617192223242425262827293031333432353620383961719241822254140424344104746[[#This Row],[Num Projets]],#REF!,#REF!,FALSE)</f>
        <v>#REF!</v>
      </c>
      <c r="D166" s="3" t="s">
        <v>1</v>
      </c>
      <c r="E166" s="3" t="e">
        <f>_xlfn.XLOOKUP(Tableau5617192223242425262827293031333432353620383961719241822254140424344104746[[#This Row],[Num Projets]],#REF!,#REF!,FALSE)</f>
        <v>#REF!</v>
      </c>
      <c r="F166" s="3" t="e">
        <f>_xlfn.XLOOKUP(Tableau5617192223242425262827293031333432353620383961719241822254140424344104746[[#This Row],[Num Projets]],#REF!,#REF!,"newavr",0)</f>
        <v>#REF!</v>
      </c>
      <c r="G166" s="3" t="s">
        <v>2</v>
      </c>
      <c r="H166" s="3" t="s">
        <v>306</v>
      </c>
      <c r="I16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6" s="4" t="e">
        <f>VLOOKUP(Tableau5617192223242425262827293031333432353620383961719241822254140424344104746[[#This Row],[Num Projets]],#REF!,36,FALSE)</f>
        <v>#REF!</v>
      </c>
      <c r="K166" s="5" t="s">
        <v>4</v>
      </c>
      <c r="L16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6" s="3" t="e">
        <f>SUBSTITUTE(_xlfn.XLOOKUP(Tableau5617192223242425262827293031333432353620383961719241822254140424344104746[[#This Row],[Num Projets]],#REF!,#REF!,FALSE)," ","")</f>
        <v>#REF!</v>
      </c>
      <c r="N166" s="7" t="e">
        <f>VLOOKUP(H166,#REF!,7,FALSE)</f>
        <v>#REF!</v>
      </c>
      <c r="O166" s="7">
        <v>45747</v>
      </c>
      <c r="P166" s="8" t="e">
        <f>VLOOKUP(H166,#REF!,2,FALSE)</f>
        <v>#REF!</v>
      </c>
      <c r="Q166" s="9" t="e">
        <f>Tableau5617192223242425262827293031333432353620383961719241822254140424344104746[[#This Row],[Total Budget
€]]-IFERROR(VLOOKUP(H166,#REF!,8,FALSE),0)</f>
        <v>#REF!</v>
      </c>
      <c r="R166" s="10">
        <f>AD166+AI166+Tableau5617192223242425262827293031333432353620383961719241822254140424344104746[[#This Row],[Int Commandé OT
€]]+AX166</f>
        <v>0</v>
      </c>
      <c r="S166" s="10">
        <f>AD166+AJ166+Tableau5617192223242425262827293031333432353620383961719241822254140424344104746[[#This Row],[Int Réalisé OT
€]]+AX166</f>
        <v>0</v>
      </c>
      <c r="T166" s="11" t="e">
        <f t="shared" si="38"/>
        <v>#REF!</v>
      </c>
      <c r="U16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6" s="12">
        <f>IFERROR(VLOOKUP(H166,#REF!,2,FALSE),0)</f>
        <v>0</v>
      </c>
      <c r="X166" s="13">
        <f>IFERROR(VLOOKUP(H166,#REF!,2,FALSE),0)</f>
        <v>0</v>
      </c>
      <c r="Y166" s="13">
        <f>IFERROR(VLOOKUP(H166,#REF!,3,FALSE),0)</f>
        <v>0</v>
      </c>
      <c r="Z16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22</v>
      </c>
      <c r="AA166" s="13">
        <f>IFERROR(VLOOKUP(H166,#REF!,18,FALSE),0)</f>
        <v>0</v>
      </c>
      <c r="AB166" s="13">
        <f>SUM(X166:Y166)-IFERROR(VLOOKUP(H166,#REF!,16,FALSE),0)-IFERROR(VLOOKUP(H166,#REF!,17,FALSE),0)</f>
        <v>0</v>
      </c>
      <c r="AC166" s="15" t="e">
        <f>VLOOKUP(Tableau5617192223242425262827293031333432353620383961719241822254140424344104746[[#This Row],[Num Projets]],#REF!,2,FALSE)</f>
        <v>#REF!</v>
      </c>
      <c r="AD166" s="15">
        <f>IFERROR(VLOOKUP(Tableau5617192223242425262827293031333432353620383961719241822254140424344104746[[#This Row],[Num Projets]],#REF!,2,FALSE),0)</f>
        <v>0</v>
      </c>
      <c r="AE166" s="8">
        <f t="shared" si="39"/>
        <v>1051.5999999999999</v>
      </c>
      <c r="AF166" s="22" t="e">
        <f t="shared" si="40"/>
        <v>#REF!</v>
      </c>
      <c r="AG166" s="8">
        <f>IFERROR(VLOOKUP(H166,#REF!,3,FALSE),0)+IFERROR(VLOOKUP(H166,#REF!,3,FALSE),0)</f>
        <v>0</v>
      </c>
      <c r="AH166" s="8">
        <f>IFERROR(VLOOKUP(Tableau5617192223242425262827293031333432353620383961719241822254140424344104746[[#This Row],[Num Projets]],#REF!,2,FALSE),0)</f>
        <v>0</v>
      </c>
      <c r="AI166" s="17">
        <f>+IFERROR(VLOOKUP(H166,#REF!,2,FALSE),0)-Tableau5617192223242425262827293031333432353620383961719241822254140424344104746[[#This Row],[Int Commandé OT
€]]</f>
        <v>0</v>
      </c>
      <c r="AJ166" s="8">
        <f>IFERROR(VLOOKUP(H166,#REF!,11,FALSE),0)-IFERROR(VLOOKUP(H166,#REF!,10,FALSE),0)+Tableau5617192223242425262827293031333432353620383961719241822254140424344104746[[#This Row],[dont FNP à date (€ HT)]]</f>
        <v>0</v>
      </c>
      <c r="AK166" s="15">
        <f t="shared" si="46"/>
        <v>0</v>
      </c>
      <c r="AL16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6" s="19">
        <f>IF(Tableau5617192223242425262827293031333432353620383961719241822254140424344104746[[#This Row],[RAF Achats M-1
€]]=0,0,AN166-AO166)</f>
        <v>0</v>
      </c>
      <c r="AN166" s="8">
        <f>IFERROR(VLOOKUP(H166,#REF!,31,FALSE),0)</f>
        <v>0</v>
      </c>
      <c r="AO166" s="8">
        <f>AI166+-IFERROR(VLOOKUP(H166,#REF!,27,FALSE),0)</f>
        <v>0</v>
      </c>
      <c r="AP166" s="20">
        <f>IFERROR(VLOOKUP(Tableau5617192223242425262827293031333432353620383961719241822254140424344104746[[#This Row],[Num Projets]],#REF!,2,FALSE),0)</f>
        <v>0</v>
      </c>
      <c r="AQ166" s="20">
        <f>_xlfn.XLOOKUP(H166,[2]Synth!$N:$N,[2]Synth!$O:$O,0,FALSE)+_xlfn.XLOOKUP(Tableau5617192223242425262827293031333432353620383961719241822254140424344104746[[#This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6" s="21">
        <v>0</v>
      </c>
      <c r="AS166" s="20">
        <f>+IFERROR(VLOOKUP(H166,#REF!,36,FALSE),0)</f>
        <v>0</v>
      </c>
      <c r="AT16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6" s="22">
        <f>IF(AG166=0,0,1-((AI166+AM166+Tableau5617192223242425262827293031333432353620383961719241822254140424344104746[[#This Row],[Int Commandé OT
€]]+Tableau5617192223242425262827293031333432353620383961719241822254140424344104746[[#This Row],[RAF Int OT
€]])/AG166))</f>
        <v>0</v>
      </c>
      <c r="AV166" s="8">
        <f>IFERROR(VLOOKUP(H166,#REF!,4,FALSE),0)+IFERROR(VLOOKUP(H166,#REF!,4,FALSE),0)</f>
        <v>0</v>
      </c>
      <c r="AW166" s="8">
        <f>IFERROR(VLOOKUP(Tableau5617192223242425262827293031333432353620383961719241822254140424344104746[[#This Row],[Num Projets]],#REF!,3,FALSE),0)</f>
        <v>0</v>
      </c>
      <c r="AX166" s="95">
        <f>IFERROR(VLOOKUP(Tableau5617192223242425262827293031333432353620383961719241822254140424344104746[[#This Row],[Num Projets]],#REF!,10,FALSE),0)</f>
        <v>0</v>
      </c>
      <c r="AY166" s="23">
        <f>Tableau5617192223242425262827293031333432353620383961719241822254140424344104746[[#This Row],[Budget Mission
 €]]/1.2-AX166</f>
        <v>0</v>
      </c>
      <c r="AZ166" s="8">
        <f>IFERROR(VLOOKUP(H166,#REF!,43,FALSE),0)</f>
        <v>0</v>
      </c>
      <c r="BA166" s="8">
        <f>AX166-IFERROR(VLOOKUP(H166,#REF!,42,FALSE),0)</f>
        <v>0</v>
      </c>
      <c r="BB166" s="47">
        <f t="shared" si="47"/>
        <v>0</v>
      </c>
      <c r="BC166" s="24">
        <f>IFERROR(VLOOKUP(H166,#REF!,47,FALSE),IFERROR(VLOOKUP(H166,#REF!,5,FALSE),0)+IFERROR(VLOOKUP(H166,#REF!,5,FALSE),0))</f>
        <v>0</v>
      </c>
      <c r="BD166" s="25">
        <f>IFERROR(VLOOKUP(H166,#REF!,2,FALSE),0)</f>
        <v>0</v>
      </c>
      <c r="BE166" s="25">
        <f>IFERROR(VLOOKUP(H166,#REF!,49,FALSE),0)</f>
        <v>0</v>
      </c>
      <c r="BF166" s="50" t="e">
        <f t="shared" si="41"/>
        <v>#REF!</v>
      </c>
      <c r="BG166" s="50">
        <f t="shared" si="42"/>
        <v>0</v>
      </c>
      <c r="BH166" s="27">
        <f>AE166+ (AI166-AJ166+AM166+Tableau5617192223242425262827293031333432353620383961719241822254140424344104746[[#This Row],[Int Commandé OT
€]]-Tableau5617192223242425262827293031333432353620383961719241822254140424344104746[[#This Row],[Int Réalisé OT
€]]+AR166) +AY166+BC166</f>
        <v>1051.5999999999999</v>
      </c>
      <c r="BI166" s="47">
        <f t="shared" si="51"/>
        <v>0</v>
      </c>
      <c r="BJ166" s="47" t="e">
        <f t="shared" si="43"/>
        <v>#REF!</v>
      </c>
      <c r="BK166" s="27" t="e">
        <f t="shared" si="44"/>
        <v>#REF!</v>
      </c>
      <c r="BL166" s="26" t="e">
        <f t="shared" si="45"/>
        <v>#REF!</v>
      </c>
      <c r="BM166" s="96">
        <f>IFERROR(VLOOKUP(H166,'[1]2023dec'!H:CA,54,FALSE),105)</f>
        <v>105</v>
      </c>
      <c r="BN166" s="29">
        <v>1</v>
      </c>
      <c r="BO166" s="30" t="e">
        <f>P166-AC166-AG166-AV166-Tableau5617192223242425262827293031333432353620383961719241822254140424344104746[[#This Row],[Provisions pour risques]]</f>
        <v>#REF!</v>
      </c>
      <c r="BP16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1051.5999999999999</v>
      </c>
      <c r="BQ16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6" s="97" t="e">
        <f t="shared" si="48"/>
        <v>#REF!</v>
      </c>
      <c r="BS166" s="34">
        <f>Tableau5617192223242425262827293031333432353620383961719241822254140424344104746[[#This Row],[Consommé global Enregistré à date (€ HT)]]-IFERROR(VLOOKUP(H166,#REF!,50,FALSE),0)</f>
        <v>0</v>
      </c>
      <c r="BT166" s="35" t="e">
        <f t="shared" si="49"/>
        <v>#REF!</v>
      </c>
      <c r="BU166" s="36">
        <f>BD166-IFERROR(VLOOKUP(H166,#REF!,47,FALSE),0)</f>
        <v>0</v>
      </c>
      <c r="BV166" s="37" t="e">
        <f>+BF166+Tableau5617192223242425262827293031333432353620383961719241822254140424344104746[[#This Row],[CA fin N-1]]-IFERROR(VLOOKUP(H166,#REF!,49,FALSE),0)-IFERROR(VLOOKUP(H166,#REF!,50,FALSE),0)</f>
        <v>#REF!</v>
      </c>
      <c r="BW166" s="33">
        <f>BG166-IFERROR(VLOOKUP(H166,#REF!,51,FALSE),0)</f>
        <v>0</v>
      </c>
      <c r="BX166" s="35" t="e">
        <f t="shared" si="50"/>
        <v>#REF!</v>
      </c>
      <c r="BY166" s="36">
        <f>BD166-IFERROR(VLOOKUP(H166,#REF!,48,FALSE),0)</f>
        <v>0</v>
      </c>
      <c r="BZ16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6" s="39" t="e">
        <f>VLOOKUP(Tableau5617192223242425262827293031333432353620383961719241822254140424344104746[[#This Row],[Num Projets]],#REF!,1,FALSE)</f>
        <v>#REF!</v>
      </c>
      <c r="CB166" s="40">
        <v>22</v>
      </c>
      <c r="CC166" s="40">
        <v>0</v>
      </c>
      <c r="CD16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-22</v>
      </c>
    </row>
    <row r="167" spans="1:82" ht="15" customHeight="1" x14ac:dyDescent="0.25">
      <c r="A167" s="311"/>
      <c r="B167" s="1"/>
      <c r="C167" s="2" t="e">
        <f>_xlfn.XLOOKUP(Tableau5617192223242425262827293031333432353620383961719241822254140424344104746[[#This Row],[Num Projets]],#REF!,#REF!,FALSE)</f>
        <v>#REF!</v>
      </c>
      <c r="D167" s="3" t="s">
        <v>6</v>
      </c>
      <c r="E167" s="3" t="e">
        <f>_xlfn.XLOOKUP(Tableau5617192223242425262827293031333432353620383961719241822254140424344104746[[#This Row],[Num Projets]],#REF!,#REF!,FALSE)</f>
        <v>#REF!</v>
      </c>
      <c r="F167" s="3" t="e">
        <f>_xlfn.XLOOKUP(Tableau5617192223242425262827293031333432353620383961719241822254140424344104746[[#This Row],[Num Projets]],#REF!,#REF!,"newavr",0)</f>
        <v>#REF!</v>
      </c>
      <c r="G167" s="3" t="s">
        <v>2</v>
      </c>
      <c r="H167" s="3" t="s">
        <v>307</v>
      </c>
      <c r="I16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7" s="4" t="e">
        <f>VLOOKUP(Tableau5617192223242425262827293031333432353620383961719241822254140424344104746[[#This Row],[Num Projets]],#REF!,36,FALSE)</f>
        <v>#REF!</v>
      </c>
      <c r="K167" s="5" t="s">
        <v>9</v>
      </c>
      <c r="L16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7" s="3" t="e">
        <f>SUBSTITUTE(_xlfn.XLOOKUP(Tableau5617192223242425262827293031333432353620383961719241822254140424344104746[[#This Row],[Num Projets]],#REF!,#REF!,FALSE)," ","")</f>
        <v>#REF!</v>
      </c>
      <c r="N167" s="7" t="e">
        <f>VLOOKUP(H167,#REF!,7,FALSE)</f>
        <v>#REF!</v>
      </c>
      <c r="O167" s="7" t="e">
        <f>IF(VLOOKUP(H167,#REF!,27,FALSE)=0,"",VLOOKUP(H167,#REF!,27,FALSE))</f>
        <v>#REF!</v>
      </c>
      <c r="P167" s="8" t="e">
        <f>VLOOKUP(H167,#REF!,2,FALSE)</f>
        <v>#REF!</v>
      </c>
      <c r="Q167" s="9" t="e">
        <f>Tableau5617192223242425262827293031333432353620383961719241822254140424344104746[[#This Row],[Total Budget
€]]-IFERROR(VLOOKUP(H167,#REF!,8,FALSE),0)</f>
        <v>#REF!</v>
      </c>
      <c r="R167" s="10">
        <f>AD167+AI167+Tableau5617192223242425262827293031333432353620383961719241822254140424344104746[[#This Row],[Int Commandé OT
€]]+AX167</f>
        <v>0</v>
      </c>
      <c r="S167" s="10">
        <f>AD167+AJ167+Tableau5617192223242425262827293031333432353620383961719241822254140424344104746[[#This Row],[Int Réalisé OT
€]]+AX167</f>
        <v>0</v>
      </c>
      <c r="T167" s="11" t="e">
        <f t="shared" si="38"/>
        <v>#REF!</v>
      </c>
      <c r="U16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7" s="12">
        <f>IFERROR(VLOOKUP(H167,#REF!,2,FALSE),0)</f>
        <v>0</v>
      </c>
      <c r="X167" s="13">
        <f>IFERROR(VLOOKUP(H167,#REF!,2,FALSE),0)</f>
        <v>0</v>
      </c>
      <c r="Y167" s="13">
        <f>IFERROR(VLOOKUP(H167,#REF!,3,FALSE),0)</f>
        <v>0</v>
      </c>
      <c r="Z16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16</v>
      </c>
      <c r="AA167" s="13">
        <f>IFERROR(VLOOKUP(H167,#REF!,18,FALSE),0)</f>
        <v>0</v>
      </c>
      <c r="AB167" s="13">
        <f>SUM(X167:Y167)-IFERROR(VLOOKUP(H167,#REF!,16,FALSE),0)-IFERROR(VLOOKUP(H167,#REF!,17,FALSE),0)</f>
        <v>0</v>
      </c>
      <c r="AC167" s="15" t="e">
        <f>VLOOKUP(Tableau5617192223242425262827293031333432353620383961719241822254140424344104746[[#This Row],[Num Projets]],#REF!,2,FALSE)</f>
        <v>#REF!</v>
      </c>
      <c r="AD167" s="15">
        <f>IFERROR(VLOOKUP(Tableau5617192223242425262827293031333432353620383961719241822254140424344104746[[#This Row],[Num Projets]],#REF!,2,FALSE),0)</f>
        <v>0</v>
      </c>
      <c r="AE167" s="8">
        <f t="shared" si="39"/>
        <v>764.8</v>
      </c>
      <c r="AF167" s="22" t="e">
        <f t="shared" si="40"/>
        <v>#REF!</v>
      </c>
      <c r="AG167" s="8">
        <f>IFERROR(VLOOKUP(H167,#REF!,3,FALSE),0)+IFERROR(VLOOKUP(H167,#REF!,3,FALSE),0)</f>
        <v>0</v>
      </c>
      <c r="AH167" s="8">
        <f>IFERROR(VLOOKUP(Tableau5617192223242425262827293031333432353620383961719241822254140424344104746[[#This Row],[Num Projets]],#REF!,2,FALSE),0)</f>
        <v>0</v>
      </c>
      <c r="AI167" s="17">
        <f>+IFERROR(VLOOKUP(H167,#REF!,2,FALSE),0)-Tableau5617192223242425262827293031333432353620383961719241822254140424344104746[[#This Row],[Int Commandé OT
€]]</f>
        <v>0</v>
      </c>
      <c r="AJ167" s="8">
        <f>IFERROR(VLOOKUP(H167,#REF!,11,FALSE),0)-IFERROR(VLOOKUP(H167,#REF!,10,FALSE),0)+Tableau5617192223242425262827293031333432353620383961719241822254140424344104746[[#This Row],[dont FNP à date (€ HT)]]</f>
        <v>0</v>
      </c>
      <c r="AK167" s="15">
        <f t="shared" si="46"/>
        <v>0</v>
      </c>
      <c r="AL16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7" s="19">
        <f>IF(Tableau5617192223242425262827293031333432353620383961719241822254140424344104746[[#This Row],[RAF Achats M-1
€]]=0,0,AN167-AO167)</f>
        <v>0</v>
      </c>
      <c r="AN167" s="8">
        <f>IFERROR(VLOOKUP(H167,#REF!,31,FALSE),0)</f>
        <v>0</v>
      </c>
      <c r="AO167" s="8">
        <f>AI167+-IFERROR(VLOOKUP(H167,#REF!,27,FALSE),0)</f>
        <v>0</v>
      </c>
      <c r="AP167" s="20">
        <f>IFERROR(VLOOKUP(Tableau5617192223242425262827293031333432353620383961719241822254140424344104746[[#This Row],[Num Projets]],#REF!,2,FALSE),0)</f>
        <v>0</v>
      </c>
      <c r="AQ167" s="20">
        <f>_xlfn.XLOOKUP(H167,[2]Synth!$N:$N,[2]Synth!$O:$O,0,FALSE)+_xlfn.XLOOKUP(Tableau5617192223242425262827293031333432353620383961719241822254140424344104746[[#This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7" s="21">
        <v>0</v>
      </c>
      <c r="AS167" s="20">
        <f>+IFERROR(VLOOKUP(H167,#REF!,36,FALSE),0)</f>
        <v>0</v>
      </c>
      <c r="AT16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7" s="22">
        <f>IF(AG167=0,0,1-((AI167+AM167+Tableau5617192223242425262827293031333432353620383961719241822254140424344104746[[#This Row],[Int Commandé OT
€]]+Tableau5617192223242425262827293031333432353620383961719241822254140424344104746[[#This Row],[RAF Int OT
€]])/AG167))</f>
        <v>0</v>
      </c>
      <c r="AV167" s="8">
        <f>IFERROR(VLOOKUP(H167,#REF!,4,FALSE),0)+IFERROR(VLOOKUP(H167,#REF!,4,FALSE),0)</f>
        <v>0</v>
      </c>
      <c r="AW167" s="8">
        <f>IFERROR(VLOOKUP(Tableau5617192223242425262827293031333432353620383961719241822254140424344104746[[#This Row],[Num Projets]],#REF!,3,FALSE),0)</f>
        <v>0</v>
      </c>
      <c r="AX167" s="95">
        <f>IFERROR(VLOOKUP(Tableau5617192223242425262827293031333432353620383961719241822254140424344104746[[#This Row],[Num Projets]],#REF!,10,FALSE),0)</f>
        <v>0</v>
      </c>
      <c r="AY167" s="23">
        <f>Tableau5617192223242425262827293031333432353620383961719241822254140424344104746[[#This Row],[Budget Mission
 €]]/1.2-AX167</f>
        <v>0</v>
      </c>
      <c r="AZ167" s="8">
        <f>IFERROR(VLOOKUP(H167,#REF!,43,FALSE),0)</f>
        <v>0</v>
      </c>
      <c r="BA167" s="8">
        <f>AX167-IFERROR(VLOOKUP(H167,#REF!,42,FALSE),0)</f>
        <v>0</v>
      </c>
      <c r="BB167" s="47">
        <f t="shared" si="47"/>
        <v>0</v>
      </c>
      <c r="BC167" s="24">
        <f>IFERROR(VLOOKUP(H167,#REF!,47,FALSE),IFERROR(VLOOKUP(H167,#REF!,5,FALSE),0)+IFERROR(VLOOKUP(H167,#REF!,5,FALSE),0))</f>
        <v>0</v>
      </c>
      <c r="BD167" s="25">
        <f>IFERROR(VLOOKUP(H167,#REF!,2,FALSE),0)</f>
        <v>0</v>
      </c>
      <c r="BE167" s="25">
        <f>IFERROR(VLOOKUP(H167,#REF!,49,FALSE),0)</f>
        <v>0</v>
      </c>
      <c r="BF167" s="50" t="e">
        <f t="shared" si="41"/>
        <v>#REF!</v>
      </c>
      <c r="BG167" s="50">
        <f t="shared" si="42"/>
        <v>0</v>
      </c>
      <c r="BH167" s="27">
        <f>AE167+ (AI167-AJ167+AM167+Tableau5617192223242425262827293031333432353620383961719241822254140424344104746[[#This Row],[Int Commandé OT
€]]-Tableau5617192223242425262827293031333432353620383961719241822254140424344104746[[#This Row],[Int Réalisé OT
€]]+AR167) +AY167+BC167</f>
        <v>764.8</v>
      </c>
      <c r="BI167" s="47">
        <f t="shared" si="51"/>
        <v>0</v>
      </c>
      <c r="BJ167" s="47" t="e">
        <f t="shared" si="43"/>
        <v>#REF!</v>
      </c>
      <c r="BK167" s="27" t="e">
        <f t="shared" si="44"/>
        <v>#REF!</v>
      </c>
      <c r="BL167" s="26" t="e">
        <f t="shared" si="45"/>
        <v>#REF!</v>
      </c>
      <c r="BM167" s="96">
        <f>IFERROR(VLOOKUP(H167,'[1]2023dec'!H:CA,54,FALSE),105)</f>
        <v>105</v>
      </c>
      <c r="BN167" s="29">
        <v>1</v>
      </c>
      <c r="BO167" s="30" t="e">
        <f>P167-AC167-AG167-AV167-Tableau5617192223242425262827293031333432353620383961719241822254140424344104746[[#This Row],[Provisions pour risques]]</f>
        <v>#REF!</v>
      </c>
      <c r="BP16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764.8</v>
      </c>
      <c r="BQ16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7" s="97" t="e">
        <f t="shared" si="48"/>
        <v>#REF!</v>
      </c>
      <c r="BS167" s="34">
        <f>Tableau5617192223242425262827293031333432353620383961719241822254140424344104746[[#This Row],[Consommé global Enregistré à date (€ HT)]]-IFERROR(VLOOKUP(H167,#REF!,50,FALSE),0)</f>
        <v>0</v>
      </c>
      <c r="BT167" s="35" t="e">
        <f t="shared" si="49"/>
        <v>#REF!</v>
      </c>
      <c r="BU167" s="36">
        <f>BD167-IFERROR(VLOOKUP(H167,#REF!,47,FALSE),0)</f>
        <v>0</v>
      </c>
      <c r="BV167" s="37" t="e">
        <f>+BF167+Tableau5617192223242425262827293031333432353620383961719241822254140424344104746[[#This Row],[CA fin N-1]]-IFERROR(VLOOKUP(H167,#REF!,49,FALSE),0)-IFERROR(VLOOKUP(H167,#REF!,50,FALSE),0)</f>
        <v>#REF!</v>
      </c>
      <c r="BW167" s="33">
        <f>BG167-IFERROR(VLOOKUP(H167,#REF!,51,FALSE),0)</f>
        <v>0</v>
      </c>
      <c r="BX167" s="35" t="e">
        <f t="shared" si="50"/>
        <v>#REF!</v>
      </c>
      <c r="BY167" s="36">
        <f>BD167-IFERROR(VLOOKUP(H167,#REF!,48,FALSE),0)</f>
        <v>0</v>
      </c>
      <c r="BZ16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7" s="39" t="e">
        <f>VLOOKUP(Tableau5617192223242425262827293031333432353620383961719241822254140424344104746[[#This Row],[Num Projets]],#REF!,1,FALSE)</f>
        <v>#REF!</v>
      </c>
      <c r="CB167" s="40">
        <v>16</v>
      </c>
      <c r="CC167" s="40">
        <v>0</v>
      </c>
      <c r="CD16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-16</v>
      </c>
    </row>
    <row r="168" spans="1:82" ht="15" customHeight="1" x14ac:dyDescent="0.25">
      <c r="A168" s="313" t="s">
        <v>308</v>
      </c>
      <c r="B168" s="1"/>
      <c r="C168" s="2" t="e">
        <f>_xlfn.XLOOKUP(Tableau5617192223242425262827293031333432353620383961719241822254140424344104746[[#This Row],[Num Projets]],#REF!,#REF!,FALSE)</f>
        <v>#REF!</v>
      </c>
      <c r="D168" s="3" t="s">
        <v>1</v>
      </c>
      <c r="E168" s="3" t="e">
        <f>_xlfn.XLOOKUP(Tableau5617192223242425262827293031333432353620383961719241822254140424344104746[[#This Row],[Num Projets]],#REF!,#REF!,FALSE)</f>
        <v>#REF!</v>
      </c>
      <c r="F168" s="3" t="s">
        <v>52</v>
      </c>
      <c r="G168" s="3" t="s">
        <v>2</v>
      </c>
      <c r="H168" s="3" t="s">
        <v>309</v>
      </c>
      <c r="I16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8" s="4" t="e">
        <f>VLOOKUP(Tableau5617192223242425262827293031333432353620383961719241822254140424344104746[[#This Row],[Num Projets]],#REF!,36,FALSE)</f>
        <v>#REF!</v>
      </c>
      <c r="K168" s="5" t="s">
        <v>4</v>
      </c>
      <c r="L16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8" s="3" t="e">
        <f>SUBSTITUTE(_xlfn.XLOOKUP(Tableau5617192223242425262827293031333432353620383961719241822254140424344104746[[#This Row],[Num Projets]],#REF!,#REF!,FALSE)," ","")</f>
        <v>#REF!</v>
      </c>
      <c r="N168" s="7" t="e">
        <f>VLOOKUP(H168,#REF!,7,FALSE)</f>
        <v>#REF!</v>
      </c>
      <c r="O168" s="7">
        <v>45777</v>
      </c>
      <c r="P168" s="8" t="e">
        <f>VLOOKUP(H168,#REF!,2,FALSE)</f>
        <v>#REF!</v>
      </c>
      <c r="Q168" s="9" t="e">
        <f>Tableau5617192223242425262827293031333432353620383961719241822254140424344104746[[#This Row],[Total Budget
€]]-IFERROR(VLOOKUP(H168,#REF!,8,FALSE),0)</f>
        <v>#REF!</v>
      </c>
      <c r="R168" s="10">
        <f>AD168+AI168+Tableau5617192223242425262827293031333432353620383961719241822254140424344104746[[#This Row],[Int Commandé OT
€]]+AX168</f>
        <v>0</v>
      </c>
      <c r="S168" s="10">
        <f>AD168+AJ168+Tableau5617192223242425262827293031333432353620383961719241822254140424344104746[[#This Row],[Int Réalisé OT
€]]+AX168</f>
        <v>0</v>
      </c>
      <c r="T168" s="11" t="e">
        <f t="shared" si="38"/>
        <v>#REF!</v>
      </c>
      <c r="U16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8" s="12">
        <f>IFERROR(VLOOKUP(H168,#REF!,2,FALSE),0)</f>
        <v>0</v>
      </c>
      <c r="X168" s="13">
        <f>IFERROR(VLOOKUP(H168,#REF!,2,FALSE),0)</f>
        <v>0</v>
      </c>
      <c r="Y168" s="13">
        <f>IFERROR(VLOOKUP(H168,#REF!,3,FALSE),0)</f>
        <v>0</v>
      </c>
      <c r="Z16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27</v>
      </c>
      <c r="AA168" s="13">
        <f>IFERROR(VLOOKUP(H168,#REF!,18,FALSE),0)</f>
        <v>0</v>
      </c>
      <c r="AB168" s="13">
        <f>SUM(X168:Y168)-IFERROR(VLOOKUP(H168,#REF!,16,FALSE),0)-IFERROR(VLOOKUP(H168,#REF!,17,FALSE),0)</f>
        <v>0</v>
      </c>
      <c r="AC168" s="15" t="e">
        <f>VLOOKUP(Tableau5617192223242425262827293031333432353620383961719241822254140424344104746[[#This Row],[Num Projets]],#REF!,2,FALSE)</f>
        <v>#REF!</v>
      </c>
      <c r="AD168" s="15">
        <f>IFERROR(VLOOKUP(Tableau5617192223242425262827293031333432353620383961719241822254140424344104746[[#This Row],[Num Projets]],#REF!,2,FALSE),0)</f>
        <v>0</v>
      </c>
      <c r="AE168" s="8">
        <f t="shared" si="39"/>
        <v>1290.5999999999999</v>
      </c>
      <c r="AF168" s="22" t="e">
        <f t="shared" si="40"/>
        <v>#REF!</v>
      </c>
      <c r="AG168" s="8">
        <f>IFERROR(VLOOKUP(H168,#REF!,3,FALSE),0)+IFERROR(VLOOKUP(H168,#REF!,3,FALSE),0)</f>
        <v>0</v>
      </c>
      <c r="AH168" s="8">
        <f>IFERROR(VLOOKUP(Tableau5617192223242425262827293031333432353620383961719241822254140424344104746[[#This Row],[Num Projets]],#REF!,2,FALSE),0)</f>
        <v>0</v>
      </c>
      <c r="AI168" s="17">
        <f>+IFERROR(VLOOKUP(H168,#REF!,2,FALSE),0)-Tableau5617192223242425262827293031333432353620383961719241822254140424344104746[[#This Row],[Int Commandé OT
€]]</f>
        <v>0</v>
      </c>
      <c r="AJ168" s="8">
        <f>IFERROR(VLOOKUP(H168,#REF!,11,FALSE),0)-IFERROR(VLOOKUP(H168,#REF!,10,FALSE),0)+Tableau5617192223242425262827293031333432353620383961719241822254140424344104746[[#This Row],[dont FNP à date (€ HT)]]</f>
        <v>0</v>
      </c>
      <c r="AK168" s="15">
        <f t="shared" si="46"/>
        <v>0</v>
      </c>
      <c r="AL16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8" s="19">
        <f>IF(Tableau5617192223242425262827293031333432353620383961719241822254140424344104746[[#This Row],[RAF Achats M-1
€]]=0,0,AN168-AO168)</f>
        <v>0</v>
      </c>
      <c r="AN168" s="8">
        <f>IFERROR(VLOOKUP(H168,#REF!,31,FALSE),0)</f>
        <v>0</v>
      </c>
      <c r="AO168" s="8">
        <f>AI168+-IFERROR(VLOOKUP(H168,#REF!,27,FALSE),0)</f>
        <v>0</v>
      </c>
      <c r="AP168" s="20">
        <f>IFERROR(VLOOKUP(Tableau5617192223242425262827293031333432353620383961719241822254140424344104746[[#This Row],[Num Projets]],#REF!,2,FALSE),0)</f>
        <v>0</v>
      </c>
      <c r="AQ168" s="20">
        <f>_xlfn.XLOOKUP(H168,[2]Synth!$N:$N,[2]Synth!$O:$O,0,FALSE)+_xlfn.XLOOKUP(Tableau5617192223242425262827293031333432353620383961719241822254140424344104746[[#This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8" s="21">
        <v>0</v>
      </c>
      <c r="AS168" s="20">
        <f>+IFERROR(VLOOKUP(H168,#REF!,36,FALSE),0)</f>
        <v>0</v>
      </c>
      <c r="AT16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8" s="22">
        <f>IF(AG168=0,0,1-((AI168+AM168+Tableau5617192223242425262827293031333432353620383961719241822254140424344104746[[#This Row],[Int Commandé OT
€]]+Tableau5617192223242425262827293031333432353620383961719241822254140424344104746[[#This Row],[RAF Int OT
€]])/AG168))</f>
        <v>0</v>
      </c>
      <c r="AV168" s="8">
        <f>IFERROR(VLOOKUP(H168,#REF!,4,FALSE),0)+IFERROR(VLOOKUP(H168,#REF!,4,FALSE),0)</f>
        <v>0</v>
      </c>
      <c r="AW168" s="8">
        <f>IFERROR(VLOOKUP(Tableau5617192223242425262827293031333432353620383961719241822254140424344104746[[#This Row],[Num Projets]],#REF!,3,FALSE),0)</f>
        <v>0</v>
      </c>
      <c r="AX168" s="95">
        <f>IFERROR(VLOOKUP(Tableau5617192223242425262827293031333432353620383961719241822254140424344104746[[#This Row],[Num Projets]],#REF!,10,FALSE),0)</f>
        <v>0</v>
      </c>
      <c r="AY168" s="23">
        <f>Tableau5617192223242425262827293031333432353620383961719241822254140424344104746[[#This Row],[Budget Mission
 €]]/1.2-AX168</f>
        <v>0</v>
      </c>
      <c r="AZ168" s="8">
        <f>IFERROR(VLOOKUP(H168,#REF!,43,FALSE),0)</f>
        <v>0</v>
      </c>
      <c r="BA168" s="8">
        <f>AX168-IFERROR(VLOOKUP(H168,#REF!,42,FALSE),0)</f>
        <v>0</v>
      </c>
      <c r="BB168" s="47">
        <f t="shared" si="47"/>
        <v>0</v>
      </c>
      <c r="BC168" s="24">
        <f>IFERROR(VLOOKUP(H168,#REF!,47,FALSE),IFERROR(VLOOKUP(H168,#REF!,5,FALSE),0)+IFERROR(VLOOKUP(H168,#REF!,5,FALSE),0))</f>
        <v>0</v>
      </c>
      <c r="BD168" s="25">
        <f>IFERROR(VLOOKUP(H168,#REF!,2,FALSE),0)</f>
        <v>0</v>
      </c>
      <c r="BE168" s="25">
        <f>IFERROR(VLOOKUP(H168,#REF!,49,FALSE),0)</f>
        <v>0</v>
      </c>
      <c r="BF168" s="50" t="e">
        <f t="shared" si="41"/>
        <v>#REF!</v>
      </c>
      <c r="BG168" s="50">
        <f t="shared" si="42"/>
        <v>0</v>
      </c>
      <c r="BH168" s="27">
        <f>AE168+ (AI168-AJ168+AM168+Tableau5617192223242425262827293031333432353620383961719241822254140424344104746[[#This Row],[Int Commandé OT
€]]-Tableau5617192223242425262827293031333432353620383961719241822254140424344104746[[#This Row],[Int Réalisé OT
€]]+AR168) +AY168+BC168</f>
        <v>1290.5999999999999</v>
      </c>
      <c r="BI168" s="47">
        <f t="shared" si="51"/>
        <v>0</v>
      </c>
      <c r="BJ168" s="47" t="e">
        <f t="shared" si="43"/>
        <v>#REF!</v>
      </c>
      <c r="BK168" s="27" t="e">
        <f t="shared" si="44"/>
        <v>#REF!</v>
      </c>
      <c r="BL168" s="26" t="e">
        <f t="shared" si="45"/>
        <v>#REF!</v>
      </c>
      <c r="BM168" s="96">
        <f>IFERROR(VLOOKUP(H168,'[1]2023dec'!H:CA,54,FALSE),105)</f>
        <v>105</v>
      </c>
      <c r="BN168" s="29">
        <v>1</v>
      </c>
      <c r="BO168" s="30" t="e">
        <f>P168-AC168-AG168-AV168-Tableau5617192223242425262827293031333432353620383961719241822254140424344104746[[#This Row],[Provisions pour risques]]</f>
        <v>#REF!</v>
      </c>
      <c r="BP16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1290.5999999999999</v>
      </c>
      <c r="BQ16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8" s="97" t="e">
        <f t="shared" si="48"/>
        <v>#REF!</v>
      </c>
      <c r="BS168" s="34">
        <f>Tableau5617192223242425262827293031333432353620383961719241822254140424344104746[[#This Row],[Consommé global Enregistré à date (€ HT)]]-IFERROR(VLOOKUP(H168,#REF!,50,FALSE),0)</f>
        <v>0</v>
      </c>
      <c r="BT168" s="35" t="e">
        <f t="shared" si="49"/>
        <v>#REF!</v>
      </c>
      <c r="BU168" s="36">
        <f>BD168-IFERROR(VLOOKUP(H168,#REF!,47,FALSE),0)</f>
        <v>0</v>
      </c>
      <c r="BV168" s="37" t="e">
        <f>+BF168+Tableau5617192223242425262827293031333432353620383961719241822254140424344104746[[#This Row],[CA fin N-1]]-IFERROR(VLOOKUP(H168,#REF!,49,FALSE),0)-IFERROR(VLOOKUP(H168,#REF!,50,FALSE),0)</f>
        <v>#REF!</v>
      </c>
      <c r="BW168" s="33">
        <f>BG168-IFERROR(VLOOKUP(H168,#REF!,51,FALSE),0)</f>
        <v>0</v>
      </c>
      <c r="BX168" s="35" t="e">
        <f t="shared" si="50"/>
        <v>#REF!</v>
      </c>
      <c r="BY168" s="36">
        <f>BD168-IFERROR(VLOOKUP(H168,#REF!,48,FALSE),0)</f>
        <v>0</v>
      </c>
      <c r="BZ16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8" s="39" t="e">
        <f>VLOOKUP(Tableau5617192223242425262827293031333432353620383961719241822254140424344104746[[#This Row],[Num Projets]],#REF!,1,FALSE)</f>
        <v>#REF!</v>
      </c>
      <c r="CB168" s="40">
        <v>27</v>
      </c>
      <c r="CC168" s="40">
        <v>0</v>
      </c>
      <c r="CD16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-27</v>
      </c>
    </row>
    <row r="169" spans="1:82" ht="15" customHeight="1" x14ac:dyDescent="0.25">
      <c r="A169" s="313"/>
      <c r="B169" s="1"/>
      <c r="C169" s="2" t="e">
        <f>_xlfn.XLOOKUP(Tableau5617192223242425262827293031333432353620383961719241822254140424344104746[[#This Row],[Num Projets]],#REF!,#REF!,FALSE)</f>
        <v>#REF!</v>
      </c>
      <c r="D169" s="3" t="s">
        <v>1</v>
      </c>
      <c r="E169" s="3" t="e">
        <f>_xlfn.XLOOKUP(Tableau5617192223242425262827293031333432353620383961719241822254140424344104746[[#This Row],[Num Projets]],#REF!,#REF!,FALSE)</f>
        <v>#REF!</v>
      </c>
      <c r="F169" s="3" t="e">
        <f>_xlfn.XLOOKUP(Tableau5617192223242425262827293031333432353620383961719241822254140424344104746[[#This Row],[Num Projets]],#REF!,#REF!,"newavr",0)</f>
        <v>#REF!</v>
      </c>
      <c r="G169" s="3" t="s">
        <v>2</v>
      </c>
      <c r="H169" s="3" t="s">
        <v>310</v>
      </c>
      <c r="I16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69" s="4" t="e">
        <f>VLOOKUP(Tableau5617192223242425262827293031333432353620383961719241822254140424344104746[[#This Row],[Num Projets]],#REF!,36,FALSE)</f>
        <v>#REF!</v>
      </c>
      <c r="K169" s="5" t="s">
        <v>4</v>
      </c>
      <c r="L16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69" s="3" t="e">
        <f>SUBSTITUTE(_xlfn.XLOOKUP(Tableau5617192223242425262827293031333432353620383961719241822254140424344104746[[#This Row],[Num Projets]],#REF!,#REF!,FALSE)," ","")</f>
        <v>#REF!</v>
      </c>
      <c r="N169" s="7" t="e">
        <f>VLOOKUP(H169,#REF!,7,FALSE)</f>
        <v>#REF!</v>
      </c>
      <c r="O169" s="7">
        <v>45747</v>
      </c>
      <c r="P169" s="8" t="e">
        <f>VLOOKUP(H169,#REF!,2,FALSE)</f>
        <v>#REF!</v>
      </c>
      <c r="Q169" s="9" t="e">
        <f>Tableau5617192223242425262827293031333432353620383961719241822254140424344104746[[#This Row],[Total Budget
€]]-IFERROR(VLOOKUP(H169,#REF!,8,FALSE),0)</f>
        <v>#REF!</v>
      </c>
      <c r="R169" s="10">
        <f>AD169+AI169+Tableau5617192223242425262827293031333432353620383961719241822254140424344104746[[#This Row],[Int Commandé OT
€]]+AX169</f>
        <v>0</v>
      </c>
      <c r="S169" s="10">
        <f>AD169+AJ169+Tableau5617192223242425262827293031333432353620383961719241822254140424344104746[[#This Row],[Int Réalisé OT
€]]+AX169</f>
        <v>0</v>
      </c>
      <c r="T169" s="11" t="e">
        <f t="shared" si="38"/>
        <v>#REF!</v>
      </c>
      <c r="U16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6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69" s="12">
        <f>IFERROR(VLOOKUP(H169,#REF!,2,FALSE),0)</f>
        <v>0</v>
      </c>
      <c r="X169" s="13">
        <f>IFERROR(VLOOKUP(H169,#REF!,2,FALSE),0)</f>
        <v>0</v>
      </c>
      <c r="Y169" s="13">
        <f>IFERROR(VLOOKUP(H169,#REF!,3,FALSE),0)</f>
        <v>0</v>
      </c>
      <c r="Z16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</v>
      </c>
      <c r="AA169" s="13">
        <f>IFERROR(VLOOKUP(H169,#REF!,18,FALSE),0)</f>
        <v>0</v>
      </c>
      <c r="AB169" s="13">
        <f>SUM(X169:Y169)-IFERROR(VLOOKUP(H169,#REF!,16,FALSE),0)-IFERROR(VLOOKUP(H169,#REF!,17,FALSE),0)</f>
        <v>0</v>
      </c>
      <c r="AC169" s="15" t="e">
        <f>VLOOKUP(Tableau5617192223242425262827293031333432353620383961719241822254140424344104746[[#This Row],[Num Projets]],#REF!,2,FALSE)</f>
        <v>#REF!</v>
      </c>
      <c r="AD169" s="15">
        <f>IFERROR(VLOOKUP(Tableau5617192223242425262827293031333432353620383961719241822254140424344104746[[#This Row],[Num Projets]],#REF!,2,FALSE),0)</f>
        <v>0</v>
      </c>
      <c r="AE169" s="8">
        <f t="shared" si="39"/>
        <v>1147.1999999999998</v>
      </c>
      <c r="AF169" s="22" t="e">
        <f t="shared" si="40"/>
        <v>#REF!</v>
      </c>
      <c r="AG169" s="8">
        <f>IFERROR(VLOOKUP(H169,#REF!,3,FALSE),0)+IFERROR(VLOOKUP(H169,#REF!,3,FALSE),0)</f>
        <v>0</v>
      </c>
      <c r="AH169" s="8">
        <f>IFERROR(VLOOKUP(Tableau5617192223242425262827293031333432353620383961719241822254140424344104746[[#This Row],[Num Projets]],#REF!,2,FALSE),0)</f>
        <v>0</v>
      </c>
      <c r="AI169" s="17">
        <f>+IFERROR(VLOOKUP(H169,#REF!,2,FALSE),0)-Tableau5617192223242425262827293031333432353620383961719241822254140424344104746[[#This Row],[Int Commandé OT
€]]</f>
        <v>0</v>
      </c>
      <c r="AJ169" s="8">
        <f>IFERROR(VLOOKUP(H169,#REF!,11,FALSE),0)-IFERROR(VLOOKUP(H169,#REF!,10,FALSE),0)+Tableau5617192223242425262827293031333432353620383961719241822254140424344104746[[#This Row],[dont FNP à date (€ HT)]]</f>
        <v>0</v>
      </c>
      <c r="AK169" s="15">
        <f t="shared" si="46"/>
        <v>0</v>
      </c>
      <c r="AL16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69" s="19">
        <f>IF(Tableau5617192223242425262827293031333432353620383961719241822254140424344104746[[#This Row],[RAF Achats M-1
€]]=0,0,AN169-AO169)</f>
        <v>0</v>
      </c>
      <c r="AN169" s="8">
        <f>IFERROR(VLOOKUP(H169,#REF!,31,FALSE),0)</f>
        <v>0</v>
      </c>
      <c r="AO169" s="8">
        <f>AI169+-IFERROR(VLOOKUP(H169,#REF!,27,FALSE),0)</f>
        <v>0</v>
      </c>
      <c r="AP169" s="20">
        <f>IFERROR(VLOOKUP(Tableau5617192223242425262827293031333432353620383961719241822254140424344104746[[#This Row],[Num Projets]],#REF!,2,FALSE),0)</f>
        <v>0</v>
      </c>
      <c r="AQ169" s="20">
        <f>_xlfn.XLOOKUP(H169,[2]Synth!$N:$N,[2]Synth!$O:$O,0,FALSE)+_xlfn.XLOOKUP(Tableau5617192223242425262827293031333432353620383961719241822254140424344104746[[#This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69" s="21">
        <v>0</v>
      </c>
      <c r="AS169" s="20">
        <f>+IFERROR(VLOOKUP(H169,#REF!,36,FALSE),0)</f>
        <v>0</v>
      </c>
      <c r="AT16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69" s="22">
        <f>IF(AG169=0,0,1-((AI169+AM169+Tableau5617192223242425262827293031333432353620383961719241822254140424344104746[[#This Row],[Int Commandé OT
€]]+Tableau5617192223242425262827293031333432353620383961719241822254140424344104746[[#This Row],[RAF Int OT
€]])/AG169))</f>
        <v>0</v>
      </c>
      <c r="AV169" s="8">
        <f>IFERROR(VLOOKUP(H169,#REF!,4,FALSE),0)+IFERROR(VLOOKUP(H169,#REF!,4,FALSE),0)</f>
        <v>0</v>
      </c>
      <c r="AW169" s="8">
        <f>IFERROR(VLOOKUP(Tableau5617192223242425262827293031333432353620383961719241822254140424344104746[[#This Row],[Num Projets]],#REF!,3,FALSE),0)</f>
        <v>0</v>
      </c>
      <c r="AX169" s="95">
        <f>IFERROR(VLOOKUP(Tableau5617192223242425262827293031333432353620383961719241822254140424344104746[[#This Row],[Num Projets]],#REF!,10,FALSE),0)</f>
        <v>0</v>
      </c>
      <c r="AY169" s="23">
        <f>Tableau5617192223242425262827293031333432353620383961719241822254140424344104746[[#This Row],[Budget Mission
 €]]/1.2-AX169</f>
        <v>0</v>
      </c>
      <c r="AZ169" s="8">
        <f>IFERROR(VLOOKUP(H169,#REF!,43,FALSE),0)</f>
        <v>0</v>
      </c>
      <c r="BA169" s="8">
        <f>AX169-IFERROR(VLOOKUP(H169,#REF!,42,FALSE),0)</f>
        <v>0</v>
      </c>
      <c r="BB169" s="47">
        <f t="shared" si="47"/>
        <v>0</v>
      </c>
      <c r="BC169" s="24">
        <f>IFERROR(VLOOKUP(H169,#REF!,47,FALSE),IFERROR(VLOOKUP(H169,#REF!,5,FALSE),0)+IFERROR(VLOOKUP(H169,#REF!,5,FALSE),0))</f>
        <v>0</v>
      </c>
      <c r="BD169" s="25">
        <f>IFERROR(VLOOKUP(H169,#REF!,2,FALSE),0)</f>
        <v>0</v>
      </c>
      <c r="BE169" s="25">
        <f>IFERROR(VLOOKUP(H169,#REF!,49,FALSE),0)</f>
        <v>0</v>
      </c>
      <c r="BF169" s="50" t="e">
        <f t="shared" si="41"/>
        <v>#REF!</v>
      </c>
      <c r="BG169" s="50">
        <f t="shared" si="42"/>
        <v>0</v>
      </c>
      <c r="BH169" s="27">
        <f>AE169+ (AI169-AJ169+AM169+Tableau5617192223242425262827293031333432353620383961719241822254140424344104746[[#This Row],[Int Commandé OT
€]]-Tableau5617192223242425262827293031333432353620383961719241822254140424344104746[[#This Row],[Int Réalisé OT
€]]+AR169) +AY169+BC169</f>
        <v>1147.1999999999998</v>
      </c>
      <c r="BI169" s="47">
        <f t="shared" si="51"/>
        <v>0</v>
      </c>
      <c r="BJ169" s="47" t="e">
        <f t="shared" si="43"/>
        <v>#REF!</v>
      </c>
      <c r="BK169" s="27" t="e">
        <f t="shared" si="44"/>
        <v>#REF!</v>
      </c>
      <c r="BL169" s="26" t="e">
        <f t="shared" si="45"/>
        <v>#REF!</v>
      </c>
      <c r="BM169" s="96">
        <f>IFERROR(VLOOKUP(H169,'[1]2023dec'!H:CA,54,FALSE),105)</f>
        <v>105</v>
      </c>
      <c r="BN169" s="29">
        <v>1</v>
      </c>
      <c r="BO169" s="30" t="e">
        <f>P169-AC169-AG169-AV169-Tableau5617192223242425262827293031333432353620383961719241822254140424344104746[[#This Row],[Provisions pour risques]]</f>
        <v>#REF!</v>
      </c>
      <c r="BP16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1147.1999999999998</v>
      </c>
      <c r="BQ16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69" s="97" t="e">
        <f t="shared" si="48"/>
        <v>#REF!</v>
      </c>
      <c r="BS169" s="34">
        <f>Tableau5617192223242425262827293031333432353620383961719241822254140424344104746[[#This Row],[Consommé global Enregistré à date (€ HT)]]-IFERROR(VLOOKUP(H169,#REF!,50,FALSE),0)</f>
        <v>0</v>
      </c>
      <c r="BT169" s="35" t="e">
        <f t="shared" si="49"/>
        <v>#REF!</v>
      </c>
      <c r="BU169" s="36">
        <f>BD169-IFERROR(VLOOKUP(H169,#REF!,47,FALSE),0)</f>
        <v>0</v>
      </c>
      <c r="BV169" s="37" t="e">
        <f>+BF169+Tableau5617192223242425262827293031333432353620383961719241822254140424344104746[[#This Row],[CA fin N-1]]-IFERROR(VLOOKUP(H169,#REF!,49,FALSE),0)-IFERROR(VLOOKUP(H169,#REF!,50,FALSE),0)</f>
        <v>#REF!</v>
      </c>
      <c r="BW169" s="33">
        <f>BG169-IFERROR(VLOOKUP(H169,#REF!,51,FALSE),0)</f>
        <v>0</v>
      </c>
      <c r="BX169" s="35" t="e">
        <f t="shared" si="50"/>
        <v>#REF!</v>
      </c>
      <c r="BY169" s="36">
        <f>BD169-IFERROR(VLOOKUP(H169,#REF!,48,FALSE),0)</f>
        <v>0</v>
      </c>
      <c r="BZ16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69" s="39" t="e">
        <f>VLOOKUP(Tableau5617192223242425262827293031333432353620383961719241822254140424344104746[[#This Row],[Num Projets]],#REF!,1,FALSE)</f>
        <v>#REF!</v>
      </c>
      <c r="CB169" s="40">
        <v>24</v>
      </c>
      <c r="CC169" s="40">
        <v>0</v>
      </c>
      <c r="CD16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-24</v>
      </c>
    </row>
    <row r="170" spans="1:82" ht="17.25" customHeight="1" x14ac:dyDescent="0.25">
      <c r="A170" s="313" t="s">
        <v>311</v>
      </c>
      <c r="B170" s="1"/>
      <c r="C170" s="2" t="e">
        <f>_xlfn.XLOOKUP(Tableau5617192223242425262827293031333432353620383961719241822254140424344104746[[#This Row],[Num Projets]],#REF!,#REF!,FALSE)</f>
        <v>#REF!</v>
      </c>
      <c r="D170" s="3" t="s">
        <v>1</v>
      </c>
      <c r="E170" s="3" t="e">
        <f>_xlfn.XLOOKUP(Tableau5617192223242425262827293031333432353620383961719241822254140424344104746[[#This Row],[Num Projets]],#REF!,#REF!,FALSE)</f>
        <v>#REF!</v>
      </c>
      <c r="F170" s="3" t="e">
        <f>_xlfn.XLOOKUP(Tableau5617192223242425262827293031333432353620383961719241822254140424344104746[[#This Row],[Num Projets]],#REF!,#REF!,"newavr",0)</f>
        <v>#REF!</v>
      </c>
      <c r="G170" s="3" t="s">
        <v>2</v>
      </c>
      <c r="H170" s="3" t="s">
        <v>312</v>
      </c>
      <c r="I17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0" s="4" t="e">
        <f>VLOOKUP(Tableau5617192223242425262827293031333432353620383961719241822254140424344104746[[#This Row],[Num Projets]],#REF!,36,FALSE)</f>
        <v>#REF!</v>
      </c>
      <c r="K170" s="5" t="s">
        <v>4</v>
      </c>
      <c r="L17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0" s="3" t="e">
        <f>SUBSTITUTE(_xlfn.XLOOKUP(Tableau5617192223242425262827293031333432353620383961719241822254140424344104746[[#This Row],[Num Projets]],#REF!,#REF!,FALSE)," ","")</f>
        <v>#REF!</v>
      </c>
      <c r="N170" s="7" t="e">
        <f>VLOOKUP(H170,#REF!,7,FALSE)</f>
        <v>#REF!</v>
      </c>
      <c r="O170" s="7" t="e">
        <f>IF(VLOOKUP(H170,#REF!,27,FALSE)=0,"",VLOOKUP(H170,#REF!,27,FALSE))</f>
        <v>#REF!</v>
      </c>
      <c r="P170" s="8" t="e">
        <f>VLOOKUP(H170,#REF!,2,FALSE)</f>
        <v>#REF!</v>
      </c>
      <c r="Q170" s="9" t="e">
        <f>Tableau5617192223242425262827293031333432353620383961719241822254140424344104746[[#This Row],[Total Budget
€]]-IFERROR(VLOOKUP(H170,#REF!,8,FALSE),0)</f>
        <v>#REF!</v>
      </c>
      <c r="R170" s="10">
        <f>AD170+AI170+Tableau5617192223242425262827293031333432353620383961719241822254140424344104746[[#This Row],[Int Commandé OT
€]]+AX170</f>
        <v>0</v>
      </c>
      <c r="S170" s="10">
        <f>AD170+AJ170+Tableau5617192223242425262827293031333432353620383961719241822254140424344104746[[#This Row],[Int Réalisé OT
€]]+AX170</f>
        <v>0</v>
      </c>
      <c r="T170" s="11" t="e">
        <f t="shared" si="38"/>
        <v>#REF!</v>
      </c>
      <c r="U17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0" s="12">
        <f>IFERROR(VLOOKUP(H170,#REF!,2,FALSE),0)</f>
        <v>0</v>
      </c>
      <c r="X170" s="13">
        <f>IFERROR(VLOOKUP(H170,#REF!,2,FALSE),0)</f>
        <v>0</v>
      </c>
      <c r="Y170" s="13">
        <f>IFERROR(VLOOKUP(H170,#REF!,3,FALSE),0)</f>
        <v>0</v>
      </c>
      <c r="Z17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</v>
      </c>
      <c r="AA170" s="13">
        <f>IFERROR(VLOOKUP(H170,#REF!,18,FALSE),0)</f>
        <v>0</v>
      </c>
      <c r="AB170" s="13">
        <f>SUM(X170:Y170)-IFERROR(VLOOKUP(H170,#REF!,16,FALSE),0)-IFERROR(VLOOKUP(H170,#REF!,17,FALSE),0)</f>
        <v>0</v>
      </c>
      <c r="AC170" s="15" t="e">
        <f>VLOOKUP(Tableau5617192223242425262827293031333432353620383961719241822254140424344104746[[#This Row],[Num Projets]],#REF!,2,FALSE)</f>
        <v>#REF!</v>
      </c>
      <c r="AD170" s="15">
        <f>IFERROR(VLOOKUP(Tableau5617192223242425262827293031333432353620383961719241822254140424344104746[[#This Row],[Num Projets]],#REF!,2,FALSE),0)</f>
        <v>0</v>
      </c>
      <c r="AE170" s="8">
        <f t="shared" si="39"/>
        <v>1195</v>
      </c>
      <c r="AF170" s="22" t="e">
        <f t="shared" si="40"/>
        <v>#REF!</v>
      </c>
      <c r="AG170" s="8">
        <f>IFERROR(VLOOKUP(H170,#REF!,3,FALSE),0)+IFERROR(VLOOKUP(H170,#REF!,3,FALSE),0)</f>
        <v>0</v>
      </c>
      <c r="AH170" s="8">
        <f>IFERROR(VLOOKUP(Tableau5617192223242425262827293031333432353620383961719241822254140424344104746[[#This Row],[Num Projets]],#REF!,2,FALSE),0)</f>
        <v>0</v>
      </c>
      <c r="AI170" s="17">
        <f>+IFERROR(VLOOKUP(H170,#REF!,2,FALSE),0)-Tableau5617192223242425262827293031333432353620383961719241822254140424344104746[[#This Row],[Int Commandé OT
€]]</f>
        <v>0</v>
      </c>
      <c r="AJ170" s="8">
        <f>IFERROR(VLOOKUP(H170,#REF!,11,FALSE),0)-IFERROR(VLOOKUP(H170,#REF!,10,FALSE),0)+Tableau5617192223242425262827293031333432353620383961719241822254140424344104746[[#This Row],[dont FNP à date (€ HT)]]</f>
        <v>0</v>
      </c>
      <c r="AK170" s="15">
        <f t="shared" si="46"/>
        <v>0</v>
      </c>
      <c r="AL17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0" s="19">
        <f>IF(Tableau5617192223242425262827293031333432353620383961719241822254140424344104746[[#This Row],[RAF Achats M-1
€]]=0,0,AN170-AO170)</f>
        <v>0</v>
      </c>
      <c r="AN170" s="8">
        <f>IFERROR(VLOOKUP(H170,#REF!,31,FALSE),0)</f>
        <v>0</v>
      </c>
      <c r="AO170" s="8">
        <f>AI170+-IFERROR(VLOOKUP(H170,#REF!,27,FALSE),0)</f>
        <v>0</v>
      </c>
      <c r="AP170" s="20">
        <f>IFERROR(VLOOKUP(Tableau5617192223242425262827293031333432353620383961719241822254140424344104746[[#This Row],[Num Projets]],#REF!,2,FALSE),0)</f>
        <v>0</v>
      </c>
      <c r="AQ170" s="20">
        <f>_xlfn.XLOOKUP(H170,[2]Synth!$N:$N,[2]Synth!$O:$O,0,FALSE)+_xlfn.XLOOKUP(Tableau5617192223242425262827293031333432353620383961719241822254140424344104746[[#This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0" s="21">
        <v>0</v>
      </c>
      <c r="AS170" s="20">
        <f>+IFERROR(VLOOKUP(H170,#REF!,36,FALSE),0)</f>
        <v>0</v>
      </c>
      <c r="AT17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0" s="22">
        <f>IF(AG170=0,0,1-((AI170+AM170+Tableau5617192223242425262827293031333432353620383961719241822254140424344104746[[#This Row],[Int Commandé OT
€]]+Tableau5617192223242425262827293031333432353620383961719241822254140424344104746[[#This Row],[RAF Int OT
€]])/AG170))</f>
        <v>0</v>
      </c>
      <c r="AV170" s="8">
        <f>IFERROR(VLOOKUP(H170,#REF!,4,FALSE),0)+IFERROR(VLOOKUP(H170,#REF!,4,FALSE),0)</f>
        <v>0</v>
      </c>
      <c r="AW170" s="8">
        <f>IFERROR(VLOOKUP(Tableau5617192223242425262827293031333432353620383961719241822254140424344104746[[#This Row],[Num Projets]],#REF!,3,FALSE),0)</f>
        <v>0</v>
      </c>
      <c r="AX170" s="95">
        <f>IFERROR(VLOOKUP(Tableau5617192223242425262827293031333432353620383961719241822254140424344104746[[#This Row],[Num Projets]],#REF!,10,FALSE),0)</f>
        <v>0</v>
      </c>
      <c r="AY170" s="23">
        <f>Tableau5617192223242425262827293031333432353620383961719241822254140424344104746[[#This Row],[Budget Mission
 €]]/1.2-AX170</f>
        <v>0</v>
      </c>
      <c r="AZ170" s="8">
        <f>IFERROR(VLOOKUP(H170,#REF!,43,FALSE),0)</f>
        <v>0</v>
      </c>
      <c r="BA170" s="8">
        <f>AX170-IFERROR(VLOOKUP(H170,#REF!,42,FALSE),0)</f>
        <v>0</v>
      </c>
      <c r="BB170" s="47">
        <f t="shared" si="47"/>
        <v>0</v>
      </c>
      <c r="BC170" s="24">
        <f>IFERROR(VLOOKUP(H170,#REF!,47,FALSE),IFERROR(VLOOKUP(H170,#REF!,5,FALSE),0)+IFERROR(VLOOKUP(H170,#REF!,5,FALSE),0))</f>
        <v>0</v>
      </c>
      <c r="BD170" s="25">
        <f>IFERROR(VLOOKUP(H170,#REF!,2,FALSE),0)</f>
        <v>0</v>
      </c>
      <c r="BE170" s="25">
        <f>IFERROR(VLOOKUP(H170,#REF!,49,FALSE),0)</f>
        <v>0</v>
      </c>
      <c r="BF170" s="50" t="e">
        <f t="shared" si="41"/>
        <v>#REF!</v>
      </c>
      <c r="BG170" s="50">
        <f t="shared" si="42"/>
        <v>0</v>
      </c>
      <c r="BH170" s="27">
        <f>AE170+ (AI170-AJ170+AM170+Tableau5617192223242425262827293031333432353620383961719241822254140424344104746[[#This Row],[Int Commandé OT
€]]-Tableau5617192223242425262827293031333432353620383961719241822254140424344104746[[#This Row],[Int Réalisé OT
€]]+AR170) +AY170+BC170</f>
        <v>1195</v>
      </c>
      <c r="BI170" s="89" t="e">
        <f>IF((BG170/(BG170+BH170))&lt;VLOOKUP(Tableau5617192223242425262827293031333432353620383961719241822254140424344104746[[#This Row],[Num Projets]],#REF!,53,FALSE),VLOOKUP(Tableau5617192223242425262827293031333432353620383961719241822254140424344104746[[#This Row],[Num Projets]],#REF!,53,FALSE),BG170/(BG170+BH170))</f>
        <v>#REF!</v>
      </c>
      <c r="BJ170" s="47" t="e">
        <f t="shared" si="43"/>
        <v>#REF!</v>
      </c>
      <c r="BK170" s="27" t="e">
        <f t="shared" si="44"/>
        <v>#REF!</v>
      </c>
      <c r="BL170" s="26" t="e">
        <f t="shared" si="45"/>
        <v>#REF!</v>
      </c>
      <c r="BM170" s="96">
        <f>IFERROR(VLOOKUP(H170,'[1]2023dec'!H:CA,54,FALSE),105)</f>
        <v>105</v>
      </c>
      <c r="BN170" s="29">
        <v>1</v>
      </c>
      <c r="BO170" s="30" t="e">
        <f>P170-AC170-AG170-AV170-Tableau5617192223242425262827293031333432353620383961719241822254140424344104746[[#This Row],[Provisions pour risques]]</f>
        <v>#REF!</v>
      </c>
      <c r="BP17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1195</v>
      </c>
      <c r="BQ170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70" s="97" t="e">
        <f t="shared" si="48"/>
        <v>#REF!</v>
      </c>
      <c r="BS170" s="34">
        <f>Tableau5617192223242425262827293031333432353620383961719241822254140424344104746[[#This Row],[Consommé global Enregistré à date (€ HT)]]-IFERROR(VLOOKUP(H170,#REF!,50,FALSE),0)</f>
        <v>0</v>
      </c>
      <c r="BT170" s="35" t="e">
        <f t="shared" si="49"/>
        <v>#REF!</v>
      </c>
      <c r="BU170" s="36">
        <f>BD170-IFERROR(VLOOKUP(H170,#REF!,47,FALSE),0)</f>
        <v>0</v>
      </c>
      <c r="BV170" s="37" t="e">
        <f>+BF170+Tableau5617192223242425262827293031333432353620383961719241822254140424344104746[[#This Row],[CA fin N-1]]-IFERROR(VLOOKUP(H170,#REF!,49,FALSE),0)-IFERROR(VLOOKUP(H170,#REF!,50,FALSE),0)</f>
        <v>#REF!</v>
      </c>
      <c r="BW170" s="33">
        <f>BG170-IFERROR(VLOOKUP(H170,#REF!,51,FALSE),0)</f>
        <v>0</v>
      </c>
      <c r="BX170" s="35" t="e">
        <f t="shared" si="50"/>
        <v>#REF!</v>
      </c>
      <c r="BY170" s="36">
        <f>BD170-IFERROR(VLOOKUP(H170,#REF!,48,FALSE),0)</f>
        <v>0</v>
      </c>
      <c r="BZ17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0" s="39" t="e">
        <f>VLOOKUP(Tableau5617192223242425262827293031333432353620383961719241822254140424344104746[[#This Row],[Num Projets]],#REF!,1,FALSE)</f>
        <v>#REF!</v>
      </c>
      <c r="CB170" s="40">
        <v>21</v>
      </c>
      <c r="CC170" s="40">
        <v>4</v>
      </c>
      <c r="CD17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</v>
      </c>
    </row>
    <row r="171" spans="1:82" ht="17.25" customHeight="1" x14ac:dyDescent="0.25">
      <c r="A171" s="311"/>
      <c r="B171" s="1"/>
      <c r="C171" s="2" t="e">
        <f>_xlfn.XLOOKUP(Tableau5617192223242425262827293031333432353620383961719241822254140424344104746[[#This Row],[Num Projets]],#REF!,#REF!,FALSE)</f>
        <v>#REF!</v>
      </c>
      <c r="D171" s="3" t="s">
        <v>6</v>
      </c>
      <c r="E171" s="3" t="e">
        <f>_xlfn.XLOOKUP(Tableau5617192223242425262827293031333432353620383961719241822254140424344104746[[#This Row],[Num Projets]],#REF!,#REF!,FALSE)</f>
        <v>#REF!</v>
      </c>
      <c r="F171" s="3" t="e">
        <f>_xlfn.XLOOKUP(Tableau5617192223242425262827293031333432353620383961719241822254140424344104746[[#This Row],[Num Projets]],#REF!,#REF!,"newavr",0)</f>
        <v>#REF!</v>
      </c>
      <c r="G171" s="3" t="s">
        <v>2</v>
      </c>
      <c r="H171" s="3" t="s">
        <v>313</v>
      </c>
      <c r="I17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1" s="4" t="e">
        <f>VLOOKUP(Tableau5617192223242425262827293031333432353620383961719241822254140424344104746[[#This Row],[Num Projets]],#REF!,36,FALSE)</f>
        <v>#REF!</v>
      </c>
      <c r="K171" s="5" t="s">
        <v>9</v>
      </c>
      <c r="L17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1" s="3" t="e">
        <f>SUBSTITUTE(_xlfn.XLOOKUP(Tableau5617192223242425262827293031333432353620383961719241822254140424344104746[[#This Row],[Num Projets]],#REF!,#REF!,FALSE)," ","")</f>
        <v>#REF!</v>
      </c>
      <c r="N171" s="7" t="e">
        <f>VLOOKUP(H171,#REF!,7,FALSE)</f>
        <v>#REF!</v>
      </c>
      <c r="O171" s="7" t="e">
        <f>IF(VLOOKUP(H171,#REF!,27,FALSE)=0,"",VLOOKUP(H171,#REF!,27,FALSE))</f>
        <v>#REF!</v>
      </c>
      <c r="P171" s="8" t="e">
        <f>VLOOKUP(H171,#REF!,2,FALSE)</f>
        <v>#REF!</v>
      </c>
      <c r="Q171" s="9" t="e">
        <f>Tableau5617192223242425262827293031333432353620383961719241822254140424344104746[[#This Row],[Total Budget
€]]-IFERROR(VLOOKUP(H171,#REF!,8,FALSE),0)</f>
        <v>#REF!</v>
      </c>
      <c r="R171" s="10">
        <f>AD171+AI171+Tableau5617192223242425262827293031333432353620383961719241822254140424344104746[[#This Row],[Int Commandé OT
€]]+AX171</f>
        <v>0</v>
      </c>
      <c r="S171" s="10">
        <f>AD171+AJ171+Tableau5617192223242425262827293031333432353620383961719241822254140424344104746[[#This Row],[Int Réalisé OT
€]]+AX171</f>
        <v>0</v>
      </c>
      <c r="T171" s="11" t="e">
        <f t="shared" si="38"/>
        <v>#REF!</v>
      </c>
      <c r="U17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1" s="12">
        <f>IFERROR(VLOOKUP(H171,#REF!,2,FALSE),0)</f>
        <v>0</v>
      </c>
      <c r="X171" s="13">
        <f>IFERROR(VLOOKUP(H171,#REF!,2,FALSE),0)</f>
        <v>0</v>
      </c>
      <c r="Y171" s="13">
        <f>IFERROR(VLOOKUP(H171,#REF!,3,FALSE),0)</f>
        <v>0</v>
      </c>
      <c r="Z17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</v>
      </c>
      <c r="AA171" s="13">
        <f>IFERROR(VLOOKUP(H171,#REF!,18,FALSE),0)</f>
        <v>0</v>
      </c>
      <c r="AB171" s="13">
        <f>SUM(X171:Y171)-IFERROR(VLOOKUP(H171,#REF!,16,FALSE),0)-IFERROR(VLOOKUP(H171,#REF!,17,FALSE),0)</f>
        <v>0</v>
      </c>
      <c r="AC171" s="15" t="e">
        <f>VLOOKUP(Tableau5617192223242425262827293031333432353620383961719241822254140424344104746[[#This Row],[Num Projets]],#REF!,2,FALSE)</f>
        <v>#REF!</v>
      </c>
      <c r="AD171" s="15">
        <f>IFERROR(VLOOKUP(Tableau5617192223242425262827293031333432353620383961719241822254140424344104746[[#This Row],[Num Projets]],#REF!,2,FALSE),0)</f>
        <v>0</v>
      </c>
      <c r="AE171" s="8">
        <f t="shared" si="39"/>
        <v>286.79999999999995</v>
      </c>
      <c r="AF171" s="22" t="e">
        <f t="shared" si="40"/>
        <v>#REF!</v>
      </c>
      <c r="AG171" s="8">
        <f>IFERROR(VLOOKUP(H171,#REF!,3,FALSE),0)+IFERROR(VLOOKUP(H171,#REF!,3,FALSE),0)</f>
        <v>0</v>
      </c>
      <c r="AH171" s="8">
        <f>IFERROR(VLOOKUP(Tableau5617192223242425262827293031333432353620383961719241822254140424344104746[[#This Row],[Num Projets]],#REF!,2,FALSE),0)</f>
        <v>0</v>
      </c>
      <c r="AI171" s="17">
        <f>+IFERROR(VLOOKUP(H171,#REF!,2,FALSE),0)-Tableau5617192223242425262827293031333432353620383961719241822254140424344104746[[#This Row],[Int Commandé OT
€]]</f>
        <v>0</v>
      </c>
      <c r="AJ171" s="8">
        <f>IFERROR(VLOOKUP(H171,#REF!,11,FALSE),0)-IFERROR(VLOOKUP(H171,#REF!,10,FALSE),0)+Tableau5617192223242425262827293031333432353620383961719241822254140424344104746[[#This Row],[dont FNP à date (€ HT)]]</f>
        <v>0</v>
      </c>
      <c r="AK171" s="15">
        <f t="shared" si="46"/>
        <v>0</v>
      </c>
      <c r="AL17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1" s="19">
        <f>IF(Tableau5617192223242425262827293031333432353620383961719241822254140424344104746[[#This Row],[RAF Achats M-1
€]]=0,0,AN171-AO171)</f>
        <v>0</v>
      </c>
      <c r="AN171" s="8">
        <f>IFERROR(VLOOKUP(H171,#REF!,31,FALSE),0)</f>
        <v>0</v>
      </c>
      <c r="AO171" s="8">
        <f>AI171+-IFERROR(VLOOKUP(H171,#REF!,27,FALSE),0)</f>
        <v>0</v>
      </c>
      <c r="AP171" s="20">
        <f>IFERROR(VLOOKUP(Tableau5617192223242425262827293031333432353620383961719241822254140424344104746[[#This Row],[Num Projets]],#REF!,2,FALSE),0)</f>
        <v>0</v>
      </c>
      <c r="AQ171" s="20">
        <f>_xlfn.XLOOKUP(H171,[2]Synth!$N:$N,[2]Synth!$O:$O,0,FALSE)+_xlfn.XLOOKUP(Tableau5617192223242425262827293031333432353620383961719241822254140424344104746[[#This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1" s="21">
        <v>0</v>
      </c>
      <c r="AS171" s="20">
        <f>+IFERROR(VLOOKUP(H171,#REF!,36,FALSE),0)</f>
        <v>0</v>
      </c>
      <c r="AT17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1" s="22">
        <f>IF(AG171=0,0,1-((AI171+AM171+Tableau5617192223242425262827293031333432353620383961719241822254140424344104746[[#This Row],[Int Commandé OT
€]]+Tableau5617192223242425262827293031333432353620383961719241822254140424344104746[[#This Row],[RAF Int OT
€]])/AG171))</f>
        <v>0</v>
      </c>
      <c r="AV171" s="8">
        <f>IFERROR(VLOOKUP(H171,#REF!,4,FALSE),0)+IFERROR(VLOOKUP(H171,#REF!,4,FALSE),0)</f>
        <v>0</v>
      </c>
      <c r="AW171" s="8">
        <f>IFERROR(VLOOKUP(Tableau5617192223242425262827293031333432353620383961719241822254140424344104746[[#This Row],[Num Projets]],#REF!,3,FALSE),0)</f>
        <v>0</v>
      </c>
      <c r="AX171" s="95">
        <f>IFERROR(VLOOKUP(Tableau5617192223242425262827293031333432353620383961719241822254140424344104746[[#This Row],[Num Projets]],#REF!,10,FALSE),0)</f>
        <v>0</v>
      </c>
      <c r="AY171" s="23">
        <f>Tableau5617192223242425262827293031333432353620383961719241822254140424344104746[[#This Row],[Budget Mission
 €]]/1.2-AX171</f>
        <v>0</v>
      </c>
      <c r="AZ171" s="8">
        <f>IFERROR(VLOOKUP(H171,#REF!,43,FALSE),0)</f>
        <v>0</v>
      </c>
      <c r="BA171" s="8">
        <f>AX171-IFERROR(VLOOKUP(H171,#REF!,42,FALSE),0)</f>
        <v>0</v>
      </c>
      <c r="BB171" s="47">
        <f t="shared" si="47"/>
        <v>0</v>
      </c>
      <c r="BC171" s="24">
        <f>IFERROR(VLOOKUP(H171,#REF!,47,FALSE),IFERROR(VLOOKUP(H171,#REF!,5,FALSE),0)+IFERROR(VLOOKUP(H171,#REF!,5,FALSE),0))</f>
        <v>0</v>
      </c>
      <c r="BD171" s="25">
        <f>IFERROR(VLOOKUP(H171,#REF!,2,FALSE),0)</f>
        <v>0</v>
      </c>
      <c r="BE171" s="25">
        <f>IFERROR(VLOOKUP(H171,#REF!,49,FALSE),0)</f>
        <v>0</v>
      </c>
      <c r="BF171" s="50" t="e">
        <f t="shared" si="41"/>
        <v>#REF!</v>
      </c>
      <c r="BG171" s="50">
        <f t="shared" si="42"/>
        <v>0</v>
      </c>
      <c r="BH171" s="27">
        <f>AE171+ (AI171-AJ171+AM171+Tableau5617192223242425262827293031333432353620383961719241822254140424344104746[[#This Row],[Int Commandé OT
€]]-Tableau5617192223242425262827293031333432353620383961719241822254140424344104746[[#This Row],[Int Réalisé OT
€]]+AR171) +AY171+BC171</f>
        <v>286.79999999999995</v>
      </c>
      <c r="BI171" s="47">
        <f t="shared" si="51"/>
        <v>0</v>
      </c>
      <c r="BJ171" s="47" t="e">
        <f t="shared" si="43"/>
        <v>#REF!</v>
      </c>
      <c r="BK171" s="27" t="e">
        <f t="shared" si="44"/>
        <v>#REF!</v>
      </c>
      <c r="BL171" s="26" t="e">
        <f t="shared" si="45"/>
        <v>#REF!</v>
      </c>
      <c r="BM171" s="96">
        <f>IFERROR(VLOOKUP(H171,'[1]2023dec'!H:CA,54,FALSE),105)</f>
        <v>105</v>
      </c>
      <c r="BN171" s="29">
        <v>1</v>
      </c>
      <c r="BO171" s="30" t="e">
        <f>P171-AC171-AG171-AV171-Tableau5617192223242425262827293031333432353620383961719241822254140424344104746[[#This Row],[Provisions pour risques]]</f>
        <v>#REF!</v>
      </c>
      <c r="BP17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286.79999999999995</v>
      </c>
      <c r="BQ17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1" s="97" t="e">
        <f t="shared" si="48"/>
        <v>#REF!</v>
      </c>
      <c r="BS171" s="34">
        <f>Tableau5617192223242425262827293031333432353620383961719241822254140424344104746[[#This Row],[Consommé global Enregistré à date (€ HT)]]-IFERROR(VLOOKUP(H171,#REF!,50,FALSE),0)</f>
        <v>0</v>
      </c>
      <c r="BT171" s="35" t="e">
        <f t="shared" si="49"/>
        <v>#REF!</v>
      </c>
      <c r="BU171" s="36">
        <f>BD171-IFERROR(VLOOKUP(H171,#REF!,47,FALSE),0)</f>
        <v>0</v>
      </c>
      <c r="BV171" s="37" t="e">
        <f>+BF171+Tableau5617192223242425262827293031333432353620383961719241822254140424344104746[[#This Row],[CA fin N-1]]-IFERROR(VLOOKUP(H171,#REF!,49,FALSE),0)-IFERROR(VLOOKUP(H171,#REF!,50,FALSE),0)</f>
        <v>#REF!</v>
      </c>
      <c r="BW171" s="33">
        <f>BG171-IFERROR(VLOOKUP(H171,#REF!,51,FALSE),0)</f>
        <v>0</v>
      </c>
      <c r="BX171" s="35" t="e">
        <f t="shared" si="50"/>
        <v>#REF!</v>
      </c>
      <c r="BY171" s="36">
        <f>BD171-IFERROR(VLOOKUP(H171,#REF!,48,FALSE),0)</f>
        <v>0</v>
      </c>
      <c r="BZ17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1" s="39" t="e">
        <f>VLOOKUP(Tableau5617192223242425262827293031333432353620383961719241822254140424344104746[[#This Row],[Num Projets]],#REF!,1,FALSE)</f>
        <v>#REF!</v>
      </c>
      <c r="CB171" s="40">
        <v>6</v>
      </c>
      <c r="CC171" s="40">
        <v>0</v>
      </c>
      <c r="CD17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</v>
      </c>
    </row>
    <row r="172" spans="1:82" ht="17.25" customHeight="1" x14ac:dyDescent="0.25">
      <c r="A172" s="313"/>
      <c r="B172" s="1"/>
      <c r="C172" s="2" t="e">
        <f>_xlfn.XLOOKUP(Tableau5617192223242425262827293031333432353620383961719241822254140424344104746[[#This Row],[Num Projets]],#REF!,#REF!,FALSE)</f>
        <v>#REF!</v>
      </c>
      <c r="D172" s="3" t="s">
        <v>6</v>
      </c>
      <c r="E172" s="3" t="e">
        <f>_xlfn.XLOOKUP(Tableau5617192223242425262827293031333432353620383961719241822254140424344104746[[#This Row],[Num Projets]],#REF!,#REF!,FALSE)</f>
        <v>#REF!</v>
      </c>
      <c r="F172" s="3" t="e">
        <f>_xlfn.XLOOKUP(Tableau5617192223242425262827293031333432353620383961719241822254140424344104746[[#This Row],[Num Projets]],#REF!,#REF!,"newavr",0)</f>
        <v>#REF!</v>
      </c>
      <c r="G172" s="3" t="s">
        <v>219</v>
      </c>
      <c r="H172" s="3" t="s">
        <v>314</v>
      </c>
      <c r="I17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2" s="4" t="e">
        <f>VLOOKUP(Tableau5617192223242425262827293031333432353620383961719241822254140424344104746[[#This Row],[Num Projets]],#REF!,36,FALSE)</f>
        <v>#REF!</v>
      </c>
      <c r="K172" s="5" t="s">
        <v>9</v>
      </c>
      <c r="L17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2" s="3" t="e">
        <f>SUBSTITUTE(_xlfn.XLOOKUP(Tableau5617192223242425262827293031333432353620383961719241822254140424344104746[[#This Row],[Num Projets]],#REF!,#REF!,FALSE)," ","")</f>
        <v>#REF!</v>
      </c>
      <c r="N172" s="7" t="e">
        <f>VLOOKUP(H172,#REF!,7,FALSE)</f>
        <v>#REF!</v>
      </c>
      <c r="O172" s="7" t="e">
        <f>IF(VLOOKUP(H172,#REF!,27,FALSE)=0,"",VLOOKUP(H172,#REF!,27,FALSE))</f>
        <v>#REF!</v>
      </c>
      <c r="P172" s="8" t="e">
        <f>VLOOKUP(H172,#REF!,2,FALSE)</f>
        <v>#REF!</v>
      </c>
      <c r="Q172" s="9" t="e">
        <f>Tableau5617192223242425262827293031333432353620383961719241822254140424344104746[[#This Row],[Total Budget
€]]-IFERROR(VLOOKUP(H172,#REF!,8,FALSE),0)</f>
        <v>#REF!</v>
      </c>
      <c r="R172" s="10">
        <f>AD172+AI172+Tableau5617192223242425262827293031333432353620383961719241822254140424344104746[[#This Row],[Int Commandé OT
€]]+AX172</f>
        <v>0</v>
      </c>
      <c r="S172" s="10">
        <f>AD172+AJ172+Tableau5617192223242425262827293031333432353620383961719241822254140424344104746[[#This Row],[Int Réalisé OT
€]]+AX172</f>
        <v>0</v>
      </c>
      <c r="T172" s="11" t="e">
        <f t="shared" si="38"/>
        <v>#REF!</v>
      </c>
      <c r="U17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2" s="12">
        <f>IFERROR(VLOOKUP(H172,#REF!,2,FALSE),0)</f>
        <v>0</v>
      </c>
      <c r="X172" s="13">
        <f>IFERROR(VLOOKUP(H172,#REF!,2,FALSE),0)</f>
        <v>0</v>
      </c>
      <c r="Y172" s="13">
        <f>IFERROR(VLOOKUP(H172,#REF!,3,FALSE),0)</f>
        <v>0</v>
      </c>
      <c r="Z17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64.5</v>
      </c>
      <c r="AA172" s="13">
        <f>IFERROR(VLOOKUP(H172,#REF!,18,FALSE),0)</f>
        <v>0</v>
      </c>
      <c r="AB172" s="13">
        <f>SUM(X172:Y172)-IFERROR(VLOOKUP(H172,#REF!,16,FALSE),0)-IFERROR(VLOOKUP(H172,#REF!,17,FALSE),0)</f>
        <v>0</v>
      </c>
      <c r="AC172" s="15" t="e">
        <f>VLOOKUP(Tableau5617192223242425262827293031333432353620383961719241822254140424344104746[[#This Row],[Num Projets]],#REF!,2,FALSE)</f>
        <v>#REF!</v>
      </c>
      <c r="AD172" s="15">
        <f>IFERROR(VLOOKUP(Tableau5617192223242425262827293031333432353620383961719241822254140424344104746[[#This Row],[Num Projets]],#REF!,2,FALSE),0)</f>
        <v>0</v>
      </c>
      <c r="AE172" s="8">
        <f t="shared" si="39"/>
        <v>3083.1</v>
      </c>
      <c r="AF172" s="22" t="e">
        <f t="shared" si="40"/>
        <v>#REF!</v>
      </c>
      <c r="AG172" s="8">
        <f>IFERROR(VLOOKUP(H172,#REF!,3,FALSE),0)+IFERROR(VLOOKUP(H172,#REF!,3,FALSE),0)</f>
        <v>0</v>
      </c>
      <c r="AH172" s="8">
        <f>IFERROR(VLOOKUP(Tableau5617192223242425262827293031333432353620383961719241822254140424344104746[[#This Row],[Num Projets]],#REF!,2,FALSE),0)</f>
        <v>0</v>
      </c>
      <c r="AI172" s="17">
        <f>+IFERROR(VLOOKUP(H172,#REF!,2,FALSE),0)-Tableau5617192223242425262827293031333432353620383961719241822254140424344104746[[#This Row],[Int Commandé OT
€]]</f>
        <v>0</v>
      </c>
      <c r="AJ172" s="8">
        <f>IFERROR(VLOOKUP(H172,#REF!,11,FALSE),0)-IFERROR(VLOOKUP(H172,#REF!,10,FALSE),0)+Tableau5617192223242425262827293031333432353620383961719241822254140424344104746[[#This Row],[dont FNP à date (€ HT)]]</f>
        <v>0</v>
      </c>
      <c r="AK172" s="15">
        <f t="shared" si="46"/>
        <v>0</v>
      </c>
      <c r="AL17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2" s="19">
        <f>IF(Tableau5617192223242425262827293031333432353620383961719241822254140424344104746[[#This Row],[RAF Achats M-1
€]]=0,0,AN172-AO172)</f>
        <v>0</v>
      </c>
      <c r="AN172" s="8">
        <f>IFERROR(VLOOKUP(H172,#REF!,31,FALSE),0)</f>
        <v>0</v>
      </c>
      <c r="AO172" s="8">
        <f>AI172+-IFERROR(VLOOKUP(H172,#REF!,27,FALSE),0)</f>
        <v>0</v>
      </c>
      <c r="AP172" s="20">
        <f>IFERROR(VLOOKUP(Tableau5617192223242425262827293031333432353620383961719241822254140424344104746[[#This Row],[Num Projets]],#REF!,2,FALSE),0)</f>
        <v>0</v>
      </c>
      <c r="AQ172" s="20">
        <f>_xlfn.XLOOKUP(H172,[2]Synth!$N:$N,[2]Synth!$O:$O,0,FALSE)+_xlfn.XLOOKUP(Tableau5617192223242425262827293031333432353620383961719241822254140424344104746[[#This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2" s="21">
        <v>0</v>
      </c>
      <c r="AS172" s="20">
        <f>+IFERROR(VLOOKUP(H172,#REF!,36,FALSE),0)</f>
        <v>0</v>
      </c>
      <c r="AT17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2" s="22">
        <f>IF(AG172=0,0,1-((AI172+AM172+Tableau5617192223242425262827293031333432353620383961719241822254140424344104746[[#This Row],[Int Commandé OT
€]]+Tableau5617192223242425262827293031333432353620383961719241822254140424344104746[[#This Row],[RAF Int OT
€]])/AG172))</f>
        <v>0</v>
      </c>
      <c r="AV172" s="8">
        <f>IFERROR(VLOOKUP(H172,#REF!,4,FALSE),0)+IFERROR(VLOOKUP(H172,#REF!,4,FALSE),0)</f>
        <v>0</v>
      </c>
      <c r="AW172" s="8">
        <f>IFERROR(VLOOKUP(Tableau5617192223242425262827293031333432353620383961719241822254140424344104746[[#This Row],[Num Projets]],#REF!,3,FALSE),0)</f>
        <v>0</v>
      </c>
      <c r="AX172" s="95">
        <f>IFERROR(VLOOKUP(Tableau5617192223242425262827293031333432353620383961719241822254140424344104746[[#This Row],[Num Projets]],#REF!,10,FALSE),0)</f>
        <v>0</v>
      </c>
      <c r="AY172" s="23">
        <f>Tableau5617192223242425262827293031333432353620383961719241822254140424344104746[[#This Row],[Budget Mission
 €]]/1.2-AX172</f>
        <v>0</v>
      </c>
      <c r="AZ172" s="8">
        <f>IFERROR(VLOOKUP(H172,#REF!,43,FALSE),0)</f>
        <v>0</v>
      </c>
      <c r="BA172" s="8">
        <f>AX172-IFERROR(VLOOKUP(H172,#REF!,42,FALSE),0)</f>
        <v>0</v>
      </c>
      <c r="BB172" s="47">
        <f t="shared" si="47"/>
        <v>0</v>
      </c>
      <c r="BC172" s="24">
        <f>IFERROR(VLOOKUP(H172,#REF!,47,FALSE),IFERROR(VLOOKUP(H172,#REF!,5,FALSE),0)+IFERROR(VLOOKUP(H172,#REF!,5,FALSE),0))</f>
        <v>0</v>
      </c>
      <c r="BD172" s="25">
        <f>IFERROR(VLOOKUP(H172,#REF!,2,FALSE),0)</f>
        <v>0</v>
      </c>
      <c r="BE172" s="25">
        <f>IFERROR(VLOOKUP(H172,#REF!,49,FALSE),0)</f>
        <v>0</v>
      </c>
      <c r="BF172" s="50" t="e">
        <f t="shared" si="41"/>
        <v>#REF!</v>
      </c>
      <c r="BG172" s="50">
        <f t="shared" si="42"/>
        <v>0</v>
      </c>
      <c r="BH172" s="27">
        <f>AE172+ (AI172-AJ172+AM172+Tableau5617192223242425262827293031333432353620383961719241822254140424344104746[[#This Row],[Int Commandé OT
€]]-Tableau5617192223242425262827293031333432353620383961719241822254140424344104746[[#This Row],[Int Réalisé OT
€]]+AR172) +AY172+BC172</f>
        <v>3083.1</v>
      </c>
      <c r="BI172" s="47">
        <f t="shared" si="51"/>
        <v>0</v>
      </c>
      <c r="BJ172" s="47" t="e">
        <f t="shared" si="43"/>
        <v>#REF!</v>
      </c>
      <c r="BK172" s="27" t="e">
        <f t="shared" si="44"/>
        <v>#REF!</v>
      </c>
      <c r="BL172" s="26" t="e">
        <f t="shared" si="45"/>
        <v>#REF!</v>
      </c>
      <c r="BM172" s="96">
        <f>IFERROR(VLOOKUP(H172,'[1]2023dec'!H:CA,54,FALSE),105)</f>
        <v>105</v>
      </c>
      <c r="BN172" s="29">
        <v>1</v>
      </c>
      <c r="BO172" s="30" t="e">
        <f>P172-AC172-AG172-AV172-Tableau5617192223242425262827293031333432353620383961719241822254140424344104746[[#This Row],[Provisions pour risques]]</f>
        <v>#REF!</v>
      </c>
      <c r="BP17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3083.1</v>
      </c>
      <c r="BQ17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2" s="97" t="e">
        <f t="shared" si="48"/>
        <v>#REF!</v>
      </c>
      <c r="BS172" s="34">
        <f>Tableau5617192223242425262827293031333432353620383961719241822254140424344104746[[#This Row],[Consommé global Enregistré à date (€ HT)]]-IFERROR(VLOOKUP(H172,#REF!,50,FALSE),0)</f>
        <v>0</v>
      </c>
      <c r="BT172" s="35" t="e">
        <f t="shared" si="49"/>
        <v>#REF!</v>
      </c>
      <c r="BU172" s="36">
        <f>BD172-IFERROR(VLOOKUP(H172,#REF!,47,FALSE),0)</f>
        <v>0</v>
      </c>
      <c r="BV172" s="37" t="e">
        <f>+BF172+Tableau5617192223242425262827293031333432353620383961719241822254140424344104746[[#This Row],[CA fin N-1]]-IFERROR(VLOOKUP(H172,#REF!,49,FALSE),0)-IFERROR(VLOOKUP(H172,#REF!,50,FALSE),0)</f>
        <v>#REF!</v>
      </c>
      <c r="BW172" s="33">
        <f>BG172-IFERROR(VLOOKUP(H172,#REF!,51,FALSE),0)</f>
        <v>0</v>
      </c>
      <c r="BX172" s="35" t="e">
        <f t="shared" si="50"/>
        <v>#REF!</v>
      </c>
      <c r="BY172" s="36">
        <f>BD172-IFERROR(VLOOKUP(H172,#REF!,48,FALSE),0)</f>
        <v>0</v>
      </c>
      <c r="BZ17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2" s="39" t="e">
        <f>VLOOKUP(Tableau5617192223242425262827293031333432353620383961719241822254140424344104746[[#This Row],[Num Projets]],#REF!,1,FALSE)</f>
        <v>#REF!</v>
      </c>
      <c r="CB172" s="40">
        <v>21</v>
      </c>
      <c r="CC172" s="40">
        <v>43.5</v>
      </c>
      <c r="CD17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</v>
      </c>
    </row>
    <row r="173" spans="1:82" ht="17.25" customHeight="1" x14ac:dyDescent="0.25">
      <c r="A173" s="313"/>
      <c r="B173" s="1"/>
      <c r="C173" s="2" t="e">
        <f>_xlfn.XLOOKUP(Tableau5617192223242425262827293031333432353620383961719241822254140424344104746[[#This Row],[Num Projets]],#REF!,#REF!,FALSE)</f>
        <v>#REF!</v>
      </c>
      <c r="D173" s="3" t="s">
        <v>6</v>
      </c>
      <c r="E173" s="3" t="e">
        <f>_xlfn.XLOOKUP(Tableau5617192223242425262827293031333432353620383961719241822254140424344104746[[#This Row],[Num Projets]],#REF!,#REF!,FALSE)</f>
        <v>#REF!</v>
      </c>
      <c r="F173" s="3" t="s">
        <v>52</v>
      </c>
      <c r="G173" s="3" t="s">
        <v>2</v>
      </c>
      <c r="H173" s="3" t="s">
        <v>315</v>
      </c>
      <c r="I17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3" s="4" t="e">
        <f>VLOOKUP(Tableau5617192223242425262827293031333432353620383961719241822254140424344104746[[#This Row],[Num Projets]],#REF!,36,FALSE)</f>
        <v>#REF!</v>
      </c>
      <c r="K173" s="5" t="s">
        <v>9</v>
      </c>
      <c r="L17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3" s="3" t="e">
        <f>SUBSTITUTE(_xlfn.XLOOKUP(Tableau5617192223242425262827293031333432353620383961719241822254140424344104746[[#This Row],[Num Projets]],#REF!,#REF!,FALSE)," ","")</f>
        <v>#REF!</v>
      </c>
      <c r="N173" s="7" t="e">
        <f>VLOOKUP(H173,#REF!,7,FALSE)</f>
        <v>#REF!</v>
      </c>
      <c r="O173" s="7">
        <v>45747</v>
      </c>
      <c r="P173" s="8" t="e">
        <f>VLOOKUP(H173,#REF!,2,FALSE)</f>
        <v>#REF!</v>
      </c>
      <c r="Q173" s="9" t="e">
        <f>Tableau5617192223242425262827293031333432353620383961719241822254140424344104746[[#This Row],[Total Budget
€]]-IFERROR(VLOOKUP(H173,#REF!,8,FALSE),0)</f>
        <v>#REF!</v>
      </c>
      <c r="R173" s="10">
        <f>AD173+AI173+Tableau5617192223242425262827293031333432353620383961719241822254140424344104746[[#This Row],[Int Commandé OT
€]]+AX173</f>
        <v>0</v>
      </c>
      <c r="S173" s="10">
        <f>AD173+AJ173+Tableau5617192223242425262827293031333432353620383961719241822254140424344104746[[#This Row],[Int Réalisé OT
€]]+AX173</f>
        <v>0</v>
      </c>
      <c r="T173" s="11" t="e">
        <f t="shared" si="38"/>
        <v>#REF!</v>
      </c>
      <c r="U17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3" s="12">
        <f>IFERROR(VLOOKUP(H173,#REF!,2,FALSE),0)</f>
        <v>0</v>
      </c>
      <c r="X173" s="13">
        <f>IFERROR(VLOOKUP(H173,#REF!,2,FALSE),0)</f>
        <v>0</v>
      </c>
      <c r="Y173" s="13">
        <f>IFERROR(VLOOKUP(H173,#REF!,3,FALSE),0)</f>
        <v>0</v>
      </c>
      <c r="Z17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23</v>
      </c>
      <c r="AA173" s="13">
        <f>IFERROR(VLOOKUP(H173,#REF!,18,FALSE),0)</f>
        <v>0</v>
      </c>
      <c r="AB173" s="13">
        <f>SUM(X173:Y173)-IFERROR(VLOOKUP(H173,#REF!,16,FALSE),0)-IFERROR(VLOOKUP(H173,#REF!,17,FALSE),0)</f>
        <v>0</v>
      </c>
      <c r="AC173" s="15" t="e">
        <f>VLOOKUP(Tableau5617192223242425262827293031333432353620383961719241822254140424344104746[[#This Row],[Num Projets]],#REF!,2,FALSE)</f>
        <v>#REF!</v>
      </c>
      <c r="AD173" s="15">
        <f>IFERROR(VLOOKUP(Tableau5617192223242425262827293031333432353620383961719241822254140424344104746[[#This Row],[Num Projets]],#REF!,2,FALSE),0)</f>
        <v>0</v>
      </c>
      <c r="AE173" s="8">
        <f t="shared" si="39"/>
        <v>1099.3999999999999</v>
      </c>
      <c r="AF173" s="22" t="e">
        <f t="shared" si="40"/>
        <v>#REF!</v>
      </c>
      <c r="AG173" s="8">
        <f>IFERROR(VLOOKUP(H173,#REF!,3,FALSE),0)+IFERROR(VLOOKUP(H173,#REF!,3,FALSE),0)</f>
        <v>0</v>
      </c>
      <c r="AH173" s="8">
        <f>IFERROR(VLOOKUP(Tableau5617192223242425262827293031333432353620383961719241822254140424344104746[[#This Row],[Num Projets]],#REF!,2,FALSE),0)</f>
        <v>0</v>
      </c>
      <c r="AI173" s="17">
        <f>+IFERROR(VLOOKUP(H173,#REF!,2,FALSE),0)-Tableau5617192223242425262827293031333432353620383961719241822254140424344104746[[#This Row],[Int Commandé OT
€]]</f>
        <v>0</v>
      </c>
      <c r="AJ173" s="8">
        <f>IFERROR(VLOOKUP(H173,#REF!,11,FALSE),0)-IFERROR(VLOOKUP(H173,#REF!,10,FALSE),0)+Tableau5617192223242425262827293031333432353620383961719241822254140424344104746[[#This Row],[dont FNP à date (€ HT)]]</f>
        <v>0</v>
      </c>
      <c r="AK173" s="15">
        <f t="shared" si="46"/>
        <v>0</v>
      </c>
      <c r="AL17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3" s="19">
        <f>IF(Tableau5617192223242425262827293031333432353620383961719241822254140424344104746[[#This Row],[RAF Achats M-1
€]]=0,0,AN173-AO173)</f>
        <v>0</v>
      </c>
      <c r="AN173" s="8">
        <f>IFERROR(VLOOKUP(H173,#REF!,31,FALSE),0)</f>
        <v>0</v>
      </c>
      <c r="AO173" s="8">
        <f>AI173+-IFERROR(VLOOKUP(H173,#REF!,27,FALSE),0)</f>
        <v>0</v>
      </c>
      <c r="AP173" s="20">
        <f>IFERROR(VLOOKUP(Tableau5617192223242425262827293031333432353620383961719241822254140424344104746[[#This Row],[Num Projets]],#REF!,2,FALSE),0)</f>
        <v>0</v>
      </c>
      <c r="AQ173" s="20">
        <f>_xlfn.XLOOKUP(H173,[2]Synth!$N:$N,[2]Synth!$O:$O,0,FALSE)+_xlfn.XLOOKUP(Tableau5617192223242425262827293031333432353620383961719241822254140424344104746[[#This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3" s="21">
        <v>0</v>
      </c>
      <c r="AS173" s="20">
        <f>+IFERROR(VLOOKUP(H173,#REF!,36,FALSE),0)</f>
        <v>0</v>
      </c>
      <c r="AT17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3" s="22">
        <f>IF(AG173=0,0,1-((AI173+AM173+Tableau5617192223242425262827293031333432353620383961719241822254140424344104746[[#This Row],[Int Commandé OT
€]]+Tableau5617192223242425262827293031333432353620383961719241822254140424344104746[[#This Row],[RAF Int OT
€]])/AG173))</f>
        <v>0</v>
      </c>
      <c r="AV173" s="8">
        <f>IFERROR(VLOOKUP(H173,#REF!,4,FALSE),0)+IFERROR(VLOOKUP(H173,#REF!,4,FALSE),0)</f>
        <v>0</v>
      </c>
      <c r="AW173" s="8">
        <f>IFERROR(VLOOKUP(Tableau5617192223242425262827293031333432353620383961719241822254140424344104746[[#This Row],[Num Projets]],#REF!,3,FALSE),0)</f>
        <v>0</v>
      </c>
      <c r="AX173" s="95">
        <f>IFERROR(VLOOKUP(Tableau5617192223242425262827293031333432353620383961719241822254140424344104746[[#This Row],[Num Projets]],#REF!,10,FALSE),0)</f>
        <v>0</v>
      </c>
      <c r="AY173" s="23">
        <f>Tableau5617192223242425262827293031333432353620383961719241822254140424344104746[[#This Row],[Budget Mission
 €]]/1.2-AX173</f>
        <v>0</v>
      </c>
      <c r="AZ173" s="8">
        <f>IFERROR(VLOOKUP(H173,#REF!,43,FALSE),0)</f>
        <v>0</v>
      </c>
      <c r="BA173" s="8">
        <f>AX173-IFERROR(VLOOKUP(H173,#REF!,42,FALSE),0)</f>
        <v>0</v>
      </c>
      <c r="BB173" s="47">
        <f t="shared" si="47"/>
        <v>0</v>
      </c>
      <c r="BC173" s="24">
        <f>IFERROR(VLOOKUP(H173,#REF!,47,FALSE),IFERROR(VLOOKUP(H173,#REF!,5,FALSE),0)+IFERROR(VLOOKUP(H173,#REF!,5,FALSE),0))</f>
        <v>0</v>
      </c>
      <c r="BD173" s="25">
        <f>IFERROR(VLOOKUP(H173,#REF!,2,FALSE),0)</f>
        <v>0</v>
      </c>
      <c r="BE173" s="25">
        <f>IFERROR(VLOOKUP(H173,#REF!,49,FALSE),0)</f>
        <v>0</v>
      </c>
      <c r="BF173" s="50" t="e">
        <f t="shared" si="41"/>
        <v>#REF!</v>
      </c>
      <c r="BG173" s="50">
        <f t="shared" si="42"/>
        <v>0</v>
      </c>
      <c r="BH173" s="27">
        <f>AE173+ (AI173-AJ173+AM173+Tableau5617192223242425262827293031333432353620383961719241822254140424344104746[[#This Row],[Int Commandé OT
€]]-Tableau5617192223242425262827293031333432353620383961719241822254140424344104746[[#This Row],[Int Réalisé OT
€]]+AR173) +AY173+BC173</f>
        <v>1099.3999999999999</v>
      </c>
      <c r="BI173" s="47">
        <f t="shared" si="51"/>
        <v>0</v>
      </c>
      <c r="BJ173" s="47" t="e">
        <f t="shared" si="43"/>
        <v>#REF!</v>
      </c>
      <c r="BK173" s="27" t="e">
        <f t="shared" si="44"/>
        <v>#REF!</v>
      </c>
      <c r="BL173" s="26" t="e">
        <f t="shared" si="45"/>
        <v>#REF!</v>
      </c>
      <c r="BM173" s="96">
        <f>IFERROR(VLOOKUP(H173,'[1]2023dec'!H:CA,54,FALSE),105)</f>
        <v>105</v>
      </c>
      <c r="BN173" s="29">
        <v>1</v>
      </c>
      <c r="BO173" s="30" t="e">
        <f>P173-AC173-AG173-AV173-Tableau5617192223242425262827293031333432353620383961719241822254140424344104746[[#This Row],[Provisions pour risques]]</f>
        <v>#REF!</v>
      </c>
      <c r="BP17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1099.3999999999999</v>
      </c>
      <c r="BQ17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3" s="97" t="e">
        <f t="shared" si="48"/>
        <v>#REF!</v>
      </c>
      <c r="BS173" s="34">
        <f>Tableau5617192223242425262827293031333432353620383961719241822254140424344104746[[#This Row],[Consommé global Enregistré à date (€ HT)]]-IFERROR(VLOOKUP(H173,#REF!,50,FALSE),0)</f>
        <v>0</v>
      </c>
      <c r="BT173" s="35" t="e">
        <f t="shared" si="49"/>
        <v>#REF!</v>
      </c>
      <c r="BU173" s="36">
        <f>BD173-IFERROR(VLOOKUP(H173,#REF!,47,FALSE),0)</f>
        <v>0</v>
      </c>
      <c r="BV173" s="37" t="e">
        <f>+BF173+Tableau5617192223242425262827293031333432353620383961719241822254140424344104746[[#This Row],[CA fin N-1]]-IFERROR(VLOOKUP(H173,#REF!,49,FALSE),0)-IFERROR(VLOOKUP(H173,#REF!,50,FALSE),0)</f>
        <v>#REF!</v>
      </c>
      <c r="BW173" s="33">
        <f>BG173-IFERROR(VLOOKUP(H173,#REF!,51,FALSE),0)</f>
        <v>0</v>
      </c>
      <c r="BX173" s="35" t="e">
        <f t="shared" si="50"/>
        <v>#REF!</v>
      </c>
      <c r="BY173" s="36">
        <f>BD173-IFERROR(VLOOKUP(H173,#REF!,48,FALSE),0)</f>
        <v>0</v>
      </c>
      <c r="BZ17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3" s="39" t="e">
        <f>VLOOKUP(Tableau5617192223242425262827293031333432353620383961719241822254140424344104746[[#This Row],[Num Projets]],#REF!,1,FALSE)</f>
        <v>#REF!</v>
      </c>
      <c r="CB173" s="40">
        <v>23</v>
      </c>
      <c r="CC173" s="40">
        <v>0</v>
      </c>
      <c r="CD17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-23</v>
      </c>
    </row>
    <row r="174" spans="1:82" ht="15.75" customHeight="1" x14ac:dyDescent="0.25">
      <c r="A174" s="313" t="s">
        <v>316</v>
      </c>
      <c r="B174" s="1"/>
      <c r="C174" s="2" t="e">
        <f>_xlfn.XLOOKUP(Tableau5617192223242425262827293031333432353620383961719241822254140424344104746[[#This Row],[Num Projets]],#REF!,#REF!,FALSE)</f>
        <v>#REF!</v>
      </c>
      <c r="D174" s="3" t="s">
        <v>6</v>
      </c>
      <c r="E174" s="3" t="e">
        <f>_xlfn.XLOOKUP(Tableau5617192223242425262827293031333432353620383961719241822254140424344104746[[#This Row],[Num Projets]],#REF!,#REF!,FALSE)</f>
        <v>#REF!</v>
      </c>
      <c r="F174" s="3" t="s">
        <v>52</v>
      </c>
      <c r="G174" s="3" t="s">
        <v>2</v>
      </c>
      <c r="H174" s="3" t="s">
        <v>317</v>
      </c>
      <c r="I17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4" s="4" t="e">
        <f>VLOOKUP(Tableau5617192223242425262827293031333432353620383961719241822254140424344104746[[#This Row],[Num Projets]],#REF!,36,FALSE)</f>
        <v>#REF!</v>
      </c>
      <c r="K174" s="5" t="s">
        <v>9</v>
      </c>
      <c r="L17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4" s="3" t="e">
        <f>SUBSTITUTE(_xlfn.XLOOKUP(Tableau5617192223242425262827293031333432353620383961719241822254140424344104746[[#This Row],[Num Projets]],#REF!,#REF!,FALSE)," ","")</f>
        <v>#REF!</v>
      </c>
      <c r="N174" s="7" t="e">
        <f>VLOOKUP(H174,#REF!,7,FALSE)</f>
        <v>#REF!</v>
      </c>
      <c r="O174" s="7">
        <v>45776</v>
      </c>
      <c r="P174" s="8" t="e">
        <f>VLOOKUP(H174,#REF!,2,FALSE)</f>
        <v>#REF!</v>
      </c>
      <c r="Q174" s="9" t="e">
        <f>Tableau5617192223242425262827293031333432353620383961719241822254140424344104746[[#This Row],[Total Budget
€]]-IFERROR(VLOOKUP(H174,#REF!,8,FALSE),0)</f>
        <v>#REF!</v>
      </c>
      <c r="R174" s="10">
        <f>AD174+AI174+Tableau5617192223242425262827293031333432353620383961719241822254140424344104746[[#This Row],[Int Commandé OT
€]]+AX174</f>
        <v>0</v>
      </c>
      <c r="S174" s="10">
        <f>AD174+AJ174+Tableau5617192223242425262827293031333432353620383961719241822254140424344104746[[#This Row],[Int Réalisé OT
€]]+AX174</f>
        <v>0</v>
      </c>
      <c r="T174" s="11" t="e">
        <f t="shared" si="38"/>
        <v>#REF!</v>
      </c>
      <c r="U17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4" s="12">
        <f>IFERROR(VLOOKUP(H174,#REF!,2,FALSE),0)</f>
        <v>0</v>
      </c>
      <c r="X174" s="13">
        <f>IFERROR(VLOOKUP(H174,#REF!,2,FALSE),0)</f>
        <v>0</v>
      </c>
      <c r="Y174" s="13">
        <f>IFERROR(VLOOKUP(H174,#REF!,3,FALSE),0)</f>
        <v>0</v>
      </c>
      <c r="Z17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32</v>
      </c>
      <c r="AA174" s="13">
        <f>IFERROR(VLOOKUP(H174,#REF!,18,FALSE),0)</f>
        <v>0</v>
      </c>
      <c r="AB174" s="13">
        <f>SUM(X174:Y174)-IFERROR(VLOOKUP(H174,#REF!,16,FALSE),0)-IFERROR(VLOOKUP(H174,#REF!,17,FALSE),0)</f>
        <v>0</v>
      </c>
      <c r="AC174" s="15" t="e">
        <f>VLOOKUP(Tableau5617192223242425262827293031333432353620383961719241822254140424344104746[[#This Row],[Num Projets]],#REF!,2,FALSE)</f>
        <v>#REF!</v>
      </c>
      <c r="AD174" s="15">
        <f>IFERROR(VLOOKUP(Tableau5617192223242425262827293031333432353620383961719241822254140424344104746[[#This Row],[Num Projets]],#REF!,2,FALSE),0)</f>
        <v>0</v>
      </c>
      <c r="AE174" s="8">
        <f t="shared" si="39"/>
        <v>1529.6</v>
      </c>
      <c r="AF174" s="22" t="e">
        <f t="shared" si="40"/>
        <v>#REF!</v>
      </c>
      <c r="AG174" s="8">
        <f>IFERROR(VLOOKUP(H174,#REF!,3,FALSE),0)+IFERROR(VLOOKUP(H174,#REF!,3,FALSE),0)</f>
        <v>0</v>
      </c>
      <c r="AH174" s="8">
        <f>IFERROR(VLOOKUP(Tableau5617192223242425262827293031333432353620383961719241822254140424344104746[[#This Row],[Num Projets]],#REF!,2,FALSE),0)</f>
        <v>0</v>
      </c>
      <c r="AI174" s="17">
        <f>+IFERROR(VLOOKUP(H174,#REF!,2,FALSE),0)-Tableau5617192223242425262827293031333432353620383961719241822254140424344104746[[#This Row],[Int Commandé OT
€]]</f>
        <v>0</v>
      </c>
      <c r="AJ174" s="8">
        <f>IFERROR(VLOOKUP(H174,#REF!,11,FALSE),0)-IFERROR(VLOOKUP(H174,#REF!,10,FALSE),0)+Tableau5617192223242425262827293031333432353620383961719241822254140424344104746[[#This Row],[dont FNP à date (€ HT)]]</f>
        <v>0</v>
      </c>
      <c r="AK174" s="15">
        <f t="shared" si="46"/>
        <v>0</v>
      </c>
      <c r="AL17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4" s="19">
        <f>IF(Tableau5617192223242425262827293031333432353620383961719241822254140424344104746[[#This Row],[RAF Achats M-1
€]]=0,0,AN174-AO174)</f>
        <v>0</v>
      </c>
      <c r="AN174" s="8">
        <f>IFERROR(VLOOKUP(H174,#REF!,31,FALSE),0)</f>
        <v>0</v>
      </c>
      <c r="AO174" s="8">
        <f>AI174+-IFERROR(VLOOKUP(H174,#REF!,27,FALSE),0)</f>
        <v>0</v>
      </c>
      <c r="AP174" s="20">
        <f>IFERROR(VLOOKUP(Tableau5617192223242425262827293031333432353620383961719241822254140424344104746[[#This Row],[Num Projets]],#REF!,2,FALSE),0)</f>
        <v>0</v>
      </c>
      <c r="AQ174" s="20">
        <f>_xlfn.XLOOKUP(H174,[2]Synth!$N:$N,[2]Synth!$O:$O,0,FALSE)+_xlfn.XLOOKUP(Tableau5617192223242425262827293031333432353620383961719241822254140424344104746[[#This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4" s="21">
        <v>0</v>
      </c>
      <c r="AS174" s="20">
        <f>+IFERROR(VLOOKUP(H174,#REF!,36,FALSE),0)</f>
        <v>0</v>
      </c>
      <c r="AT17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4" s="22">
        <f>IF(AG174=0,0,1-((AI174+AM174+Tableau5617192223242425262827293031333432353620383961719241822254140424344104746[[#This Row],[Int Commandé OT
€]]+Tableau5617192223242425262827293031333432353620383961719241822254140424344104746[[#This Row],[RAF Int OT
€]])/AG174))</f>
        <v>0</v>
      </c>
      <c r="AV174" s="8">
        <f>IFERROR(VLOOKUP(H174,#REF!,4,FALSE),0)+IFERROR(VLOOKUP(H174,#REF!,4,FALSE),0)</f>
        <v>0</v>
      </c>
      <c r="AW174" s="8">
        <f>IFERROR(VLOOKUP(Tableau5617192223242425262827293031333432353620383961719241822254140424344104746[[#This Row],[Num Projets]],#REF!,3,FALSE),0)</f>
        <v>0</v>
      </c>
      <c r="AX174" s="95">
        <f>IFERROR(VLOOKUP(Tableau5617192223242425262827293031333432353620383961719241822254140424344104746[[#This Row],[Num Projets]],#REF!,10,FALSE),0)</f>
        <v>0</v>
      </c>
      <c r="AY174" s="23">
        <f>Tableau5617192223242425262827293031333432353620383961719241822254140424344104746[[#This Row],[Budget Mission
 €]]/1.2-AX174</f>
        <v>0</v>
      </c>
      <c r="AZ174" s="8">
        <f>IFERROR(VLOOKUP(H174,#REF!,43,FALSE),0)</f>
        <v>0</v>
      </c>
      <c r="BA174" s="8">
        <f>AX174-IFERROR(VLOOKUP(H174,#REF!,42,FALSE),0)</f>
        <v>0</v>
      </c>
      <c r="BB174" s="47">
        <f>IF(AV178=0,0,(1-((AX174+AY174)/AV178)))</f>
        <v>0</v>
      </c>
      <c r="BC174" s="24">
        <f>IFERROR(VLOOKUP(H174,#REF!,47,FALSE),IFERROR(VLOOKUP(H174,#REF!,5,FALSE),0)+IFERROR(VLOOKUP(H174,#REF!,5,FALSE),0))</f>
        <v>0</v>
      </c>
      <c r="BD174" s="25">
        <f>IFERROR(VLOOKUP(H174,#REF!,2,FALSE),0)</f>
        <v>0</v>
      </c>
      <c r="BE174" s="25">
        <f>IFERROR(VLOOKUP(H174,#REF!,49,FALSE),0)</f>
        <v>0</v>
      </c>
      <c r="BF174" s="50" t="e">
        <f t="shared" si="41"/>
        <v>#REF!</v>
      </c>
      <c r="BG174" s="50">
        <f t="shared" si="42"/>
        <v>0</v>
      </c>
      <c r="BH174" s="27">
        <f>AE174+ (AI174-AJ174+AM174+Tableau5617192223242425262827293031333432353620383961719241822254140424344104746[[#This Row],[Int Commandé OT
€]]-Tableau5617192223242425262827293031333432353620383961719241822254140424344104746[[#This Row],[Int Réalisé OT
€]]+AR174) +AY174+BC174</f>
        <v>1529.6</v>
      </c>
      <c r="BI174" s="47">
        <f t="shared" si="51"/>
        <v>0</v>
      </c>
      <c r="BJ174" s="47" t="e">
        <f t="shared" si="43"/>
        <v>#REF!</v>
      </c>
      <c r="BK174" s="27" t="e">
        <f t="shared" si="44"/>
        <v>#REF!</v>
      </c>
      <c r="BL174" s="26" t="e">
        <f t="shared" si="45"/>
        <v>#REF!</v>
      </c>
      <c r="BM174" s="96">
        <f>IFERROR(VLOOKUP(H174,'[1]2023dec'!H:CA,54,FALSE),105)</f>
        <v>105</v>
      </c>
      <c r="BN174" s="29">
        <v>1</v>
      </c>
      <c r="BO174" s="30" t="e">
        <f>P174-AC174-AG174-AV174-Tableau5617192223242425262827293031333432353620383961719241822254140424344104746[[#This Row],[Provisions pour risques]]</f>
        <v>#REF!</v>
      </c>
      <c r="BP17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1529.6</v>
      </c>
      <c r="BQ17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4" s="97" t="e">
        <f t="shared" si="48"/>
        <v>#REF!</v>
      </c>
      <c r="BS174" s="34">
        <f>Tableau5617192223242425262827293031333432353620383961719241822254140424344104746[[#This Row],[Consommé global Enregistré à date (€ HT)]]-IFERROR(VLOOKUP(H174,#REF!,50,FALSE),0)</f>
        <v>0</v>
      </c>
      <c r="BT174" s="35" t="e">
        <f t="shared" si="49"/>
        <v>#REF!</v>
      </c>
      <c r="BU174" s="36">
        <f>BD174-IFERROR(VLOOKUP(H174,#REF!,47,FALSE),0)</f>
        <v>0</v>
      </c>
      <c r="BV174" s="37" t="e">
        <f>+BF174+Tableau5617192223242425262827293031333432353620383961719241822254140424344104746[[#This Row],[CA fin N-1]]-IFERROR(VLOOKUP(H174,#REF!,49,FALSE),0)-IFERROR(VLOOKUP(H174,#REF!,50,FALSE),0)</f>
        <v>#REF!</v>
      </c>
      <c r="BW174" s="33">
        <f>BG174-IFERROR(VLOOKUP(H174,#REF!,51,FALSE),0)</f>
        <v>0</v>
      </c>
      <c r="BX174" s="35" t="e">
        <f t="shared" si="50"/>
        <v>#REF!</v>
      </c>
      <c r="BY174" s="36">
        <f>BD174-IFERROR(VLOOKUP(H174,#REF!,48,FALSE),0)</f>
        <v>0</v>
      </c>
      <c r="BZ17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4" s="39" t="e">
        <f>VLOOKUP(Tableau5617192223242425262827293031333432353620383961719241822254140424344104746[[#This Row],[Num Projets]],#REF!,1,FALSE)</f>
        <v>#REF!</v>
      </c>
      <c r="CB174" s="40">
        <v>32</v>
      </c>
      <c r="CC174" s="40">
        <v>0</v>
      </c>
      <c r="CD17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-32</v>
      </c>
    </row>
    <row r="175" spans="1:82" ht="15.75" customHeight="1" x14ac:dyDescent="0.25">
      <c r="A175" s="313" t="s">
        <v>318</v>
      </c>
      <c r="B175" s="1"/>
      <c r="C175" s="2" t="e">
        <f>_xlfn.XLOOKUP(Tableau5617192223242425262827293031333432353620383961719241822254140424344104746[[#This Row],[Num Projets]],#REF!,#REF!,FALSE)</f>
        <v>#REF!</v>
      </c>
      <c r="D175" s="3" t="s">
        <v>6</v>
      </c>
      <c r="E175" s="3" t="e">
        <f>_xlfn.XLOOKUP(Tableau5617192223242425262827293031333432353620383961719241822254140424344104746[[#This Row],[Num Projets]],#REF!,#REF!,FALSE)</f>
        <v>#REF!</v>
      </c>
      <c r="F175" s="3" t="s">
        <v>214</v>
      </c>
      <c r="G175" s="3" t="s">
        <v>2</v>
      </c>
      <c r="H175" s="3" t="s">
        <v>319</v>
      </c>
      <c r="I17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5" s="4" t="e">
        <f>VLOOKUP(Tableau5617192223242425262827293031333432353620383961719241822254140424344104746[[#This Row],[Num Projets]],#REF!,36,FALSE)</f>
        <v>#REF!</v>
      </c>
      <c r="K175" s="5" t="s">
        <v>9</v>
      </c>
      <c r="L17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5" s="3" t="e">
        <f>SUBSTITUTE(_xlfn.XLOOKUP(Tableau5617192223242425262827293031333432353620383961719241822254140424344104746[[#This Row],[Num Projets]],#REF!,#REF!,FALSE)," ","")</f>
        <v>#REF!</v>
      </c>
      <c r="N175" s="7" t="e">
        <f>VLOOKUP(H175,#REF!,7,FALSE)</f>
        <v>#REF!</v>
      </c>
      <c r="O175" s="7" t="e">
        <f>IF(VLOOKUP(H175,#REF!,27,FALSE)=0,"",VLOOKUP(H175,#REF!,27,FALSE))</f>
        <v>#REF!</v>
      </c>
      <c r="P175" s="8" t="e">
        <f>VLOOKUP(H175,#REF!,2,FALSE)</f>
        <v>#REF!</v>
      </c>
      <c r="Q175" s="9" t="e">
        <f>Tableau5617192223242425262827293031333432353620383961719241822254140424344104746[[#This Row],[Total Budget
€]]-IFERROR(VLOOKUP(H175,#REF!,8,FALSE),0)</f>
        <v>#REF!</v>
      </c>
      <c r="R175" s="10">
        <f>AD175+AI175+Tableau5617192223242425262827293031333432353620383961719241822254140424344104746[[#This Row],[Int Commandé OT
€]]+AX175</f>
        <v>0</v>
      </c>
      <c r="S175" s="10">
        <f>AD175+AJ175+Tableau5617192223242425262827293031333432353620383961719241822254140424344104746[[#This Row],[Int Réalisé OT
€]]+AX175</f>
        <v>0</v>
      </c>
      <c r="T175" s="11" t="e">
        <f t="shared" si="38"/>
        <v>#REF!</v>
      </c>
      <c r="U17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5" s="12">
        <f>IFERROR(VLOOKUP(H175,#REF!,2,FALSE),0)</f>
        <v>0</v>
      </c>
      <c r="X175" s="13">
        <f>IFERROR(VLOOKUP(H175,#REF!,2,FALSE),0)</f>
        <v>0</v>
      </c>
      <c r="Y175" s="13">
        <f>IFERROR(VLOOKUP(H175,#REF!,3,FALSE),0)</f>
        <v>0</v>
      </c>
      <c r="Z17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62</v>
      </c>
      <c r="AA175" s="13">
        <f>IFERROR(VLOOKUP(H175,#REF!,18,FALSE),0)</f>
        <v>0</v>
      </c>
      <c r="AB175" s="13">
        <f>SUM(X175:Y175)-IFERROR(VLOOKUP(H175,#REF!,16,FALSE),0)-IFERROR(VLOOKUP(H175,#REF!,17,FALSE),0)</f>
        <v>0</v>
      </c>
      <c r="AC175" s="15" t="e">
        <f>VLOOKUP(Tableau5617192223242425262827293031333432353620383961719241822254140424344104746[[#This Row],[Num Projets]],#REF!,2,FALSE)</f>
        <v>#REF!</v>
      </c>
      <c r="AD175" s="15">
        <f>IFERROR(VLOOKUP(Tableau5617192223242425262827293031333432353620383961719241822254140424344104746[[#This Row],[Num Projets]],#REF!,2,FALSE),0)</f>
        <v>0</v>
      </c>
      <c r="AE175" s="8">
        <f t="shared" si="39"/>
        <v>2963.6</v>
      </c>
      <c r="AF175" s="22" t="e">
        <f t="shared" si="40"/>
        <v>#REF!</v>
      </c>
      <c r="AG175" s="8">
        <f>IFERROR(VLOOKUP(H175,#REF!,3,FALSE),0)+IFERROR(VLOOKUP(H175,#REF!,3,FALSE),0)</f>
        <v>0</v>
      </c>
      <c r="AH175" s="8">
        <f>IFERROR(VLOOKUP(Tableau5617192223242425262827293031333432353620383961719241822254140424344104746[[#This Row],[Num Projets]],#REF!,2,FALSE),0)</f>
        <v>0</v>
      </c>
      <c r="AI175" s="17">
        <f>+IFERROR(VLOOKUP(H175,#REF!,2,FALSE),0)-Tableau5617192223242425262827293031333432353620383961719241822254140424344104746[[#This Row],[Int Commandé OT
€]]</f>
        <v>0</v>
      </c>
      <c r="AJ175" s="8">
        <f>IFERROR(VLOOKUP(H175,#REF!,11,FALSE),0)-IFERROR(VLOOKUP(H175,#REF!,10,FALSE),0)+Tableau5617192223242425262827293031333432353620383961719241822254140424344104746[[#This Row],[dont FNP à date (€ HT)]]</f>
        <v>0</v>
      </c>
      <c r="AK175" s="15">
        <f t="shared" si="46"/>
        <v>0</v>
      </c>
      <c r="AL17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5" s="19">
        <f>IF(Tableau5617192223242425262827293031333432353620383961719241822254140424344104746[[#This Row],[RAF Achats M-1
€]]=0,0,AN175-AO175)</f>
        <v>0</v>
      </c>
      <c r="AN175" s="8">
        <f>IFERROR(VLOOKUP(H175,#REF!,31,FALSE),0)</f>
        <v>0</v>
      </c>
      <c r="AO175" s="8">
        <f>AI175+-IFERROR(VLOOKUP(H175,#REF!,27,FALSE),0)</f>
        <v>0</v>
      </c>
      <c r="AP175" s="20">
        <f>IFERROR(VLOOKUP(Tableau5617192223242425262827293031333432353620383961719241822254140424344104746[[#This Row],[Num Projets]],#REF!,2,FALSE),0)</f>
        <v>0</v>
      </c>
      <c r="AQ175" s="20">
        <f>_xlfn.XLOOKUP(H175,[2]Synth!$N:$N,[2]Synth!$O:$O,0,FALSE)+_xlfn.XLOOKUP(Tableau5617192223242425262827293031333432353620383961719241822254140424344104746[[#This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5" s="21">
        <v>0</v>
      </c>
      <c r="AS175" s="20">
        <f>+IFERROR(VLOOKUP(H175,#REF!,36,FALSE),0)</f>
        <v>0</v>
      </c>
      <c r="AT17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5" s="22">
        <f>IF(AG175=0,0,1-((AI175+AM175+Tableau5617192223242425262827293031333432353620383961719241822254140424344104746[[#This Row],[Int Commandé OT
€]]+Tableau5617192223242425262827293031333432353620383961719241822254140424344104746[[#This Row],[RAF Int OT
€]])/AG175))</f>
        <v>0</v>
      </c>
      <c r="AV175" s="8">
        <f>IFERROR(VLOOKUP(H175,#REF!,4,FALSE),0)+IFERROR(VLOOKUP(H175,#REF!,4,FALSE),0)</f>
        <v>0</v>
      </c>
      <c r="AW175" s="8">
        <f>IFERROR(VLOOKUP(Tableau5617192223242425262827293031333432353620383961719241822254140424344104746[[#This Row],[Num Projets]],#REF!,3,FALSE),0)</f>
        <v>0</v>
      </c>
      <c r="AX175" s="95">
        <f>IFERROR(VLOOKUP(Tableau5617192223242425262827293031333432353620383961719241822254140424344104746[[#This Row],[Num Projets]],#REF!,10,FALSE),0)</f>
        <v>0</v>
      </c>
      <c r="AY175" s="23">
        <f>Tableau5617192223242425262827293031333432353620383961719241822254140424344104746[[#This Row],[Budget Mission
 €]]/1.2-AX175</f>
        <v>0</v>
      </c>
      <c r="AZ175" s="8">
        <f>IFERROR(VLOOKUP(H175,#REF!,43,FALSE),0)</f>
        <v>0</v>
      </c>
      <c r="BA175" s="8">
        <f>AX175-IFERROR(VLOOKUP(H175,#REF!,42,FALSE),0)</f>
        <v>0</v>
      </c>
      <c r="BB175" s="47">
        <f t="shared" si="47"/>
        <v>0</v>
      </c>
      <c r="BC175" s="24">
        <f>IFERROR(VLOOKUP(H175,#REF!,47,FALSE),IFERROR(VLOOKUP(H175,#REF!,5,FALSE),0)+IFERROR(VLOOKUP(H175,#REF!,5,FALSE),0))</f>
        <v>0</v>
      </c>
      <c r="BD175" s="25">
        <f>IFERROR(VLOOKUP(H175,#REF!,2,FALSE),0)</f>
        <v>0</v>
      </c>
      <c r="BE175" s="25">
        <f>IFERROR(VLOOKUP(H175,#REF!,49,FALSE),0)</f>
        <v>0</v>
      </c>
      <c r="BF175" s="50" t="e">
        <f t="shared" si="41"/>
        <v>#REF!</v>
      </c>
      <c r="BG175" s="50">
        <f t="shared" si="42"/>
        <v>0</v>
      </c>
      <c r="BH175" s="27">
        <f>AE175+ (AI175-AJ175+AM175+Tableau5617192223242425262827293031333432353620383961719241822254140424344104746[[#This Row],[Int Commandé OT
€]]-Tableau5617192223242425262827293031333432353620383961719241822254140424344104746[[#This Row],[Int Réalisé OT
€]]+AR175) +AY175+BC175</f>
        <v>2963.6</v>
      </c>
      <c r="BI175" s="47">
        <f t="shared" si="51"/>
        <v>0</v>
      </c>
      <c r="BJ175" s="47" t="e">
        <f t="shared" si="43"/>
        <v>#REF!</v>
      </c>
      <c r="BK175" s="27" t="e">
        <f t="shared" si="44"/>
        <v>#REF!</v>
      </c>
      <c r="BL175" s="26" t="e">
        <f t="shared" si="45"/>
        <v>#REF!</v>
      </c>
      <c r="BM175" s="96">
        <f>IFERROR(VLOOKUP(H175,'[1]2023dec'!H:CA,54,FALSE),105)</f>
        <v>105</v>
      </c>
      <c r="BN175" s="29">
        <v>1</v>
      </c>
      <c r="BO175" s="30" t="e">
        <f>P175-AC175-AG175-AV175-Tableau5617192223242425262827293031333432353620383961719241822254140424344104746[[#This Row],[Provisions pour risques]]</f>
        <v>#REF!</v>
      </c>
      <c r="BP17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2963.6</v>
      </c>
      <c r="BQ17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5" s="97" t="e">
        <f t="shared" si="48"/>
        <v>#REF!</v>
      </c>
      <c r="BS175" s="34">
        <f>Tableau5617192223242425262827293031333432353620383961719241822254140424344104746[[#This Row],[Consommé global Enregistré à date (€ HT)]]-IFERROR(VLOOKUP(H175,#REF!,50,FALSE),0)</f>
        <v>0</v>
      </c>
      <c r="BT175" s="35" t="e">
        <f t="shared" si="49"/>
        <v>#REF!</v>
      </c>
      <c r="BU175" s="36">
        <f>BD175-IFERROR(VLOOKUP(H175,#REF!,47,FALSE),0)</f>
        <v>0</v>
      </c>
      <c r="BV175" s="37" t="e">
        <f>+BF175+Tableau5617192223242425262827293031333432353620383961719241822254140424344104746[[#This Row],[CA fin N-1]]-IFERROR(VLOOKUP(H175,#REF!,49,FALSE),0)-IFERROR(VLOOKUP(H175,#REF!,50,FALSE),0)</f>
        <v>#REF!</v>
      </c>
      <c r="BW175" s="33">
        <f>BG175-IFERROR(VLOOKUP(H175,#REF!,51,FALSE),0)</f>
        <v>0</v>
      </c>
      <c r="BX175" s="35" t="e">
        <f t="shared" si="50"/>
        <v>#REF!</v>
      </c>
      <c r="BY175" s="36">
        <f>BD175-IFERROR(VLOOKUP(H175,#REF!,48,FALSE),0)</f>
        <v>0</v>
      </c>
      <c r="BZ17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5" s="39" t="e">
        <f>VLOOKUP(Tableau5617192223242425262827293031333432353620383961719241822254140424344104746[[#This Row],[Num Projets]],#REF!,1,FALSE)</f>
        <v>#REF!</v>
      </c>
      <c r="CB175" s="40">
        <v>62</v>
      </c>
      <c r="CC175" s="40">
        <v>0</v>
      </c>
      <c r="CD17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-62</v>
      </c>
    </row>
    <row r="176" spans="1:82" ht="15.75" customHeight="1" x14ac:dyDescent="0.25">
      <c r="A176" s="313" t="s">
        <v>318</v>
      </c>
      <c r="B176" s="1"/>
      <c r="C176" s="2" t="e">
        <f>_xlfn.XLOOKUP(Tableau5617192223242425262827293031333432353620383961719241822254140424344104746[[#This Row],[Num Projets]],#REF!,#REF!,FALSE)</f>
        <v>#REF!</v>
      </c>
      <c r="D176" s="3" t="s">
        <v>6</v>
      </c>
      <c r="E176" s="3" t="e">
        <f>_xlfn.XLOOKUP(Tableau5617192223242425262827293031333432353620383961719241822254140424344104746[[#This Row],[Num Projets]],#REF!,#REF!,FALSE)</f>
        <v>#REF!</v>
      </c>
      <c r="F176" s="3" t="s">
        <v>165</v>
      </c>
      <c r="G176" s="3" t="s">
        <v>2</v>
      </c>
      <c r="H176" s="3" t="s">
        <v>320</v>
      </c>
      <c r="I17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6" s="4" t="e">
        <f>VLOOKUP(Tableau5617192223242425262827293031333432353620383961719241822254140424344104746[[#This Row],[Num Projets]],#REF!,36,FALSE)</f>
        <v>#REF!</v>
      </c>
      <c r="K176" s="5" t="s">
        <v>9</v>
      </c>
      <c r="L17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6" s="3" t="e">
        <f>SUBSTITUTE(_xlfn.XLOOKUP(Tableau5617192223242425262827293031333432353620383961719241822254140424344104746[[#This Row],[Num Projets]],#REF!,#REF!,FALSE)," ","")</f>
        <v>#REF!</v>
      </c>
      <c r="N176" s="7" t="e">
        <f>VLOOKUP(H176,#REF!,7,FALSE)</f>
        <v>#REF!</v>
      </c>
      <c r="O176" s="7">
        <v>45808</v>
      </c>
      <c r="P176" s="8" t="e">
        <f>VLOOKUP(H176,#REF!,2,FALSE)</f>
        <v>#REF!</v>
      </c>
      <c r="Q176" s="9" t="e">
        <f>Tableau5617192223242425262827293031333432353620383961719241822254140424344104746[[#This Row],[Total Budget
€]]-IFERROR(VLOOKUP(H176,#REF!,8,FALSE),0)</f>
        <v>#REF!</v>
      </c>
      <c r="R176" s="10">
        <f>AD176+AI176+Tableau5617192223242425262827293031333432353620383961719241822254140424344104746[[#This Row],[Int Commandé OT
€]]+AX176</f>
        <v>0</v>
      </c>
      <c r="S176" s="10">
        <f>AD176+AJ176+Tableau5617192223242425262827293031333432353620383961719241822254140424344104746[[#This Row],[Int Réalisé OT
€]]+AX176</f>
        <v>0</v>
      </c>
      <c r="T176" s="11" t="e">
        <f t="shared" si="38"/>
        <v>#REF!</v>
      </c>
      <c r="U17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€]]*56%+(1-Tableau5617192223242425262827293031333432353620383961719241822254140424344104746[[#This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6" s="42" t="e">
        <f>Tableau5617192223242425262827293031333432353620383961719241822254140424344104746[[#This Row],[Budget Heures Valorisées
€]]/105</f>
        <v>#REF!</v>
      </c>
      <c r="X176" s="13">
        <f>IFERROR(VLOOKUP(H176,#REF!,2,FALSE),0)</f>
        <v>0</v>
      </c>
      <c r="Y176" s="13">
        <f>IFERROR(VLOOKUP(H176,#REF!,3,FALSE),0)</f>
        <v>0</v>
      </c>
      <c r="Z17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39</v>
      </c>
      <c r="AA176" s="13">
        <f>IFERROR(VLOOKUP(H176,#REF!,18,FALSE),0)</f>
        <v>0</v>
      </c>
      <c r="AB176" s="13">
        <f>SUM(X176:Y176)-IFERROR(VLOOKUP(H176,#REF!,16,FALSE),0)-IFERROR(VLOOKUP(H176,#REF!,17,FALSE),0)</f>
        <v>0</v>
      </c>
      <c r="AC176" s="15" t="e">
        <f>VLOOKUP(Tableau5617192223242425262827293031333432353620383961719241822254140424344104746[[#This Row],[Num Projets]],#REF!,2,FALSE)</f>
        <v>#REF!</v>
      </c>
      <c r="AD176" s="15">
        <f>IFERROR(VLOOKUP(Tableau5617192223242425262827293031333432353620383961719241822254140424344104746[[#This Row],[Num Projets]],#REF!,2,FALSE),0)</f>
        <v>0</v>
      </c>
      <c r="AE176" s="8">
        <f t="shared" si="39"/>
        <v>1864.1999999999998</v>
      </c>
      <c r="AF176" s="22" t="e">
        <f t="shared" si="40"/>
        <v>#REF!</v>
      </c>
      <c r="AG176" s="8">
        <f>IFERROR(VLOOKUP(H176,#REF!,3,FALSE),0)+IFERROR(VLOOKUP(H176,#REF!,3,FALSE),0)</f>
        <v>0</v>
      </c>
      <c r="AH176" s="8">
        <f>IFERROR(VLOOKUP(Tableau5617192223242425262827293031333432353620383961719241822254140424344104746[[#This Row],[Num Projets]],#REF!,2,FALSE),0)</f>
        <v>0</v>
      </c>
      <c r="AI176" s="17">
        <f>+IFERROR(VLOOKUP(H176,#REF!,2,FALSE),0)-Tableau5617192223242425262827293031333432353620383961719241822254140424344104746[[#This Row],[Int Commandé OT
€]]</f>
        <v>0</v>
      </c>
      <c r="AJ176" s="8">
        <f>IFERROR(VLOOKUP(H176,#REF!,11,FALSE),0)-IFERROR(VLOOKUP(H176,#REF!,10,FALSE),0)+Tableau5617192223242425262827293031333432353620383961719241822254140424344104746[[#This Row],[dont FNP à date (€ HT)]]</f>
        <v>0</v>
      </c>
      <c r="AK176" s="15">
        <f t="shared" si="46"/>
        <v>0</v>
      </c>
      <c r="AL17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6" s="19">
        <f>IF(Tableau5617192223242425262827293031333432353620383961719241822254140424344104746[[#This Row],[RAF Achats M-1
€]]=0,0,AN176-AO176)</f>
        <v>0</v>
      </c>
      <c r="AN176" s="8">
        <f>IFERROR(VLOOKUP(H176,#REF!,31,FALSE),0)</f>
        <v>0</v>
      </c>
      <c r="AO176" s="8">
        <f>AI176+-IFERROR(VLOOKUP(H176,#REF!,27,FALSE),0)</f>
        <v>0</v>
      </c>
      <c r="AP176" s="20">
        <f>IFERROR(VLOOKUP(Tableau5617192223242425262827293031333432353620383961719241822254140424344104746[[#This Row],[Num Projets]],#REF!,2,FALSE),0)</f>
        <v>0</v>
      </c>
      <c r="AQ176" s="20">
        <f>_xlfn.XLOOKUP(H176,[2]Synth!$N:$N,[2]Synth!$O:$O,0,FALSE)+_xlfn.XLOOKUP(Tableau5617192223242425262827293031333432353620383961719241822254140424344104746[[#This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6" s="21">
        <v>0</v>
      </c>
      <c r="AS176" s="20">
        <f>+IFERROR(VLOOKUP(H176,#REF!,36,FALSE),0)</f>
        <v>0</v>
      </c>
      <c r="AT17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6" s="22">
        <f>IF(AG176=0,0,1-((AI176+AM176+Tableau5617192223242425262827293031333432353620383961719241822254140424344104746[[#This Row],[Int Commandé OT
€]]+Tableau5617192223242425262827293031333432353620383961719241822254140424344104746[[#This Row],[RAF Int OT
€]])/AG176))</f>
        <v>0</v>
      </c>
      <c r="AV176" s="8">
        <f>IFERROR(VLOOKUP(H176,#REF!,4,FALSE),0)+IFERROR(VLOOKUP(H176,#REF!,4,FALSE),0)</f>
        <v>0</v>
      </c>
      <c r="AW176" s="8">
        <f>IFERROR(VLOOKUP(Tableau5617192223242425262827293031333432353620383961719241822254140424344104746[[#This Row],[Num Projets]],#REF!,3,FALSE),0)</f>
        <v>0</v>
      </c>
      <c r="AX176" s="95">
        <f>IFERROR(VLOOKUP(Tableau5617192223242425262827293031333432353620383961719241822254140424344104746[[#This Row],[Num Projets]],#REF!,10,FALSE),0)</f>
        <v>0</v>
      </c>
      <c r="AY176" s="23">
        <f>Tableau5617192223242425262827293031333432353620383961719241822254140424344104746[[#This Row],[Budget Mission
 €]]/1.2-AX176</f>
        <v>0</v>
      </c>
      <c r="AZ176" s="8">
        <f>IFERROR(VLOOKUP(H176,#REF!,43,FALSE),0)</f>
        <v>0</v>
      </c>
      <c r="BA176" s="8">
        <f>AX176-IFERROR(VLOOKUP(H176,#REF!,42,FALSE),0)</f>
        <v>0</v>
      </c>
      <c r="BB176" s="47">
        <f t="shared" si="47"/>
        <v>0</v>
      </c>
      <c r="BC176" s="24">
        <f>IFERROR(VLOOKUP(H176,#REF!,47,FALSE),IFERROR(VLOOKUP(H176,#REF!,5,FALSE),0)+IFERROR(VLOOKUP(H176,#REF!,5,FALSE),0))</f>
        <v>0</v>
      </c>
      <c r="BD176" s="25">
        <f>IFERROR(VLOOKUP(H176,#REF!,2,FALSE),0)</f>
        <v>0</v>
      </c>
      <c r="BE176" s="25">
        <f>IFERROR(VLOOKUP(H176,#REF!,49,FALSE),0)</f>
        <v>0</v>
      </c>
      <c r="BF176" s="50" t="e">
        <f t="shared" si="41"/>
        <v>#REF!</v>
      </c>
      <c r="BG176" s="50">
        <f t="shared" si="42"/>
        <v>0</v>
      </c>
      <c r="BH176" s="27">
        <f>AE176+ (AI176-AJ176+AM176+Tableau5617192223242425262827293031333432353620383961719241822254140424344104746[[#This Row],[Int Commandé OT
€]]-Tableau5617192223242425262827293031333432353620383961719241822254140424344104746[[#This Row],[Int Réalisé OT
€]]+AR176) +AY176+BC176</f>
        <v>1864.1999999999998</v>
      </c>
      <c r="BI176" s="47">
        <f t="shared" si="51"/>
        <v>0</v>
      </c>
      <c r="BJ176" s="47" t="e">
        <f t="shared" si="43"/>
        <v>#REF!</v>
      </c>
      <c r="BK176" s="27" t="e">
        <f t="shared" si="44"/>
        <v>#REF!</v>
      </c>
      <c r="BL176" s="26" t="e">
        <f t="shared" si="45"/>
        <v>#REF!</v>
      </c>
      <c r="BM176" s="96">
        <f>IFERROR(VLOOKUP(H176,'[1]2023dec'!H:CA,54,FALSE),105)</f>
        <v>105</v>
      </c>
      <c r="BN176" s="29">
        <v>1</v>
      </c>
      <c r="BO176" s="30" t="e">
        <f>P176-AC176-AG176-AV176-Tableau5617192223242425262827293031333432353620383961719241822254140424344104746[[#This Row],[Provisions pour risques]]</f>
        <v>#REF!</v>
      </c>
      <c r="BP17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1864.1999999999998</v>
      </c>
      <c r="BQ17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6" s="97" t="e">
        <f t="shared" si="48"/>
        <v>#REF!</v>
      </c>
      <c r="BS176" s="34">
        <f>Tableau5617192223242425262827293031333432353620383961719241822254140424344104746[[#This Row],[Consommé global Enregistré à date (€ HT)]]-IFERROR(VLOOKUP(H176,#REF!,50,FALSE),0)</f>
        <v>0</v>
      </c>
      <c r="BT176" s="35" t="e">
        <f t="shared" si="49"/>
        <v>#REF!</v>
      </c>
      <c r="BU176" s="36">
        <f>BD176-IFERROR(VLOOKUP(H176,#REF!,47,FALSE),0)</f>
        <v>0</v>
      </c>
      <c r="BV176" s="37" t="e">
        <f>+BF176+Tableau5617192223242425262827293031333432353620383961719241822254140424344104746[[#This Row],[CA fin N-1]]-IFERROR(VLOOKUP(H176,#REF!,49,FALSE),0)-IFERROR(VLOOKUP(H176,#REF!,50,FALSE),0)</f>
        <v>#REF!</v>
      </c>
      <c r="BW176" s="33">
        <f>BG176-IFERROR(VLOOKUP(H176,#REF!,51,FALSE),0)</f>
        <v>0</v>
      </c>
      <c r="BX176" s="35" t="e">
        <f t="shared" si="50"/>
        <v>#REF!</v>
      </c>
      <c r="BY176" s="36">
        <f>BD176-IFERROR(VLOOKUP(H176,#REF!,48,FALSE),0)</f>
        <v>0</v>
      </c>
      <c r="BZ17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6" s="39" t="e">
        <f>VLOOKUP(Tableau5617192223242425262827293031333432353620383961719241822254140424344104746[[#This Row],[Num Projets]],#REF!,1,FALSE)</f>
        <v>#REF!</v>
      </c>
      <c r="CB176" s="40">
        <v>39</v>
      </c>
      <c r="CC176" s="40">
        <v>0</v>
      </c>
      <c r="CD17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-39</v>
      </c>
    </row>
    <row r="177" spans="1:82" ht="16.5" customHeight="1" x14ac:dyDescent="0.25">
      <c r="A177" s="313" t="s">
        <v>321</v>
      </c>
      <c r="B177" s="1"/>
      <c r="C177" s="2" t="e">
        <f>_xlfn.XLOOKUP(Tableau5617192223242425262827293031333432353620383961719241822254140424344104746[[#This Row],[Num Projets]],#REF!,#REF!,FALSE)</f>
        <v>#REF!</v>
      </c>
      <c r="D177" s="3" t="s">
        <v>40</v>
      </c>
      <c r="E177" s="3" t="e">
        <f>_xlfn.XLOOKUP(Tableau5617192223242425262827293031333432353620383961719241822254140424344104746[[#This Row],[Num Projets]],#REF!,#REF!,FALSE)</f>
        <v>#REF!</v>
      </c>
      <c r="F177" s="3" t="s">
        <v>52</v>
      </c>
      <c r="G177" s="3" t="s">
        <v>2</v>
      </c>
      <c r="H177" s="3" t="s">
        <v>322</v>
      </c>
      <c r="I17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7" s="4" t="e">
        <f>VLOOKUP(Tableau5617192223242425262827293031333432353620383961719241822254140424344104746[[#This Row],[Num Projets]],#REF!,36,FALSE)</f>
        <v>#REF!</v>
      </c>
      <c r="K177" s="5" t="s">
        <v>21</v>
      </c>
      <c r="L17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7" s="3" t="e">
        <f>SUBSTITUTE(_xlfn.XLOOKUP(Tableau5617192223242425262827293031333432353620383961719241822254140424344104746[[#This Row],[Num Projets]],#REF!,#REF!,FALSE)," ","")</f>
        <v>#REF!</v>
      </c>
      <c r="N177" s="7" t="e">
        <f>VLOOKUP(H177,#REF!,7,FALSE)</f>
        <v>#REF!</v>
      </c>
      <c r="O177" s="7">
        <v>45777</v>
      </c>
      <c r="P177" s="20" t="e">
        <f>VLOOKUP(H177,#REF!,2,FALSE)</f>
        <v>#REF!</v>
      </c>
      <c r="Q177" s="9" t="e">
        <f>Tableau5617192223242425262827293031333432353620383961719241822254140424344104746[[#This Row],[Total Budget
€]]-IFERROR(VLOOKUP(H177,#REF!,8,FALSE),0)</f>
        <v>#REF!</v>
      </c>
      <c r="R177" s="15" t="e">
        <f>AD177+AI177+Tableau5617192223242425262827293031333432353620383961719241822254140424344104746[[#This Row],[Int Commandé OT
€]]+AX177</f>
        <v>#REF!</v>
      </c>
      <c r="S177" s="15" t="e">
        <f>AD177+AJ177+Tableau5617192223242425262827293031333432353620383961719241822254140424344104746[[#This Row],[Int Réalisé OT
€]]+AX177</f>
        <v>#REF!</v>
      </c>
      <c r="T177" s="94" t="e">
        <f t="shared" si="38"/>
        <v>#REF!</v>
      </c>
      <c r="U17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7" s="15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7" s="128">
        <f>IFERROR(VLOOKUP(H177,#REF!,2,FALSE),0)</f>
        <v>0</v>
      </c>
      <c r="X177" s="13">
        <f>IFERROR(VLOOKUP(H177,#REF!,2,FALSE),0)</f>
        <v>0</v>
      </c>
      <c r="Y177" s="13">
        <f>IFERROR(VLOOKUP(H177,#REF!,3,FALSE),0)</f>
        <v>0</v>
      </c>
      <c r="Z17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1923</v>
      </c>
      <c r="AA177" s="13">
        <f>IFERROR(VLOOKUP(H177,#REF!,18,FALSE),0)</f>
        <v>0</v>
      </c>
      <c r="AB177" s="13">
        <f>SUM(X177:Y177)-IFERROR(VLOOKUP(H177,#REF!,16,FALSE),0)-IFERROR(VLOOKUP(H177,#REF!,17,FALSE),0)</f>
        <v>0</v>
      </c>
      <c r="AC177" s="101">
        <v>189474.26426134873</v>
      </c>
      <c r="AD177" s="20" t="e">
        <f>(X177*VLOOKUP(H177,#REF!,2,FALSE)+Y177*VLOOKUP(H177,#REF!,3,FALSE))</f>
        <v>#REF!</v>
      </c>
      <c r="AE177" s="20">
        <f t="shared" si="39"/>
        <v>91919.4</v>
      </c>
      <c r="AF177" s="22" t="e">
        <f t="shared" si="40"/>
        <v>#REF!</v>
      </c>
      <c r="AG177" s="88">
        <f>137461.235738651-553.92</f>
        <v>136907.315738651</v>
      </c>
      <c r="AH177" s="20">
        <f>IFERROR(VLOOKUP(Tableau5617192223242425262827293031333432353620383961719241822254140424344104746[[#This Row],[Num Projets]],#REF!,2,FALSE),0)</f>
        <v>0</v>
      </c>
      <c r="AI177" s="17">
        <f>+IFERROR(VLOOKUP(H177,#REF!,2,FALSE),0)-Tableau5617192223242425262827293031333432353620383961719241822254140424344104746[[#This Row],[Int Commandé OT
€]]</f>
        <v>0</v>
      </c>
      <c r="AJ177" s="8">
        <f>IFERROR(VLOOKUP(H177,#REF!,11,FALSE),0)-IFERROR(VLOOKUP(H177,#REF!,10,FALSE),0)+Tableau5617192223242425262827293031333432353620383961719241822254140424344104746[[#This Row],[dont FNP à date (€ HT)]]</f>
        <v>0</v>
      </c>
      <c r="AK177" s="15">
        <f t="shared" si="46"/>
        <v>0</v>
      </c>
      <c r="AL17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7" s="19">
        <f>IF(Tableau5617192223242425262827293031333432353620383961719241822254140424344104746[[#This Row],[RAF Achats M-1
€]]=0,0,AN177-AO177)</f>
        <v>0</v>
      </c>
      <c r="AN177" s="8">
        <f>IFERROR(VLOOKUP(H177,#REF!,31,FALSE),0)</f>
        <v>0</v>
      </c>
      <c r="AO177" s="8">
        <f>AI177+-IFERROR(VLOOKUP(H177,#REF!,27,FALSE),0)</f>
        <v>0</v>
      </c>
      <c r="AP177" s="20">
        <f>IFERROR(VLOOKUP(Tableau5617192223242425262827293031333432353620383961719241822254140424344104746[[#This Row],[Num Projets]],#REF!,2,FALSE),0)</f>
        <v>0</v>
      </c>
      <c r="AQ177" s="20">
        <f>_xlfn.XLOOKUP(H177,[2]Synth!$N:$N,[2]Synth!$O:$O,0,FALSE)+_xlfn.XLOOKUP(Tableau5617192223242425262827293031333432353620383961719241822254140424344104746[[#This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7" s="21">
        <v>0</v>
      </c>
      <c r="AS177" s="20">
        <f>+IFERROR(VLOOKUP(H177,#REF!,36,FALSE),0)</f>
        <v>0</v>
      </c>
      <c r="AT17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7" s="22">
        <f>IF(AG177=0,0,1-((AI177+AM177+Tableau5617192223242425262827293031333432353620383961719241822254140424344104746[[#This Row],[Int Commandé OT
€]]+Tableau5617192223242425262827293031333432353620383961719241822254140424344104746[[#This Row],[RAF Int OT
€]])/AG177))</f>
        <v>1</v>
      </c>
      <c r="AV177" s="154">
        <v>11024</v>
      </c>
      <c r="AW177" s="8">
        <f>IFERROR(VLOOKUP(Tableau5617192223242425262827293031333432353620383961719241822254140424344104746[[#This Row],[Num Projets]],#REF!,3,FALSE),0)</f>
        <v>0</v>
      </c>
      <c r="AX177" s="130">
        <f>IFERROR(VLOOKUP(Tableau5617192223242425262827293031333432353620383961719241822254140424344104746[[#This Row],[Num Projets]],#REF!,10,FALSE),0)</f>
        <v>0</v>
      </c>
      <c r="AY177" s="23">
        <v>0</v>
      </c>
      <c r="AZ177" s="8">
        <f>IFERROR(VLOOKUP(H177,#REF!,43,FALSE),0)</f>
        <v>0</v>
      </c>
      <c r="BA177" s="8">
        <f>AX177-IFERROR(VLOOKUP(H177,#REF!,42,FALSE),0)</f>
        <v>0</v>
      </c>
      <c r="BB177" s="22">
        <f>IF(AV177=0,0,(1-((AX177+AY177)/AV177)))</f>
        <v>1</v>
      </c>
      <c r="BC177" s="24">
        <f>IFERROR(VLOOKUP(H177,#REF!,47,FALSE),IFERROR(VLOOKUP(H177,#REF!,5,FALSE),0)+IFERROR(VLOOKUP(H177,#REF!,5,FALSE),0))</f>
        <v>0</v>
      </c>
      <c r="BD177" s="155">
        <f>IFERROR(VLOOKUP(H177,#REF!,2,FALSE),0)</f>
        <v>0</v>
      </c>
      <c r="BE177" s="25">
        <f>IFERROR(VLOOKUP(H177,#REF!,49,FALSE),0)</f>
        <v>0</v>
      </c>
      <c r="BF177" s="156" t="e">
        <f t="shared" si="41"/>
        <v>#REF!</v>
      </c>
      <c r="BG177" s="156" t="e">
        <f t="shared" si="42"/>
        <v>#REF!</v>
      </c>
      <c r="BH177" s="157">
        <f>AE177+ (AI177-AJ177+AM177+Tableau5617192223242425262827293031333432353620383961719241822254140424344104746[[#This Row],[Int Commandé OT
€]]-Tableau5617192223242425262827293031333432353620383961719241822254140424344104746[[#This Row],[Int Réalisé OT
€]]+AR177) +AY177+BC177</f>
        <v>91919.4</v>
      </c>
      <c r="BI177" s="158" t="e">
        <f>IF(BG177+BH177=0,100%,BG177/(BG177+BH177))</f>
        <v>#REF!</v>
      </c>
      <c r="BJ177" s="158" t="e">
        <f t="shared" si="43"/>
        <v>#REF!</v>
      </c>
      <c r="BK177" s="27" t="e">
        <f t="shared" si="44"/>
        <v>#REF!</v>
      </c>
      <c r="BL177" s="26" t="e">
        <f t="shared" si="45"/>
        <v>#REF!</v>
      </c>
      <c r="BM177" s="159">
        <f>IFERROR(VLOOKUP(H177,'[1]2023dec'!H:CA,54,FALSE),105)</f>
        <v>96.006822356336926</v>
      </c>
      <c r="BN177" s="29">
        <v>1</v>
      </c>
      <c r="BO177" s="30" t="e">
        <f>P177-AC177-AG177-AV177-Tableau5617192223242425262827293031333432353620383961719241822254140424344104746[[#This Row],[Provisions pour risques]]</f>
        <v>#REF!</v>
      </c>
      <c r="BP177" s="31" t="e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#REF!</v>
      </c>
      <c r="BQ177" s="32" t="e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#REF!</v>
      </c>
      <c r="BR177" s="160" t="e">
        <f>BF177</f>
        <v>#REF!</v>
      </c>
      <c r="BS177" s="161" t="e">
        <f>Tableau5617192223242425262827293031333432353620383961719241822254140424344104746[[#This Row],[Consommé global Enregistré à date (€ HT)]]-IFERROR(VLOOKUP(H177,#REF!,50,FALSE),0)</f>
        <v>#REF!</v>
      </c>
      <c r="BT177" s="162" t="e">
        <f>BR177-BS177</f>
        <v>#REF!</v>
      </c>
      <c r="BU177" s="163">
        <f>BD177-IFERROR(VLOOKUP(H177,#REF!,47,FALSE),0)</f>
        <v>0</v>
      </c>
      <c r="BV177" s="37" t="e">
        <f>+BF177+Tableau5617192223242425262827293031333432353620383961719241822254140424344104746[[#This Row],[CA fin N-1]]-IFERROR(VLOOKUP(H177,#REF!,49,FALSE),0)-IFERROR(VLOOKUP(H177,#REF!,50,FALSE),0)</f>
        <v>#REF!</v>
      </c>
      <c r="BW177" s="33" t="e">
        <f>BG177-IFERROR(VLOOKUP(H177,#REF!,51,FALSE),0)</f>
        <v>#REF!</v>
      </c>
      <c r="BX177" s="35" t="e">
        <f>BV177-BW177</f>
        <v>#REF!</v>
      </c>
      <c r="BY177" s="36">
        <f>BD177-IFERROR(VLOOKUP(H177,#REF!,48,FALSE),0)</f>
        <v>0</v>
      </c>
      <c r="BZ177" s="164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7" s="39" t="e">
        <f>VLOOKUP(Tableau5617192223242425262827293031333432353620383961719241822254140424344104746[[#This Row],[Num Projets]],#REF!,1,FALSE)</f>
        <v>#REF!</v>
      </c>
      <c r="CB177" s="40">
        <v>1923</v>
      </c>
      <c r="CC177" s="40">
        <v>0</v>
      </c>
      <c r="CD17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-1923</v>
      </c>
    </row>
    <row r="178" spans="1:82" ht="15.75" customHeight="1" x14ac:dyDescent="0.25">
      <c r="A178" s="313" t="s">
        <v>323</v>
      </c>
      <c r="B178" s="1"/>
      <c r="C178" s="2" t="e">
        <f>_xlfn.XLOOKUP(Tableau5617192223242425262827293031333432353620383961719241822254140424344104746[[#This Row],[Num Projets]],#REF!,#REF!,FALSE)</f>
        <v>#REF!</v>
      </c>
      <c r="D178" s="3" t="s">
        <v>6</v>
      </c>
      <c r="E178" s="3" t="e">
        <f>_xlfn.XLOOKUP(Tableau5617192223242425262827293031333432353620383961719241822254140424344104746[[#This Row],[Num Projets]],#REF!,#REF!,FALSE)</f>
        <v>#REF!</v>
      </c>
      <c r="F178" s="3" t="e">
        <f>_xlfn.XLOOKUP(Tableau5617192223242425262827293031333432353620383961719241822254140424344104746[[#This Row],[Num Projets]],#REF!,#REF!,"newavr",0)</f>
        <v>#REF!</v>
      </c>
      <c r="G178" s="3" t="s">
        <v>2</v>
      </c>
      <c r="H178" s="3" t="s">
        <v>324</v>
      </c>
      <c r="I17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8" s="4" t="e">
        <f>VLOOKUP(Tableau5617192223242425262827293031333432353620383961719241822254140424344104746[[#This Row],[Num Projets]],#REF!,36,FALSE)</f>
        <v>#REF!</v>
      </c>
      <c r="K178" s="5" t="s">
        <v>21</v>
      </c>
      <c r="L17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8" s="3" t="e">
        <f>SUBSTITUTE(_xlfn.XLOOKUP(Tableau5617192223242425262827293031333432353620383961719241822254140424344104746[[#This Row],[Num Projets]],#REF!,#REF!,FALSE)," ","")</f>
        <v>#REF!</v>
      </c>
      <c r="N178" s="7" t="e">
        <f>VLOOKUP(H178,#REF!,7,FALSE)</f>
        <v>#REF!</v>
      </c>
      <c r="O178" s="7" t="e">
        <f>IF(VLOOKUP(H178,#REF!,27,FALSE)=0,"",VLOOKUP(H178,#REF!,27,FALSE))</f>
        <v>#REF!</v>
      </c>
      <c r="P178" s="8" t="e">
        <f>VLOOKUP(H178,#REF!,2,FALSE)</f>
        <v>#REF!</v>
      </c>
      <c r="Q178" s="9" t="e">
        <f>Tableau5617192223242425262827293031333432353620383961719241822254140424344104746[[#This Row],[Total Budget
€]]-IFERROR(VLOOKUP(H178,#REF!,8,FALSE),0)</f>
        <v>#REF!</v>
      </c>
      <c r="R178" s="10">
        <f>AD178+AI178+Tableau5617192223242425262827293031333432353620383961719241822254140424344104746[[#This Row],[Int Commandé OT
€]]+AX178</f>
        <v>0</v>
      </c>
      <c r="S178" s="10">
        <f>AD178+AJ178+Tableau5617192223242425262827293031333432353620383961719241822254140424344104746[[#This Row],[Int Réalisé OT
€]]+AX178</f>
        <v>54127.812354918628</v>
      </c>
      <c r="T178" s="11" t="e">
        <f t="shared" si="38"/>
        <v>#REF!</v>
      </c>
      <c r="U17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8" s="12">
        <f>IFERROR(VLOOKUP(H178,#REF!,2,FALSE),0)</f>
        <v>0</v>
      </c>
      <c r="X178" s="13">
        <f>IFERROR(VLOOKUP(H178,#REF!,2,FALSE),0)</f>
        <v>0</v>
      </c>
      <c r="Y178" s="13">
        <f>IFERROR(VLOOKUP(H178,#REF!,3,FALSE),0)</f>
        <v>0</v>
      </c>
      <c r="Z17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70</v>
      </c>
      <c r="AA178" s="13">
        <f>IFERROR(VLOOKUP(H178,#REF!,18,FALSE),0)</f>
        <v>0</v>
      </c>
      <c r="AB178" s="13">
        <f>SUM(X178:Y178)-IFERROR(VLOOKUP(H178,#REF!,16,FALSE),0)-IFERROR(VLOOKUP(H178,#REF!,17,FALSE),0)</f>
        <v>0</v>
      </c>
      <c r="AC178" s="15" t="e">
        <f>VLOOKUP(Tableau5617192223242425262827293031333432353620383961719241822254140424344104746[[#This Row],[Num Projets]],#REF!,2,FALSE)-Tableau5617192223242425262827293031333432353620383961719241822254140424344104746[[#This Row],[Budget Mission
 €]]</f>
        <v>#REF!</v>
      </c>
      <c r="AD178" s="15">
        <f>IFERROR(VLOOKUP(Tableau5617192223242425262827293031333432353620383961719241822254140424344104746[[#This Row],[Num Projets]],#REF!,2,FALSE),0)</f>
        <v>0</v>
      </c>
      <c r="AE178" s="8">
        <f t="shared" si="39"/>
        <v>3346</v>
      </c>
      <c r="AF178" s="22" t="e">
        <f t="shared" si="40"/>
        <v>#REF!</v>
      </c>
      <c r="AG178" s="8">
        <f>IFERROR(VLOOKUP(H178,#REF!,3,FALSE),0)+IFERROR(VLOOKUP(H178,#REF!,3,FALSE),0)</f>
        <v>0</v>
      </c>
      <c r="AH178" s="8">
        <f>IFERROR(VLOOKUP(Tableau5617192223242425262827293031333432353620383961719241822254140424344104746[[#This Row],[Num Projets]],#REF!,2,FALSE),0)</f>
        <v>0</v>
      </c>
      <c r="AI178" s="17">
        <f>+IFERROR(VLOOKUP(H178,#REF!,2,FALSE),0)-Tableau5617192223242425262827293031333432353620383961719241822254140424344104746[[#This Row],[Int Commandé OT
€]]</f>
        <v>0</v>
      </c>
      <c r="AJ178" s="8">
        <f>IFERROR(VLOOKUP(H178,#REF!,11,FALSE),0)-IFERROR(VLOOKUP(H178,#REF!,10,FALSE),0)+Tableau5617192223242425262827293031333432353620383961719241822254140424344104746[[#This Row],[dont FNP à date (€ HT)]]</f>
        <v>52140</v>
      </c>
      <c r="AK178" s="23">
        <f t="shared" si="46"/>
        <v>-52140</v>
      </c>
      <c r="AL17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52140</v>
      </c>
      <c r="AM178" s="19">
        <v>0</v>
      </c>
      <c r="AN178" s="8">
        <f>IFERROR(VLOOKUP(H178,#REF!,31,FALSE),0)</f>
        <v>0</v>
      </c>
      <c r="AO178" s="8">
        <f>AI178+-IFERROR(VLOOKUP(H178,#REF!,27,FALSE),0)</f>
        <v>0</v>
      </c>
      <c r="AP178" s="20">
        <f>IFERROR(VLOOKUP(Tableau5617192223242425262827293031333432353620383961719241822254140424344104746[[#This Row],[Num Projets]],#REF!,2,FALSE),0)</f>
        <v>0</v>
      </c>
      <c r="AQ178" s="20">
        <f>_xlfn.XLOOKUP(H178,[2]Synth!$N:$N,[2]Synth!$O:$O,0,FALSE)+_xlfn.XLOOKUP(Tableau5617192223242425262827293031333432353620383961719241822254140424344104746[[#This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1987.8123549186253</v>
      </c>
      <c r="AR178" s="21">
        <v>0</v>
      </c>
      <c r="AS178" s="20">
        <f>+IFERROR(VLOOKUP(H178,#REF!,36,FALSE),0)</f>
        <v>0</v>
      </c>
      <c r="AT17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8" s="22">
        <f>IF(AG178=0,0,1-((AI178+AM178+Tableau5617192223242425262827293031333432353620383961719241822254140424344104746[[#This Row],[Int Commandé OT
€]]+Tableau5617192223242425262827293031333432353620383961719241822254140424344104746[[#This Row],[RAF Int OT
€]])/AG178))</f>
        <v>0</v>
      </c>
      <c r="AV178" s="8">
        <f>Tableau5617192223242425262827293031333432353620383961719241822254140424344104746[[#This Row],[Prévisionnel Missions
€]]*1.2</f>
        <v>0</v>
      </c>
      <c r="AW178" s="8">
        <f>IFERROR(VLOOKUP(Tableau5617192223242425262827293031333432353620383961719241822254140424344104746[[#This Row],[Num Projets]],#REF!,3,FALSE),0)</f>
        <v>0</v>
      </c>
      <c r="AX178" s="95">
        <f>IFERROR(VLOOKUP(Tableau5617192223242425262827293031333432353620383961719241822254140424344104746[[#This Row],[Num Projets]],#REF!,10,FALSE),0)</f>
        <v>0</v>
      </c>
      <c r="AY178" s="23">
        <f>Tableau5617192223242425262827293031333432353620383961719241822254140424344104746[[#This Row],[Budget Mission
 €]]/1.2-AX178</f>
        <v>0</v>
      </c>
      <c r="AZ178" s="8">
        <f>IFERROR(VLOOKUP(H178,#REF!,43,FALSE),0)</f>
        <v>0</v>
      </c>
      <c r="BA178" s="8">
        <f>AX178-IFERROR(VLOOKUP(H178,#REF!,42,FALSE),0)</f>
        <v>0</v>
      </c>
      <c r="BB178" s="47">
        <f t="shared" si="47"/>
        <v>0</v>
      </c>
      <c r="BC178" s="24">
        <f>IFERROR(VLOOKUP(H178,#REF!,47,FALSE),IFERROR(VLOOKUP(H178,#REF!,5,FALSE),0)+IFERROR(VLOOKUP(H178,#REF!,5,FALSE),0))</f>
        <v>0</v>
      </c>
      <c r="BD178" s="25">
        <f>IFERROR(VLOOKUP(H178,#REF!,2,FALSE),0)</f>
        <v>0</v>
      </c>
      <c r="BE178" s="25">
        <f>IFERROR(VLOOKUP(H178,#REF!,49,FALSE),0)</f>
        <v>0</v>
      </c>
      <c r="BF178" s="50" t="e">
        <f t="shared" si="41"/>
        <v>#REF!</v>
      </c>
      <c r="BG178" s="50">
        <f t="shared" si="42"/>
        <v>54127.812354918628</v>
      </c>
      <c r="BH178" s="27">
        <f>AE178+ (AI178-AJ178+AM178+Tableau5617192223242425262827293031333432353620383961719241822254140424344104746[[#This Row],[Int Commandé OT
€]]-Tableau5617192223242425262827293031333432353620383961719241822254140424344104746[[#This Row],[Int Réalisé OT
€]]+AR178) +AY178+BC178</f>
        <v>-50781.812354918628</v>
      </c>
      <c r="BI178" s="47">
        <f t="shared" ref="BI178:BI187" si="52">IF(BG178+BH178=0,100%,BG178/(BG178+BH178))</f>
        <v>16.176871594416806</v>
      </c>
      <c r="BJ178" s="47" t="e">
        <f t="shared" si="43"/>
        <v>#REF!</v>
      </c>
      <c r="BK178" s="27" t="e">
        <f t="shared" si="44"/>
        <v>#REF!</v>
      </c>
      <c r="BL178" s="26" t="e">
        <f t="shared" si="45"/>
        <v>#REF!</v>
      </c>
      <c r="BM178" s="96">
        <f>IFERROR(VLOOKUP(H178,'[1]2023sep'!H:CA,54,FALSE),105)</f>
        <v>105</v>
      </c>
      <c r="BN178" s="29">
        <v>1</v>
      </c>
      <c r="BO178" s="30" t="e">
        <f>P178-AC178-AG178-AV178-Tableau5617192223242425262827293031333432353620383961719241822254140424344104746[[#This Row],[Provisions pour risques]]</f>
        <v>#REF!</v>
      </c>
      <c r="BP17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3346</v>
      </c>
      <c r="BQ17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16.176871594416806</v>
      </c>
      <c r="BR178" s="97" t="e">
        <f t="shared" ref="BR178:BR187" si="53">BF178</f>
        <v>#REF!</v>
      </c>
      <c r="BS178" s="34">
        <f>Tableau5617192223242425262827293031333432353620383961719241822254140424344104746[[#This Row],[Consommé global Enregistré à date (€ HT)]]-IFERROR(VLOOKUP(H178,#REF!,50,FALSE),0)</f>
        <v>54127.812354918628</v>
      </c>
      <c r="BT178" s="35" t="e">
        <f t="shared" ref="BT178:BT187" si="54">BR178-BS178</f>
        <v>#REF!</v>
      </c>
      <c r="BU178" s="36">
        <f>BD178-IFERROR(VLOOKUP(H178,#REF!,47,FALSE),0)</f>
        <v>0</v>
      </c>
      <c r="BV178" s="37" t="e">
        <f>+BF178+Tableau5617192223242425262827293031333432353620383961719241822254140424344104746[[#This Row],[CA fin N-1]]-IFERROR(VLOOKUP(H178,#REF!,49,FALSE),0)-IFERROR(VLOOKUP(H178,#REF!,50,FALSE),0)</f>
        <v>#REF!</v>
      </c>
      <c r="BW178" s="33">
        <f>BG178-IFERROR(VLOOKUP(H178,#REF!,51,FALSE),0)</f>
        <v>54127.812354918628</v>
      </c>
      <c r="BX178" s="35" t="e">
        <f t="shared" ref="BX178:BX187" si="55">BV178-BW178</f>
        <v>#REF!</v>
      </c>
      <c r="BY178" s="36">
        <f>BD178-IFERROR(VLOOKUP(H178,#REF!,48,FALSE),0)</f>
        <v>0</v>
      </c>
      <c r="BZ17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8" s="39" t="e">
        <f>VLOOKUP(Tableau5617192223242425262827293031333432353620383961719241822254140424344104746[[#This Row],[Num Projets]],#REF!,1,FALSE)</f>
        <v>#REF!</v>
      </c>
      <c r="CB178" s="40">
        <v>43</v>
      </c>
      <c r="CC178" s="40">
        <v>27</v>
      </c>
      <c r="CD17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-43</v>
      </c>
    </row>
    <row r="179" spans="1:82" ht="15.75" customHeight="1" x14ac:dyDescent="0.25">
      <c r="A179" s="313"/>
      <c r="B179" s="1"/>
      <c r="C179" s="2" t="e">
        <f>_xlfn.XLOOKUP(Tableau5617192223242425262827293031333432353620383961719241822254140424344104746[[#This Row],[Num Projets]],#REF!,#REF!,FALSE)</f>
        <v>#REF!</v>
      </c>
      <c r="D179" s="3" t="s">
        <v>6</v>
      </c>
      <c r="E179" s="3" t="e">
        <f>_xlfn.XLOOKUP(Tableau5617192223242425262827293031333432353620383961719241822254140424344104746[[#This Row],[Num Projets]],#REF!,#REF!,FALSE)</f>
        <v>#REF!</v>
      </c>
      <c r="F179" s="3" t="s">
        <v>52</v>
      </c>
      <c r="G179" s="3" t="s">
        <v>58</v>
      </c>
      <c r="H179" s="3" t="s">
        <v>325</v>
      </c>
      <c r="I179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79" s="4" t="e">
        <f>VLOOKUP(Tableau5617192223242425262827293031333432353620383961719241822254140424344104746[[#This Row],[Num Projets]],#REF!,36,FALSE)</f>
        <v>#REF!</v>
      </c>
      <c r="K179" s="5" t="s">
        <v>21</v>
      </c>
      <c r="L17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79" s="3" t="e">
        <f>SUBSTITUTE(_xlfn.XLOOKUP(Tableau5617192223242425262827293031333432353620383961719241822254140424344104746[[#This Row],[Num Projets]],#REF!,#REF!,FALSE)," ","")</f>
        <v>#REF!</v>
      </c>
      <c r="N179" s="7" t="e">
        <f>VLOOKUP(H179,#REF!,7,FALSE)</f>
        <v>#REF!</v>
      </c>
      <c r="O179" s="7">
        <v>45777</v>
      </c>
      <c r="P179" s="8" t="e">
        <f>VLOOKUP(H179,#REF!,2,FALSE)</f>
        <v>#REF!</v>
      </c>
      <c r="Q179" s="9" t="e">
        <f>Tableau5617192223242425262827293031333432353620383961719241822254140424344104746[[#This Row],[Total Budget
€]]-IFERROR(VLOOKUP(H179,#REF!,8,FALSE),0)</f>
        <v>#REF!</v>
      </c>
      <c r="R179" s="10">
        <f>AD179+AI179+Tableau5617192223242425262827293031333432353620383961719241822254140424344104746[[#This Row],[Int Commandé OT
€]]+AX179</f>
        <v>0</v>
      </c>
      <c r="S179" s="10">
        <f>AD179+AJ179+Tableau5617192223242425262827293031333432353620383961719241822254140424344104746[[#This Row],[Int Réalisé OT
€]]+AX179</f>
        <v>0</v>
      </c>
      <c r="T179" s="11" t="e">
        <f t="shared" si="38"/>
        <v>#REF!</v>
      </c>
      <c r="U17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7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79" s="12">
        <f>IFERROR(VLOOKUP(H179,#REF!,2,FALSE),0)</f>
        <v>0</v>
      </c>
      <c r="X179" s="13">
        <f>IFERROR(VLOOKUP(H179,#REF!,2,FALSE),0)</f>
        <v>0</v>
      </c>
      <c r="Y179" s="13">
        <f>IFERROR(VLOOKUP(H179,#REF!,3,FALSE),0)</f>
        <v>0</v>
      </c>
      <c r="Z17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</v>
      </c>
      <c r="AA179" s="13">
        <f>IFERROR(VLOOKUP(H179,#REF!,18,FALSE),0)</f>
        <v>0</v>
      </c>
      <c r="AB179" s="13">
        <f>SUM(X179:Y179)-IFERROR(VLOOKUP(H179,#REF!,16,FALSE),0)-IFERROR(VLOOKUP(H179,#REF!,17,FALSE),0)</f>
        <v>0</v>
      </c>
      <c r="AC179" s="15" t="e">
        <f>VLOOKUP(Tableau5617192223242425262827293031333432353620383961719241822254140424344104746[[#This Row],[Num Projets]],#REF!,2,FALSE)</f>
        <v>#REF!</v>
      </c>
      <c r="AD179" s="15">
        <f>IFERROR(VLOOKUP(Tableau5617192223242425262827293031333432353620383961719241822254140424344104746[[#This Row],[Num Projets]],#REF!,2,FALSE),0)</f>
        <v>0</v>
      </c>
      <c r="AE179" s="8">
        <f t="shared" si="39"/>
        <v>382.4</v>
      </c>
      <c r="AF179" s="22" t="e">
        <f t="shared" si="40"/>
        <v>#REF!</v>
      </c>
      <c r="AG179" s="8">
        <f>IFERROR(VLOOKUP(H179,#REF!,3,FALSE),0)+IFERROR(VLOOKUP(H179,#REF!,3,FALSE),0)</f>
        <v>0</v>
      </c>
      <c r="AH179" s="8">
        <f>IFERROR(VLOOKUP(Tableau5617192223242425262827293031333432353620383961719241822254140424344104746[[#This Row],[Num Projets]],#REF!,2,FALSE),0)</f>
        <v>0</v>
      </c>
      <c r="AI179" s="17">
        <f>+IFERROR(VLOOKUP(H179,#REF!,2,FALSE),0)-Tableau5617192223242425262827293031333432353620383961719241822254140424344104746[[#This Row],[Int Commandé OT
€]]</f>
        <v>0</v>
      </c>
      <c r="AJ179" s="8">
        <f>IFERROR(VLOOKUP(H179,#REF!,11,FALSE),0)-IFERROR(VLOOKUP(H179,#REF!,10,FALSE),0)+Tableau5617192223242425262827293031333432353620383961719241822254140424344104746[[#This Row],[dont FNP à date (€ HT)]]</f>
        <v>0</v>
      </c>
      <c r="AK179" s="15">
        <f t="shared" si="46"/>
        <v>0</v>
      </c>
      <c r="AL17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79" s="19">
        <f>IF(Tableau5617192223242425262827293031333432353620383961719241822254140424344104746[[#This Row],[RAF Achats M-1
€]]=0,0,AN179-AO179)</f>
        <v>0</v>
      </c>
      <c r="AN179" s="8">
        <f>IFERROR(VLOOKUP(H179,#REF!,31,FALSE),0)</f>
        <v>0</v>
      </c>
      <c r="AO179" s="8">
        <f>AI179+-IFERROR(VLOOKUP(H179,#REF!,27,FALSE),0)</f>
        <v>0</v>
      </c>
      <c r="AP179" s="20">
        <f>IFERROR(VLOOKUP(Tableau5617192223242425262827293031333432353620383961719241822254140424344104746[[#This Row],[Num Projets]],#REF!,2,FALSE),0)</f>
        <v>0</v>
      </c>
      <c r="AQ179" s="20">
        <f>_xlfn.XLOOKUP(H179,[2]Synth!$N:$N,[2]Synth!$O:$O,0,FALSE)+_xlfn.XLOOKUP(Tableau5617192223242425262827293031333432353620383961719241822254140424344104746[[#This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79" s="21">
        <v>0</v>
      </c>
      <c r="AS179" s="20">
        <f>+IFERROR(VLOOKUP(H179,#REF!,36,FALSE),0)</f>
        <v>0</v>
      </c>
      <c r="AT17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79" s="22">
        <f>IF(AG179=0,0,1-((AI179+AM179+Tableau5617192223242425262827293031333432353620383961719241822254140424344104746[[#This Row],[Int Commandé OT
€]]+Tableau5617192223242425262827293031333432353620383961719241822254140424344104746[[#This Row],[RAF Int OT
€]])/AG179))</f>
        <v>0</v>
      </c>
      <c r="AV179" s="8">
        <f>IFERROR(VLOOKUP(H179,#REF!,4,FALSE),0)+IFERROR(VLOOKUP(H179,#REF!,4,FALSE),0)</f>
        <v>0</v>
      </c>
      <c r="AW179" s="8">
        <f>IFERROR(VLOOKUP(Tableau5617192223242425262827293031333432353620383961719241822254140424344104746[[#This Row],[Num Projets]],#REF!,3,FALSE),0)</f>
        <v>0</v>
      </c>
      <c r="AX179" s="95">
        <f>IFERROR(VLOOKUP(Tableau5617192223242425262827293031333432353620383961719241822254140424344104746[[#This Row],[Num Projets]],#REF!,10,FALSE),0)</f>
        <v>0</v>
      </c>
      <c r="AY179" s="23">
        <f>Tableau5617192223242425262827293031333432353620383961719241822254140424344104746[[#This Row],[Budget Mission
 €]]/1.2-AX179</f>
        <v>0</v>
      </c>
      <c r="AZ179" s="8">
        <f>IFERROR(VLOOKUP(H179,#REF!,43,FALSE),0)</f>
        <v>0</v>
      </c>
      <c r="BA179" s="8">
        <f>AX179-IFERROR(VLOOKUP(H179,#REF!,42,FALSE),0)</f>
        <v>0</v>
      </c>
      <c r="BB179" s="47">
        <f t="shared" si="47"/>
        <v>0</v>
      </c>
      <c r="BC179" s="24">
        <f>IFERROR(VLOOKUP(H179,#REF!,47,FALSE),IFERROR(VLOOKUP(H179,#REF!,5,FALSE),0)+IFERROR(VLOOKUP(H179,#REF!,5,FALSE),0))</f>
        <v>0</v>
      </c>
      <c r="BD179" s="25">
        <f>IFERROR(VLOOKUP(H179,#REF!,2,FALSE),0)</f>
        <v>0</v>
      </c>
      <c r="BE179" s="25">
        <f>IFERROR(VLOOKUP(H179,#REF!,49,FALSE),0)</f>
        <v>0</v>
      </c>
      <c r="BF179" s="50" t="e">
        <f t="shared" si="41"/>
        <v>#REF!</v>
      </c>
      <c r="BG179" s="50">
        <f t="shared" si="42"/>
        <v>0</v>
      </c>
      <c r="BH179" s="27">
        <f>AE179+ (AI179-AJ179+AM179+Tableau5617192223242425262827293031333432353620383961719241822254140424344104746[[#This Row],[Int Commandé OT
€]]-Tableau5617192223242425262827293031333432353620383961719241822254140424344104746[[#This Row],[Int Réalisé OT
€]]+AR179) +AY179+BC179</f>
        <v>382.4</v>
      </c>
      <c r="BI179" s="47">
        <f t="shared" si="52"/>
        <v>0</v>
      </c>
      <c r="BJ179" s="47" t="e">
        <f t="shared" si="43"/>
        <v>#REF!</v>
      </c>
      <c r="BK179" s="27" t="e">
        <f t="shared" si="44"/>
        <v>#REF!</v>
      </c>
      <c r="BL179" s="26" t="e">
        <f t="shared" si="45"/>
        <v>#REF!</v>
      </c>
      <c r="BM179" s="96">
        <f>IFERROR(VLOOKUP(H179,'[1]2023sep'!H:CA,54,FALSE),105)</f>
        <v>105</v>
      </c>
      <c r="BN179" s="29">
        <v>1</v>
      </c>
      <c r="BO179" s="30" t="e">
        <f>P179-AC179-AG179-AV179-Tableau5617192223242425262827293031333432353620383961719241822254140424344104746[[#This Row],[Provisions pour risques]]</f>
        <v>#REF!</v>
      </c>
      <c r="BP17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382.4</v>
      </c>
      <c r="BQ17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79" s="97" t="e">
        <f t="shared" si="53"/>
        <v>#REF!</v>
      </c>
      <c r="BS179" s="34">
        <f>Tableau5617192223242425262827293031333432353620383961719241822254140424344104746[[#This Row],[Consommé global Enregistré à date (€ HT)]]-IFERROR(VLOOKUP(H179,#REF!,50,FALSE),0)</f>
        <v>0</v>
      </c>
      <c r="BT179" s="35" t="e">
        <f t="shared" si="54"/>
        <v>#REF!</v>
      </c>
      <c r="BU179" s="36">
        <f>BD179-IFERROR(VLOOKUP(H179,#REF!,47,FALSE),0)</f>
        <v>0</v>
      </c>
      <c r="BV179" s="37" t="e">
        <f>+BF179+Tableau5617192223242425262827293031333432353620383961719241822254140424344104746[[#This Row],[CA fin N-1]]-IFERROR(VLOOKUP(H179,#REF!,49,FALSE),0)-IFERROR(VLOOKUP(H179,#REF!,50,FALSE),0)</f>
        <v>#REF!</v>
      </c>
      <c r="BW179" s="33">
        <f>BG179-IFERROR(VLOOKUP(H179,#REF!,51,FALSE),0)</f>
        <v>0</v>
      </c>
      <c r="BX179" s="35" t="e">
        <f t="shared" si="55"/>
        <v>#REF!</v>
      </c>
      <c r="BY179" s="36">
        <f>BD179-IFERROR(VLOOKUP(H179,#REF!,48,FALSE),0)</f>
        <v>0</v>
      </c>
      <c r="BZ17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79" s="39" t="e">
        <f>VLOOKUP(Tableau5617192223242425262827293031333432353620383961719241822254140424344104746[[#This Row],[Num Projets]],#REF!,1,FALSE)</f>
        <v>#REF!</v>
      </c>
      <c r="CB179" s="40">
        <v>8</v>
      </c>
      <c r="CC179" s="40">
        <v>0</v>
      </c>
      <c r="CD17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-8</v>
      </c>
    </row>
    <row r="180" spans="1:82" ht="15.75" customHeight="1" x14ac:dyDescent="0.25">
      <c r="A180" s="313" t="s">
        <v>326</v>
      </c>
      <c r="B180" s="1"/>
      <c r="C180" s="2" t="e">
        <f>_xlfn.XLOOKUP(Tableau5617192223242425262827293031333432353620383961719241822254140424344104746[[#This Row],[Num Projets]],#REF!,#REF!,FALSE)</f>
        <v>#REF!</v>
      </c>
      <c r="D180" s="3" t="s">
        <v>1</v>
      </c>
      <c r="E180" s="3" t="e">
        <f>_xlfn.XLOOKUP(Tableau5617192223242425262827293031333432353620383961719241822254140424344104746[[#This Row],[Num Projets]],#REF!,#REF!,FALSE)</f>
        <v>#REF!</v>
      </c>
      <c r="F180" s="3" t="e">
        <f>_xlfn.XLOOKUP(Tableau5617192223242425262827293031333432353620383961719241822254140424344104746[[#This Row],[Num Projets]],#REF!,#REF!,"newavr",0)</f>
        <v>#REF!</v>
      </c>
      <c r="G180" s="3" t="s">
        <v>2</v>
      </c>
      <c r="H180" s="3" t="s">
        <v>327</v>
      </c>
      <c r="I18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0" s="4" t="e">
        <f>VLOOKUP(Tableau5617192223242425262827293031333432353620383961719241822254140424344104746[[#This Row],[Num Projets]],#REF!,36,FALSE)</f>
        <v>#REF!</v>
      </c>
      <c r="K180" s="5" t="s">
        <v>4</v>
      </c>
      <c r="L18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0" s="3" t="e">
        <f>SUBSTITUTE(_xlfn.XLOOKUP(Tableau5617192223242425262827293031333432353620383961719241822254140424344104746[[#This Row],[Num Projets]],#REF!,#REF!,FALSE)," ","")</f>
        <v>#REF!</v>
      </c>
      <c r="N180" s="7" t="e">
        <f>VLOOKUP(H180,#REF!,7,FALSE)</f>
        <v>#REF!</v>
      </c>
      <c r="O180" s="7" t="e">
        <f>IF(VLOOKUP(H180,#REF!,27,FALSE)=0,"",VLOOKUP(H180,#REF!,27,FALSE))</f>
        <v>#REF!</v>
      </c>
      <c r="P180" s="8" t="e">
        <f>VLOOKUP(H180,#REF!,2,FALSE)</f>
        <v>#REF!</v>
      </c>
      <c r="Q180" s="9" t="e">
        <f>Tableau5617192223242425262827293031333432353620383961719241822254140424344104746[[#This Row],[Total Budget
€]]-IFERROR(VLOOKUP(H180,#REF!,8,FALSE),0)</f>
        <v>#REF!</v>
      </c>
      <c r="R180" s="10">
        <f>AD180+AI180+Tableau5617192223242425262827293031333432353620383961719241822254140424344104746[[#This Row],[Int Commandé OT
€]]+AX180</f>
        <v>0</v>
      </c>
      <c r="S180" s="10">
        <f>AD180+AJ180+Tableau5617192223242425262827293031333432353620383961719241822254140424344104746[[#This Row],[Int Réalisé OT
€]]+AX180</f>
        <v>0</v>
      </c>
      <c r="T180" s="11" t="e">
        <f t="shared" si="38"/>
        <v>#REF!</v>
      </c>
      <c r="U18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0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0" s="12">
        <f>IFERROR(VLOOKUP(H180,#REF!,2,FALSE),0)</f>
        <v>0</v>
      </c>
      <c r="X180" s="13">
        <f>IFERROR(VLOOKUP(H180,#REF!,2,FALSE),0)</f>
        <v>0</v>
      </c>
      <c r="Y180" s="13">
        <f>IFERROR(VLOOKUP(H180,#REF!,3,FALSE),0)</f>
        <v>0</v>
      </c>
      <c r="Z18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22</v>
      </c>
      <c r="AA180" s="13">
        <f>IFERROR(VLOOKUP(H180,#REF!,18,FALSE),0)</f>
        <v>0</v>
      </c>
      <c r="AB180" s="13">
        <f>SUM(X180:Y180)-IFERROR(VLOOKUP(H180,#REF!,16,FALSE),0)-IFERROR(VLOOKUP(H180,#REF!,17,FALSE),0)</f>
        <v>0</v>
      </c>
      <c r="AC180" s="15" t="e">
        <f>VLOOKUP(Tableau5617192223242425262827293031333432353620383961719241822254140424344104746[[#This Row],[Num Projets]],#REF!,2,FALSE)</f>
        <v>#REF!</v>
      </c>
      <c r="AD180" s="15">
        <f>IFERROR(VLOOKUP(Tableau5617192223242425262827293031333432353620383961719241822254140424344104746[[#This Row],[Num Projets]],#REF!,2,FALSE),0)</f>
        <v>0</v>
      </c>
      <c r="AE180" s="8">
        <f t="shared" si="39"/>
        <v>1051.5999999999999</v>
      </c>
      <c r="AF180" s="22" t="e">
        <f t="shared" si="40"/>
        <v>#REF!</v>
      </c>
      <c r="AG180" s="8">
        <f>IFERROR(VLOOKUP(H180,#REF!,3,FALSE),0)+IFERROR(VLOOKUP(H180,#REF!,3,FALSE),0)</f>
        <v>0</v>
      </c>
      <c r="AH180" s="8">
        <f>IFERROR(VLOOKUP(Tableau5617192223242425262827293031333432353620383961719241822254140424344104746[[#This Row],[Num Projets]],#REF!,2,FALSE),0)</f>
        <v>0</v>
      </c>
      <c r="AI180" s="17">
        <f>+IFERROR(VLOOKUP(H180,#REF!,2,FALSE),0)-Tableau5617192223242425262827293031333432353620383961719241822254140424344104746[[#This Row],[Int Commandé OT
€]]</f>
        <v>0</v>
      </c>
      <c r="AJ180" s="8">
        <f>IFERROR(VLOOKUP(H180,#REF!,11,FALSE),0)-IFERROR(VLOOKUP(H180,#REF!,10,FALSE),0)+Tableau5617192223242425262827293031333432353620383961719241822254140424344104746[[#This Row],[dont FNP à date (€ HT)]]</f>
        <v>0</v>
      </c>
      <c r="AK180" s="15">
        <f t="shared" si="46"/>
        <v>0</v>
      </c>
      <c r="AL18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0" s="19">
        <f>IF(Tableau5617192223242425262827293031333432353620383961719241822254140424344104746[[#This Row],[RAF Achats M-1
€]]=0,0,AN180-AO180)</f>
        <v>0</v>
      </c>
      <c r="AN180" s="8">
        <f>IFERROR(VLOOKUP(H180,#REF!,31,FALSE),0)</f>
        <v>0</v>
      </c>
      <c r="AO180" s="8">
        <f>AI180+-IFERROR(VLOOKUP(H180,#REF!,27,FALSE),0)</f>
        <v>0</v>
      </c>
      <c r="AP180" s="20">
        <f>IFERROR(VLOOKUP(Tableau5617192223242425262827293031333432353620383961719241822254140424344104746[[#This Row],[Num Projets]],#REF!,2,FALSE),0)</f>
        <v>0</v>
      </c>
      <c r="AQ180" s="20">
        <f>_xlfn.XLOOKUP(H180,[2]Synth!$N:$N,[2]Synth!$O:$O,0,FALSE)+_xlfn.XLOOKUP(Tableau5617192223242425262827293031333432353620383961719241822254140424344104746[[#This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0" s="21">
        <v>0</v>
      </c>
      <c r="AS180" s="20">
        <f>+IFERROR(VLOOKUP(H180,#REF!,36,FALSE),0)</f>
        <v>0</v>
      </c>
      <c r="AT18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0" s="22">
        <f>IF(AG180=0,0,1-((AI180+AM180+Tableau5617192223242425262827293031333432353620383961719241822254140424344104746[[#This Row],[Int Commandé OT
€]]+Tableau5617192223242425262827293031333432353620383961719241822254140424344104746[[#This Row],[RAF Int OT
€]])/AG180))</f>
        <v>0</v>
      </c>
      <c r="AV180" s="8">
        <f>IFERROR(VLOOKUP(H180,#REF!,4,FALSE),0)+IFERROR(VLOOKUP(H180,#REF!,4,FALSE),0)</f>
        <v>0</v>
      </c>
      <c r="AW180" s="8">
        <f>IFERROR(VLOOKUP(Tableau5617192223242425262827293031333432353620383961719241822254140424344104746[[#This Row],[Num Projets]],#REF!,3,FALSE),0)</f>
        <v>0</v>
      </c>
      <c r="AX180" s="95">
        <f>IFERROR(VLOOKUP(Tableau5617192223242425262827293031333432353620383961719241822254140424344104746[[#This Row],[Num Projets]],#REF!,10,FALSE),0)</f>
        <v>0</v>
      </c>
      <c r="AY180" s="23">
        <f>Tableau5617192223242425262827293031333432353620383961719241822254140424344104746[[#This Row],[Budget Mission
 €]]/1.2-AX180</f>
        <v>0</v>
      </c>
      <c r="AZ180" s="8">
        <f>IFERROR(VLOOKUP(H180,#REF!,43,FALSE),0)</f>
        <v>0</v>
      </c>
      <c r="BA180" s="8">
        <f>AX180-IFERROR(VLOOKUP(H180,#REF!,42,FALSE),0)</f>
        <v>0</v>
      </c>
      <c r="BB180" s="47">
        <f t="shared" si="47"/>
        <v>0</v>
      </c>
      <c r="BC180" s="24">
        <f>IFERROR(VLOOKUP(H180,#REF!,47,FALSE),IFERROR(VLOOKUP(H180,#REF!,5,FALSE),0)+IFERROR(VLOOKUP(H180,#REF!,5,FALSE),0))</f>
        <v>0</v>
      </c>
      <c r="BD180" s="25">
        <f>IFERROR(VLOOKUP(H180,#REF!,2,FALSE),0)</f>
        <v>0</v>
      </c>
      <c r="BE180" s="25">
        <f>IFERROR(VLOOKUP(H180,#REF!,49,FALSE),0)</f>
        <v>0</v>
      </c>
      <c r="BF180" s="50" t="e">
        <f t="shared" si="41"/>
        <v>#REF!</v>
      </c>
      <c r="BG180" s="50">
        <f t="shared" si="42"/>
        <v>0</v>
      </c>
      <c r="BH180" s="27">
        <f>AE180+ (AI180-AJ180+AM180+Tableau5617192223242425262827293031333432353620383961719241822254140424344104746[[#This Row],[Int Commandé OT
€]]-Tableau5617192223242425262827293031333432353620383961719241822254140424344104746[[#This Row],[Int Réalisé OT
€]]+AR180) +AY180+BC180</f>
        <v>1051.5999999999999</v>
      </c>
      <c r="BI180" s="47">
        <f t="shared" si="52"/>
        <v>0</v>
      </c>
      <c r="BJ180" s="47" t="e">
        <f t="shared" si="43"/>
        <v>#REF!</v>
      </c>
      <c r="BK180" s="27" t="e">
        <f t="shared" si="44"/>
        <v>#REF!</v>
      </c>
      <c r="BL180" s="26" t="e">
        <f t="shared" si="45"/>
        <v>#REF!</v>
      </c>
      <c r="BM180" s="96">
        <f>IFERROR(VLOOKUP(H180,'[1]2023sep'!H:CA,54,FALSE),105)</f>
        <v>105</v>
      </c>
      <c r="BN180" s="29">
        <v>1</v>
      </c>
      <c r="BO180" s="30" t="e">
        <f>P180-AC180-AG180-AV180-Tableau5617192223242425262827293031333432353620383961719241822254140424344104746[[#This Row],[Provisions pour risques]]</f>
        <v>#REF!</v>
      </c>
      <c r="BP18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1051.5999999999999</v>
      </c>
      <c r="BQ18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0" s="97" t="e">
        <f t="shared" si="53"/>
        <v>#REF!</v>
      </c>
      <c r="BS180" s="34">
        <f>Tableau5617192223242425262827293031333432353620383961719241822254140424344104746[[#This Row],[Consommé global Enregistré à date (€ HT)]]-IFERROR(VLOOKUP(H180,#REF!,50,FALSE),0)</f>
        <v>0</v>
      </c>
      <c r="BT180" s="35" t="e">
        <f t="shared" si="54"/>
        <v>#REF!</v>
      </c>
      <c r="BU180" s="36">
        <f>BD180-IFERROR(VLOOKUP(H180,#REF!,47,FALSE),0)</f>
        <v>0</v>
      </c>
      <c r="BV180" s="37" t="e">
        <f>+BF180+Tableau5617192223242425262827293031333432353620383961719241822254140424344104746[[#This Row],[CA fin N-1]]-IFERROR(VLOOKUP(H180,#REF!,49,FALSE),0)-IFERROR(VLOOKUP(H180,#REF!,50,FALSE),0)</f>
        <v>#REF!</v>
      </c>
      <c r="BW180" s="33">
        <f>BG180-IFERROR(VLOOKUP(H180,#REF!,51,FALSE),0)</f>
        <v>0</v>
      </c>
      <c r="BX180" s="35" t="e">
        <f t="shared" si="55"/>
        <v>#REF!</v>
      </c>
      <c r="BY180" s="36">
        <f>BD180-IFERROR(VLOOKUP(H180,#REF!,48,FALSE),0)</f>
        <v>0</v>
      </c>
      <c r="BZ18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0" s="39" t="e">
        <f>VLOOKUP(Tableau5617192223242425262827293031333432353620383961719241822254140424344104746[[#This Row],[Num Projets]],#REF!,1,FALSE)</f>
        <v>#REF!</v>
      </c>
      <c r="CB180" s="40">
        <v>14</v>
      </c>
      <c r="CC180" s="40">
        <v>8</v>
      </c>
      <c r="CD18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</v>
      </c>
    </row>
    <row r="181" spans="1:82" ht="15.75" customHeight="1" x14ac:dyDescent="0.25">
      <c r="A181" s="313"/>
      <c r="B181" s="1"/>
      <c r="C181" s="2" t="e">
        <f>_xlfn.XLOOKUP(Tableau5617192223242425262827293031333432353620383961719241822254140424344104746[[#This Row],[Num Projets]],#REF!,#REF!,FALSE)</f>
        <v>#REF!</v>
      </c>
      <c r="D181" s="3" t="s">
        <v>1</v>
      </c>
      <c r="E181" s="3" t="e">
        <f>_xlfn.XLOOKUP(Tableau5617192223242425262827293031333432353620383961719241822254140424344104746[[#This Row],[Num Projets]],#REF!,#REF!,FALSE)</f>
        <v>#REF!</v>
      </c>
      <c r="F181" s="3" t="s">
        <v>52</v>
      </c>
      <c r="G181" s="3" t="s">
        <v>2</v>
      </c>
      <c r="H181" s="3" t="s">
        <v>328</v>
      </c>
      <c r="I181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1" s="4" t="e">
        <f>VLOOKUP(Tableau5617192223242425262827293031333432353620383961719241822254140424344104746[[#This Row],[Num Projets]],#REF!,36,FALSE)</f>
        <v>#REF!</v>
      </c>
      <c r="K181" s="5" t="s">
        <v>4</v>
      </c>
      <c r="L18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1" s="3" t="e">
        <f>SUBSTITUTE(_xlfn.XLOOKUP(Tableau5617192223242425262827293031333432353620383961719241822254140424344104746[[#This Row],[Num Projets]],#REF!,#REF!,FALSE)," ","")</f>
        <v>#REF!</v>
      </c>
      <c r="N181" s="7" t="e">
        <f>VLOOKUP(H181,#REF!,7,FALSE)</f>
        <v>#REF!</v>
      </c>
      <c r="O181" s="7">
        <v>45777</v>
      </c>
      <c r="P181" s="8" t="e">
        <f>VLOOKUP(H181,#REF!,2,FALSE)</f>
        <v>#REF!</v>
      </c>
      <c r="Q181" s="9" t="e">
        <f>Tableau5617192223242425262827293031333432353620383961719241822254140424344104746[[#This Row],[Total Budget
€]]-IFERROR(VLOOKUP(H181,#REF!,8,FALSE),0)</f>
        <v>#REF!</v>
      </c>
      <c r="R181" s="10">
        <f>AD181+AI181+Tableau5617192223242425262827293031333432353620383961719241822254140424344104746[[#This Row],[Int Commandé OT
€]]+AX181</f>
        <v>0</v>
      </c>
      <c r="S181" s="10">
        <f>AD181+AJ181+Tableau5617192223242425262827293031333432353620383961719241822254140424344104746[[#This Row],[Int Réalisé OT
€]]+AX181</f>
        <v>0</v>
      </c>
      <c r="T181" s="11" t="e">
        <f t="shared" si="38"/>
        <v>#REF!</v>
      </c>
      <c r="U18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1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1" s="12">
        <f>IFERROR(VLOOKUP(H181,#REF!,2,FALSE),0)</f>
        <v>0</v>
      </c>
      <c r="X181" s="13">
        <f>IFERROR(VLOOKUP(H181,#REF!,2,FALSE),0)</f>
        <v>0</v>
      </c>
      <c r="Y181" s="13">
        <f>IFERROR(VLOOKUP(H181,#REF!,3,FALSE),0)</f>
        <v>0</v>
      </c>
      <c r="Z18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25.5</v>
      </c>
      <c r="AA181" s="13">
        <f>IFERROR(VLOOKUP(H181,#REF!,18,FALSE),0)</f>
        <v>0</v>
      </c>
      <c r="AB181" s="13">
        <f>SUM(X181:Y181)-IFERROR(VLOOKUP(H181,#REF!,16,FALSE),0)-IFERROR(VLOOKUP(H181,#REF!,17,FALSE),0)</f>
        <v>0</v>
      </c>
      <c r="AC181" s="15" t="e">
        <f>VLOOKUP(Tableau5617192223242425262827293031333432353620383961719241822254140424344104746[[#This Row],[Num Projets]],#REF!,2,FALSE)</f>
        <v>#REF!</v>
      </c>
      <c r="AD181" s="15">
        <f>IFERROR(VLOOKUP(Tableau5617192223242425262827293031333432353620383961719241822254140424344104746[[#This Row],[Num Projets]],#REF!,2,FALSE),0)</f>
        <v>0</v>
      </c>
      <c r="AE181" s="8">
        <f t="shared" si="39"/>
        <v>1218.8999999999999</v>
      </c>
      <c r="AF181" s="22" t="e">
        <f t="shared" si="40"/>
        <v>#REF!</v>
      </c>
      <c r="AG181" s="8">
        <f>IFERROR(VLOOKUP(H181,#REF!,3,FALSE),0)+IFERROR(VLOOKUP(H181,#REF!,3,FALSE),0)</f>
        <v>0</v>
      </c>
      <c r="AH181" s="8">
        <f>IFERROR(VLOOKUP(Tableau5617192223242425262827293031333432353620383961719241822254140424344104746[[#This Row],[Num Projets]],#REF!,2,FALSE),0)</f>
        <v>0</v>
      </c>
      <c r="AI181" s="17">
        <f>+IFERROR(VLOOKUP(H181,#REF!,2,FALSE),0)-Tableau5617192223242425262827293031333432353620383961719241822254140424344104746[[#This Row],[Int Commandé OT
€]]</f>
        <v>0</v>
      </c>
      <c r="AJ181" s="8">
        <f>IFERROR(VLOOKUP(H181,#REF!,11,FALSE),0)-IFERROR(VLOOKUP(H181,#REF!,10,FALSE),0)+Tableau5617192223242425262827293031333432353620383961719241822254140424344104746[[#This Row],[dont FNP à date (€ HT)]]</f>
        <v>0</v>
      </c>
      <c r="AK181" s="15">
        <f t="shared" si="46"/>
        <v>0</v>
      </c>
      <c r="AL18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1" s="19">
        <f>IF(Tableau5617192223242425262827293031333432353620383961719241822254140424344104746[[#This Row],[RAF Achats M-1
€]]=0,0,AN181-AO181)</f>
        <v>0</v>
      </c>
      <c r="AN181" s="8">
        <f>IFERROR(VLOOKUP(H181,#REF!,31,FALSE),0)</f>
        <v>0</v>
      </c>
      <c r="AO181" s="8">
        <f>AI181+-IFERROR(VLOOKUP(H181,#REF!,27,FALSE),0)</f>
        <v>0</v>
      </c>
      <c r="AP181" s="20">
        <f>IFERROR(VLOOKUP(Tableau5617192223242425262827293031333432353620383961719241822254140424344104746[[#This Row],[Num Projets]],#REF!,2,FALSE),0)</f>
        <v>0</v>
      </c>
      <c r="AQ181" s="20">
        <f>_xlfn.XLOOKUP(H181,[2]Synth!$N:$N,[2]Synth!$O:$O,0,FALSE)+_xlfn.XLOOKUP(Tableau5617192223242425262827293031333432353620383961719241822254140424344104746[[#This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1" s="21">
        <v>0</v>
      </c>
      <c r="AS181" s="20">
        <f>+IFERROR(VLOOKUP(H181,#REF!,36,FALSE),0)</f>
        <v>0</v>
      </c>
      <c r="AT18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1" s="22">
        <f>IF(AG181=0,0,1-((AI181+AM181+Tableau5617192223242425262827293031333432353620383961719241822254140424344104746[[#This Row],[Int Commandé OT
€]]+Tableau5617192223242425262827293031333432353620383961719241822254140424344104746[[#This Row],[RAF Int OT
€]])/AG181))</f>
        <v>0</v>
      </c>
      <c r="AV181" s="8">
        <f>IFERROR(VLOOKUP(H181,#REF!,4,FALSE),0)+IFERROR(VLOOKUP(H181,#REF!,4,FALSE),0)</f>
        <v>0</v>
      </c>
      <c r="AW181" s="8">
        <f>IFERROR(VLOOKUP(Tableau5617192223242425262827293031333432353620383961719241822254140424344104746[[#This Row],[Num Projets]],#REF!,3,FALSE),0)</f>
        <v>0</v>
      </c>
      <c r="AX181" s="95">
        <f>IFERROR(VLOOKUP(Tableau5617192223242425262827293031333432353620383961719241822254140424344104746[[#This Row],[Num Projets]],#REF!,10,FALSE),0)</f>
        <v>0</v>
      </c>
      <c r="AY181" s="23">
        <f>Tableau5617192223242425262827293031333432353620383961719241822254140424344104746[[#This Row],[Budget Mission
 €]]/1.2-AX181</f>
        <v>0</v>
      </c>
      <c r="AZ181" s="8">
        <f>IFERROR(VLOOKUP(H181,#REF!,43,FALSE),0)</f>
        <v>0</v>
      </c>
      <c r="BA181" s="8">
        <f>AX181-IFERROR(VLOOKUP(H181,#REF!,42,FALSE),0)</f>
        <v>0</v>
      </c>
      <c r="BB181" s="47">
        <f t="shared" si="47"/>
        <v>0</v>
      </c>
      <c r="BC181" s="24">
        <f>IFERROR(VLOOKUP(H181,#REF!,47,FALSE),IFERROR(VLOOKUP(H181,#REF!,5,FALSE),0)+IFERROR(VLOOKUP(H181,#REF!,5,FALSE),0))</f>
        <v>0</v>
      </c>
      <c r="BD181" s="25">
        <f>IFERROR(VLOOKUP(H181,#REF!,2,FALSE),0)</f>
        <v>0</v>
      </c>
      <c r="BE181" s="25">
        <f>IFERROR(VLOOKUP(H181,#REF!,49,FALSE),0)</f>
        <v>0</v>
      </c>
      <c r="BF181" s="50" t="e">
        <f t="shared" si="41"/>
        <v>#REF!</v>
      </c>
      <c r="BG181" s="50">
        <f t="shared" si="42"/>
        <v>0</v>
      </c>
      <c r="BH181" s="27">
        <f>AE181+ (AI181-AJ181+AM181+Tableau5617192223242425262827293031333432353620383961719241822254140424344104746[[#This Row],[Int Commandé OT
€]]-Tableau5617192223242425262827293031333432353620383961719241822254140424344104746[[#This Row],[Int Réalisé OT
€]]+AR181) +AY181+BC181</f>
        <v>1218.8999999999999</v>
      </c>
      <c r="BI181" s="47">
        <f t="shared" si="52"/>
        <v>0</v>
      </c>
      <c r="BJ181" s="47" t="e">
        <f t="shared" si="43"/>
        <v>#REF!</v>
      </c>
      <c r="BK181" s="27" t="e">
        <f t="shared" si="44"/>
        <v>#REF!</v>
      </c>
      <c r="BL181" s="26" t="e">
        <f t="shared" si="45"/>
        <v>#REF!</v>
      </c>
      <c r="BM181" s="96">
        <f>IFERROR(VLOOKUP(H181,'[1]2023sep'!H:CA,54,FALSE),105)</f>
        <v>105</v>
      </c>
      <c r="BN181" s="29">
        <v>1</v>
      </c>
      <c r="BO181" s="30" t="e">
        <f>P181-AC181-AG181-AV181-Tableau5617192223242425262827293031333432353620383961719241822254140424344104746[[#This Row],[Provisions pour risques]]</f>
        <v>#REF!</v>
      </c>
      <c r="BP18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1218.8999999999999</v>
      </c>
      <c r="BQ18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1" s="97" t="e">
        <f t="shared" si="53"/>
        <v>#REF!</v>
      </c>
      <c r="BS181" s="34">
        <f>Tableau5617192223242425262827293031333432353620383961719241822254140424344104746[[#This Row],[Consommé global Enregistré à date (€ HT)]]-IFERROR(VLOOKUP(H181,#REF!,50,FALSE),0)</f>
        <v>0</v>
      </c>
      <c r="BT181" s="35" t="e">
        <f t="shared" si="54"/>
        <v>#REF!</v>
      </c>
      <c r="BU181" s="36">
        <f>BD181-IFERROR(VLOOKUP(H181,#REF!,47,FALSE),0)</f>
        <v>0</v>
      </c>
      <c r="BV181" s="37" t="e">
        <f>+BF181+Tableau5617192223242425262827293031333432353620383961719241822254140424344104746[[#This Row],[CA fin N-1]]-IFERROR(VLOOKUP(H181,#REF!,49,FALSE),0)-IFERROR(VLOOKUP(H181,#REF!,50,FALSE),0)</f>
        <v>#REF!</v>
      </c>
      <c r="BW181" s="33">
        <f>BG181-IFERROR(VLOOKUP(H181,#REF!,51,FALSE),0)</f>
        <v>0</v>
      </c>
      <c r="BX181" s="35" t="e">
        <f t="shared" si="55"/>
        <v>#REF!</v>
      </c>
      <c r="BY181" s="36">
        <f>BD181-IFERROR(VLOOKUP(H181,#REF!,48,FALSE),0)</f>
        <v>0</v>
      </c>
      <c r="BZ18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1" s="39" t="e">
        <f>VLOOKUP(Tableau5617192223242425262827293031333432353620383961719241822254140424344104746[[#This Row],[Num Projets]],#REF!,1,FALSE)</f>
        <v>#REF!</v>
      </c>
      <c r="CB181" s="40">
        <v>25.5</v>
      </c>
      <c r="CC181" s="40">
        <v>0</v>
      </c>
      <c r="CD18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-25.5</v>
      </c>
    </row>
    <row r="182" spans="1:82" ht="15.75" customHeight="1" x14ac:dyDescent="0.25">
      <c r="A182" s="313" t="s">
        <v>329</v>
      </c>
      <c r="B182" s="1"/>
      <c r="C182" s="2" t="e">
        <f>_xlfn.XLOOKUP(Tableau5617192223242425262827293031333432353620383961719241822254140424344104746[[#This Row],[Num Projets]],#REF!,#REF!,FALSE)</f>
        <v>#REF!</v>
      </c>
      <c r="D182" s="3" t="s">
        <v>6</v>
      </c>
      <c r="E182" s="3" t="e">
        <f>_xlfn.XLOOKUP(Tableau5617192223242425262827293031333432353620383961719241822254140424344104746[[#This Row],[Num Projets]],#REF!,#REF!,FALSE)</f>
        <v>#REF!</v>
      </c>
      <c r="F182" s="3" t="e">
        <f>_xlfn.XLOOKUP(Tableau5617192223242425262827293031333432353620383961719241822254140424344104746[[#This Row],[Num Projets]],#REF!,#REF!,"newavr",0)</f>
        <v>#REF!</v>
      </c>
      <c r="G182" s="3" t="s">
        <v>2</v>
      </c>
      <c r="H182" s="3" t="s">
        <v>330</v>
      </c>
      <c r="I182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2" s="4" t="e">
        <f>VLOOKUP(Tableau5617192223242425262827293031333432353620383961719241822254140424344104746[[#This Row],[Num Projets]],#REF!,36,FALSE)</f>
        <v>#REF!</v>
      </c>
      <c r="K182" s="5" t="s">
        <v>9</v>
      </c>
      <c r="L18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2" s="3" t="e">
        <f>SUBSTITUTE(_xlfn.XLOOKUP(Tableau5617192223242425262827293031333432353620383961719241822254140424344104746[[#This Row],[Num Projets]],#REF!,#REF!,FALSE)," ","")</f>
        <v>#REF!</v>
      </c>
      <c r="N182" s="7" t="e">
        <f>VLOOKUP(H182,#REF!,7,FALSE)</f>
        <v>#REF!</v>
      </c>
      <c r="O182" s="7" t="e">
        <f>IF(VLOOKUP(H182,#REF!,27,FALSE)=0,"",VLOOKUP(H182,#REF!,27,FALSE))</f>
        <v>#REF!</v>
      </c>
      <c r="P182" s="8" t="e">
        <f>VLOOKUP(H182,#REF!,2,FALSE)</f>
        <v>#REF!</v>
      </c>
      <c r="Q182" s="9" t="e">
        <f>Tableau5617192223242425262827293031333432353620383961719241822254140424344104746[[#This Row],[Total Budget
€]]-IFERROR(VLOOKUP(H182,#REF!,8,FALSE),0)</f>
        <v>#REF!</v>
      </c>
      <c r="R182" s="10">
        <f>AD182+AI182+Tableau5617192223242425262827293031333432353620383961719241822254140424344104746[[#This Row],[Int Commandé OT
€]]+AX182</f>
        <v>0</v>
      </c>
      <c r="S182" s="10">
        <f>AD182+AJ182+Tableau5617192223242425262827293031333432353620383961719241822254140424344104746[[#This Row],[Int Réalisé OT
€]]+AX182</f>
        <v>-153.81961000000047</v>
      </c>
      <c r="T182" s="11" t="e">
        <f t="shared" si="38"/>
        <v>#REF!</v>
      </c>
      <c r="U18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2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2" s="12">
        <f>IFERROR(VLOOKUP(H182,#REF!,2,FALSE),0)</f>
        <v>0</v>
      </c>
      <c r="X182" s="13">
        <f>IFERROR(VLOOKUP(H182,#REF!,2,FALSE),0)</f>
        <v>0</v>
      </c>
      <c r="Y182" s="13">
        <f>IFERROR(VLOOKUP(H182,#REF!,3,FALSE),0)</f>
        <v>0</v>
      </c>
      <c r="Z18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240</v>
      </c>
      <c r="AA182" s="13">
        <f>IFERROR(VLOOKUP(H182,#REF!,18,FALSE),0)</f>
        <v>0</v>
      </c>
      <c r="AB182" s="13">
        <f>SUM(X182:Y182)-IFERROR(VLOOKUP(H182,#REF!,16,FALSE),0)-IFERROR(VLOOKUP(H182,#REF!,17,FALSE),0)</f>
        <v>0</v>
      </c>
      <c r="AC182" s="15" t="e">
        <f>VLOOKUP(Tableau5617192223242425262827293031333432353620383961719241822254140424344104746[[#This Row],[Num Projets]],#REF!,2,FALSE)</f>
        <v>#REF!</v>
      </c>
      <c r="AD182" s="15">
        <f>IFERROR(VLOOKUP(Tableau5617192223242425262827293031333432353620383961719241822254140424344104746[[#This Row],[Num Projets]],#REF!,2,FALSE),0)</f>
        <v>0</v>
      </c>
      <c r="AE182" s="8">
        <f t="shared" si="39"/>
        <v>11472</v>
      </c>
      <c r="AF182" s="22" t="e">
        <f t="shared" si="40"/>
        <v>#REF!</v>
      </c>
      <c r="AG182" s="8">
        <f>IFERROR(VLOOKUP(H182,#REF!,3,FALSE),0)+IFERROR(VLOOKUP(H182,#REF!,3,FALSE),0)</f>
        <v>0</v>
      </c>
      <c r="AH182" s="8">
        <f>IFERROR(VLOOKUP(Tableau5617192223242425262827293031333432353620383961719241822254140424344104746[[#This Row],[Num Projets]],#REF!,2,FALSE),0)</f>
        <v>0</v>
      </c>
      <c r="AI182" s="17">
        <f>+IFERROR(VLOOKUP(H182,#REF!,2,FALSE),0)-Tableau5617192223242425262827293031333432353620383961719241822254140424344104746[[#This Row],[Int Commandé OT
€]]</f>
        <v>0</v>
      </c>
      <c r="AJ182" s="8">
        <f>IFERROR(VLOOKUP(H182,#REF!,11,FALSE),0)-IFERROR(VLOOKUP(H182,#REF!,10,FALSE),0)+Tableau5617192223242425262827293031333432353620383961719241822254140424344104746[[#This Row],[dont FNP à date (€ HT)]]</f>
        <v>-153.81961000000047</v>
      </c>
      <c r="AK182" s="23">
        <f t="shared" si="46"/>
        <v>153.81961000000047</v>
      </c>
      <c r="AL18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-153.81961000000047</v>
      </c>
      <c r="AM182" s="19">
        <f>IF(Tableau5617192223242425262827293031333432353620383961719241822254140424344104746[[#This Row],[RAF Achats M-1
€]]=0,0,AN182-AO182)</f>
        <v>0</v>
      </c>
      <c r="AN182" s="8">
        <f>IFERROR(VLOOKUP(H182,#REF!,31,FALSE),0)</f>
        <v>0</v>
      </c>
      <c r="AO182" s="8">
        <f>AI182+-IFERROR(VLOOKUP(H182,#REF!,27,FALSE),0)</f>
        <v>0</v>
      </c>
      <c r="AP182" s="20">
        <f>IFERROR(VLOOKUP(Tableau5617192223242425262827293031333432353620383961719241822254140424344104746[[#This Row],[Num Projets]],#REF!,2,FALSE),0)</f>
        <v>0</v>
      </c>
      <c r="AQ182" s="20">
        <f>_xlfn.XLOOKUP(H182,[2]Synth!$N:$N,[2]Synth!$O:$O,0,FALSE)+_xlfn.XLOOKUP(Tableau5617192223242425262827293031333432353620383961719241822254140424344104746[[#This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2" s="21">
        <v>0</v>
      </c>
      <c r="AS182" s="20">
        <f>+IFERROR(VLOOKUP(H182,#REF!,36,FALSE),0)</f>
        <v>0</v>
      </c>
      <c r="AT18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2" s="22">
        <f>IF(AG182=0,0,1-((AI182+AM182+Tableau5617192223242425262827293031333432353620383961719241822254140424344104746[[#This Row],[Int Commandé OT
€]]+Tableau5617192223242425262827293031333432353620383961719241822254140424344104746[[#This Row],[RAF Int OT
€]])/AG182))</f>
        <v>0</v>
      </c>
      <c r="AV182" s="8">
        <f>IFERROR(VLOOKUP(H182,#REF!,4,FALSE),0)+IFERROR(VLOOKUP(H182,#REF!,4,FALSE),0)</f>
        <v>0</v>
      </c>
      <c r="AW182" s="8">
        <f>IFERROR(VLOOKUP(Tableau5617192223242425262827293031333432353620383961719241822254140424344104746[[#This Row],[Num Projets]],#REF!,3,FALSE),0)</f>
        <v>0</v>
      </c>
      <c r="AX182" s="95">
        <f>IFERROR(VLOOKUP(Tableau5617192223242425262827293031333432353620383961719241822254140424344104746[[#This Row],[Num Projets]],#REF!,10,FALSE),0)</f>
        <v>0</v>
      </c>
      <c r="AY182" s="23">
        <f>Tableau5617192223242425262827293031333432353620383961719241822254140424344104746[[#This Row],[Budget Mission
 €]]/1.2-AX182</f>
        <v>0</v>
      </c>
      <c r="AZ182" s="8">
        <f>IFERROR(VLOOKUP(H182,#REF!,43,FALSE),0)</f>
        <v>0</v>
      </c>
      <c r="BA182" s="8">
        <f>AX182-IFERROR(VLOOKUP(H182,#REF!,42,FALSE),0)</f>
        <v>0</v>
      </c>
      <c r="BB182" s="47">
        <f t="shared" si="47"/>
        <v>0</v>
      </c>
      <c r="BC182" s="24">
        <f>IFERROR(VLOOKUP(H182,#REF!,47,FALSE),IFERROR(VLOOKUP(H182,#REF!,5,FALSE),0)+IFERROR(VLOOKUP(H182,#REF!,5,FALSE),0))</f>
        <v>0</v>
      </c>
      <c r="BD182" s="25">
        <f>IFERROR(VLOOKUP(H182,#REF!,2,FALSE),0)</f>
        <v>0</v>
      </c>
      <c r="BE182" s="25">
        <f>IFERROR(VLOOKUP(H182,#REF!,49,FALSE),0)</f>
        <v>0</v>
      </c>
      <c r="BF182" s="50" t="e">
        <f t="shared" si="41"/>
        <v>#REF!</v>
      </c>
      <c r="BG182" s="50">
        <f t="shared" si="42"/>
        <v>-153.81961000000047</v>
      </c>
      <c r="BH182" s="27">
        <f>AE182+ (AI182-AJ182+AM182+Tableau5617192223242425262827293031333432353620383961719241822254140424344104746[[#This Row],[Int Commandé OT
€]]-Tableau5617192223242425262827293031333432353620383961719241822254140424344104746[[#This Row],[Int Réalisé OT
€]]+AR182) +AY182+BC182</f>
        <v>11625.81961</v>
      </c>
      <c r="BI182" s="47">
        <f t="shared" si="52"/>
        <v>-1.3408264470013987E-2</v>
      </c>
      <c r="BJ182" s="47" t="e">
        <f t="shared" si="43"/>
        <v>#REF!</v>
      </c>
      <c r="BK182" s="27" t="e">
        <f t="shared" si="44"/>
        <v>#REF!</v>
      </c>
      <c r="BL182" s="26" t="e">
        <f t="shared" si="45"/>
        <v>#REF!</v>
      </c>
      <c r="BM182" s="96">
        <f>IFERROR(VLOOKUP(H182,'[1]2023sep'!H:CA,54,FALSE),105)</f>
        <v>105</v>
      </c>
      <c r="BN182" s="29">
        <v>1</v>
      </c>
      <c r="BO182" s="30" t="e">
        <f>P182-AC182-AG182-AV182-Tableau5617192223242425262827293031333432353620383961719241822254140424344104746[[#This Row],[Provisions pour risques]]</f>
        <v>#REF!</v>
      </c>
      <c r="BP18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11472</v>
      </c>
      <c r="BQ18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-1.3408264470013987E-2</v>
      </c>
      <c r="BR182" s="97" t="e">
        <f t="shared" si="53"/>
        <v>#REF!</v>
      </c>
      <c r="BS182" s="34">
        <f>Tableau5617192223242425262827293031333432353620383961719241822254140424344104746[[#This Row],[Consommé global Enregistré à date (€ HT)]]-IFERROR(VLOOKUP(H182,#REF!,50,FALSE),0)</f>
        <v>-153.81961000000047</v>
      </c>
      <c r="BT182" s="35" t="e">
        <f t="shared" si="54"/>
        <v>#REF!</v>
      </c>
      <c r="BU182" s="36">
        <f>BD182-IFERROR(VLOOKUP(H182,#REF!,47,FALSE),0)</f>
        <v>0</v>
      </c>
      <c r="BV182" s="37" t="e">
        <f>+BF182+Tableau5617192223242425262827293031333432353620383961719241822254140424344104746[[#This Row],[CA fin N-1]]-IFERROR(VLOOKUP(H182,#REF!,49,FALSE),0)-IFERROR(VLOOKUP(H182,#REF!,50,FALSE),0)</f>
        <v>#REF!</v>
      </c>
      <c r="BW182" s="33">
        <f>BG182-IFERROR(VLOOKUP(H182,#REF!,51,FALSE),0)</f>
        <v>-153.81961000000047</v>
      </c>
      <c r="BX182" s="35" t="e">
        <f t="shared" si="55"/>
        <v>#REF!</v>
      </c>
      <c r="BY182" s="36">
        <f>BD182-IFERROR(VLOOKUP(H182,#REF!,48,FALSE),0)</f>
        <v>0</v>
      </c>
      <c r="BZ18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2" s="39" t="e">
        <f>VLOOKUP(Tableau5617192223242425262827293031333432353620383961719241822254140424344104746[[#This Row],[Num Projets]],#REF!,1,FALSE)</f>
        <v>#REF!</v>
      </c>
      <c r="CB182" s="40">
        <v>203.5</v>
      </c>
      <c r="CC182" s="40">
        <v>36.5</v>
      </c>
      <c r="CD18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-203.5</v>
      </c>
    </row>
    <row r="183" spans="1:82" ht="15.75" customHeight="1" x14ac:dyDescent="0.25">
      <c r="A183" s="313" t="s">
        <v>331</v>
      </c>
      <c r="B183" s="1"/>
      <c r="C183" s="2" t="e">
        <f>_xlfn.XLOOKUP(Tableau5617192223242425262827293031333432353620383961719241822254140424344104746[[#This Row],[Num Projets]],#REF!,#REF!,FALSE)</f>
        <v>#REF!</v>
      </c>
      <c r="D183" s="3" t="s">
        <v>1</v>
      </c>
      <c r="E183" s="3" t="e">
        <f>_xlfn.XLOOKUP(Tableau5617192223242425262827293031333432353620383961719241822254140424344104746[[#This Row],[Num Projets]],#REF!,#REF!,FALSE)</f>
        <v>#REF!</v>
      </c>
      <c r="F183" s="3" t="e">
        <f>_xlfn.XLOOKUP(Tableau5617192223242425262827293031333432353620383961719241822254140424344104746[[#This Row],[Num Projets]],#REF!,#REF!,"newavr",0)</f>
        <v>#REF!</v>
      </c>
      <c r="G183" s="3" t="s">
        <v>2</v>
      </c>
      <c r="H183" s="3" t="s">
        <v>332</v>
      </c>
      <c r="I183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3" s="4" t="e">
        <f>VLOOKUP(Tableau5617192223242425262827293031333432353620383961719241822254140424344104746[[#This Row],[Num Projets]],#REF!,36,FALSE)</f>
        <v>#REF!</v>
      </c>
      <c r="K183" s="5" t="s">
        <v>4</v>
      </c>
      <c r="L18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3" s="3" t="e">
        <f>SUBSTITUTE(_xlfn.XLOOKUP(Tableau5617192223242425262827293031333432353620383961719241822254140424344104746[[#This Row],[Num Projets]],#REF!,#REF!,FALSE)," ","")</f>
        <v>#REF!</v>
      </c>
      <c r="N183" s="7" t="e">
        <f>VLOOKUP(H183,#REF!,7,FALSE)</f>
        <v>#REF!</v>
      </c>
      <c r="O183" s="7" t="e">
        <f>IF(VLOOKUP(H183,#REF!,27,FALSE)=0,"",VLOOKUP(H183,#REF!,27,FALSE))</f>
        <v>#REF!</v>
      </c>
      <c r="P183" s="8" t="e">
        <f>VLOOKUP(H183,#REF!,2,FALSE)</f>
        <v>#REF!</v>
      </c>
      <c r="Q183" s="9" t="e">
        <f>Tableau5617192223242425262827293031333432353620383961719241822254140424344104746[[#This Row],[Total Budget
€]]-IFERROR(VLOOKUP(H183,#REF!,8,FALSE),0)</f>
        <v>#REF!</v>
      </c>
      <c r="R183" s="10">
        <f>AD183+AI183+Tableau5617192223242425262827293031333432353620383961719241822254140424344104746[[#This Row],[Int Commandé OT
€]]+AX183</f>
        <v>0</v>
      </c>
      <c r="S183" s="10">
        <f>AD183+AJ183+Tableau5617192223242425262827293031333432353620383961719241822254140424344104746[[#This Row],[Int Réalisé OT
€]]+AX183</f>
        <v>0</v>
      </c>
      <c r="T183" s="11" t="e">
        <f t="shared" si="38"/>
        <v>#REF!</v>
      </c>
      <c r="U18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3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3" s="12">
        <f>IFERROR(VLOOKUP(H183,#REF!,2,FALSE),0)</f>
        <v>0</v>
      </c>
      <c r="X183" s="13">
        <f>IFERROR(VLOOKUP(H183,#REF!,2,FALSE),0)</f>
        <v>0</v>
      </c>
      <c r="Y183" s="13">
        <f>IFERROR(VLOOKUP(H183,#REF!,3,FALSE),0)</f>
        <v>0</v>
      </c>
      <c r="Z18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172</v>
      </c>
      <c r="AA183" s="13">
        <f>IFERROR(VLOOKUP(H183,#REF!,18,FALSE),0)</f>
        <v>0</v>
      </c>
      <c r="AB183" s="13">
        <f>SUM(X183:Y183)-IFERROR(VLOOKUP(H183,#REF!,16,FALSE),0)-IFERROR(VLOOKUP(H183,#REF!,17,FALSE),0)</f>
        <v>0</v>
      </c>
      <c r="AC183" s="62">
        <f>Tableau5617192223242425262827293031333432353620383961719241822254140424344104746[[#This Row],[Budget Heures
Hrs]]*105</f>
        <v>0</v>
      </c>
      <c r="AD183" s="15">
        <f>IFERROR(VLOOKUP(Tableau5617192223242425262827293031333432353620383961719241822254140424344104746[[#This Row],[Num Projets]],#REF!,2,FALSE),0)</f>
        <v>0</v>
      </c>
      <c r="AE183" s="8">
        <f t="shared" si="39"/>
        <v>8221.6</v>
      </c>
      <c r="AF183" s="22">
        <f t="shared" si="40"/>
        <v>0</v>
      </c>
      <c r="AG183" s="8">
        <f>IFERROR(VLOOKUP(H183,#REF!,3,FALSE),0)+IFERROR(VLOOKUP(H183,#REF!,3,FALSE),0)</f>
        <v>0</v>
      </c>
      <c r="AH183" s="8">
        <f>IFERROR(VLOOKUP(Tableau5617192223242425262827293031333432353620383961719241822254140424344104746[[#This Row],[Num Projets]],#REF!,2,FALSE),0)</f>
        <v>0</v>
      </c>
      <c r="AI183" s="17">
        <f>+IFERROR(VLOOKUP(H183,#REF!,2,FALSE),0)-Tableau5617192223242425262827293031333432353620383961719241822254140424344104746[[#This Row],[Int Commandé OT
€]]</f>
        <v>0</v>
      </c>
      <c r="AJ183" s="8">
        <f>IFERROR(VLOOKUP(H183,#REF!,11,FALSE),0)-IFERROR(VLOOKUP(H183,#REF!,10,FALSE),0)+Tableau5617192223242425262827293031333432353620383961719241822254140424344104746[[#This Row],[dont FNP à date (€ HT)]]</f>
        <v>0</v>
      </c>
      <c r="AK183" s="15">
        <f t="shared" si="46"/>
        <v>0</v>
      </c>
      <c r="AL18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3" s="19">
        <f>IF(Tableau5617192223242425262827293031333432353620383961719241822254140424344104746[[#This Row],[RAF Achats M-1
€]]=0,0,AN183-AO183)</f>
        <v>0</v>
      </c>
      <c r="AN183" s="8">
        <f>IFERROR(VLOOKUP(H183,#REF!,31,FALSE),0)</f>
        <v>0</v>
      </c>
      <c r="AO183" s="8">
        <f>AI183+-IFERROR(VLOOKUP(H183,#REF!,27,FALSE),0)</f>
        <v>0</v>
      </c>
      <c r="AP183" s="20">
        <f>IFERROR(VLOOKUP(Tableau5617192223242425262827293031333432353620383961719241822254140424344104746[[#This Row],[Num Projets]],#REF!,2,FALSE),0)</f>
        <v>0</v>
      </c>
      <c r="AQ183" s="20">
        <f>_xlfn.XLOOKUP(H183,[2]Synth!$N:$N,[2]Synth!$O:$O,0,FALSE)+_xlfn.XLOOKUP(Tableau5617192223242425262827293031333432353620383961719241822254140424344104746[[#This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3" s="21">
        <v>0</v>
      </c>
      <c r="AS183" s="20">
        <f>+IFERROR(VLOOKUP(H183,#REF!,36,FALSE),0)</f>
        <v>0</v>
      </c>
      <c r="AT18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3" s="22">
        <f>IF(AG183=0,0,1-((AI183+AM183+Tableau5617192223242425262827293031333432353620383961719241822254140424344104746[[#This Row],[Int Commandé OT
€]]+Tableau5617192223242425262827293031333432353620383961719241822254140424344104746[[#This Row],[RAF Int OT
€]])/AG183))</f>
        <v>0</v>
      </c>
      <c r="AV183" s="8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Achat HT
€]]-Tableau5617192223242425262827293031333432353620383961719241822254140424344104746[[#This Row],[Provisions pour risques]]</f>
        <v>#REF!</v>
      </c>
      <c r="AW183" s="8">
        <f>IFERROR(VLOOKUP(Tableau5617192223242425262827293031333432353620383961719241822254140424344104746[[#This Row],[Num Projets]],#REF!,3,FALSE),0)</f>
        <v>0</v>
      </c>
      <c r="AX183" s="95">
        <f>IFERROR(VLOOKUP(Tableau5617192223242425262827293031333432353620383961719241822254140424344104746[[#This Row],[Num Projets]],#REF!,10,FALSE),0)</f>
        <v>0</v>
      </c>
      <c r="AY183" s="23">
        <v>0</v>
      </c>
      <c r="AZ183" s="8">
        <f>IFERROR(VLOOKUP(H183,#REF!,43,FALSE),0)</f>
        <v>0</v>
      </c>
      <c r="BA183" s="8">
        <f>AX183-IFERROR(VLOOKUP(H183,#REF!,42,FALSE),0)</f>
        <v>0</v>
      </c>
      <c r="BB183" s="47" t="e">
        <f t="shared" si="47"/>
        <v>#REF!</v>
      </c>
      <c r="BC183" s="24">
        <f>IFERROR(VLOOKUP(H183,#REF!,47,FALSE),IFERROR(VLOOKUP(H183,#REF!,5,FALSE),0)+IFERROR(VLOOKUP(H183,#REF!,5,FALSE),0))</f>
        <v>0</v>
      </c>
      <c r="BD183" s="25">
        <f>IFERROR(VLOOKUP(H183,#REF!,2,FALSE),0)</f>
        <v>0</v>
      </c>
      <c r="BE183" s="25">
        <f>IFERROR(VLOOKUP(H183,#REF!,49,FALSE),0)</f>
        <v>0</v>
      </c>
      <c r="BF183" s="50" t="e">
        <f t="shared" si="41"/>
        <v>#REF!</v>
      </c>
      <c r="BG183" s="50">
        <f t="shared" si="42"/>
        <v>0</v>
      </c>
      <c r="BH183" s="27">
        <f>AE183+ (AI183-AJ183+AM183+Tableau5617192223242425262827293031333432353620383961719241822254140424344104746[[#This Row],[Int Commandé OT
€]]-Tableau5617192223242425262827293031333432353620383961719241822254140424344104746[[#This Row],[Int Réalisé OT
€]]+AR183) +AY183+BC183</f>
        <v>8221.6</v>
      </c>
      <c r="BI183" s="47">
        <f t="shared" si="52"/>
        <v>0</v>
      </c>
      <c r="BJ183" s="47" t="e">
        <f t="shared" si="43"/>
        <v>#REF!</v>
      </c>
      <c r="BK183" s="27" t="e">
        <f t="shared" si="44"/>
        <v>#REF!</v>
      </c>
      <c r="BL183" s="26" t="e">
        <f t="shared" si="45"/>
        <v>#REF!</v>
      </c>
      <c r="BM183" s="96">
        <f>IFERROR(VLOOKUP(H183,'[1]2023sep'!H:CA,54,FALSE),105)</f>
        <v>105</v>
      </c>
      <c r="BN183" s="29">
        <v>1</v>
      </c>
      <c r="BO183" s="30" t="e">
        <f>P183-AC183-AG183-AV183-Tableau5617192223242425262827293031333432353620383961719241822254140424344104746[[#This Row],[Provisions pour risques]]</f>
        <v>#REF!</v>
      </c>
      <c r="BP18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8221.6</v>
      </c>
      <c r="BQ18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3" s="97" t="e">
        <f t="shared" si="53"/>
        <v>#REF!</v>
      </c>
      <c r="BS183" s="34">
        <f>Tableau5617192223242425262827293031333432353620383961719241822254140424344104746[[#This Row],[Consommé global Enregistré à date (€ HT)]]-IFERROR(VLOOKUP(H183,#REF!,50,FALSE),0)</f>
        <v>0</v>
      </c>
      <c r="BT183" s="35" t="e">
        <f t="shared" si="54"/>
        <v>#REF!</v>
      </c>
      <c r="BU183" s="36">
        <f>BD183-IFERROR(VLOOKUP(H183,#REF!,47,FALSE),0)</f>
        <v>0</v>
      </c>
      <c r="BV183" s="37" t="e">
        <f>+BF183+Tableau5617192223242425262827293031333432353620383961719241822254140424344104746[[#This Row],[CA fin N-1]]-IFERROR(VLOOKUP(H183,#REF!,49,FALSE),0)-IFERROR(VLOOKUP(H183,#REF!,50,FALSE),0)</f>
        <v>#REF!</v>
      </c>
      <c r="BW183" s="33">
        <f>BG183-IFERROR(VLOOKUP(H183,#REF!,51,FALSE),0)</f>
        <v>0</v>
      </c>
      <c r="BX183" s="35" t="e">
        <f t="shared" si="55"/>
        <v>#REF!</v>
      </c>
      <c r="BY183" s="36">
        <f>BD183-IFERROR(VLOOKUP(H183,#REF!,48,FALSE),0)</f>
        <v>0</v>
      </c>
      <c r="BZ18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3" s="39" t="e">
        <f>VLOOKUP(Tableau5617192223242425262827293031333432353620383961719241822254140424344104746[[#This Row],[Num Projets]],#REF!,1,FALSE)</f>
        <v>#REF!</v>
      </c>
      <c r="CB183" s="40">
        <v>91</v>
      </c>
      <c r="CC183" s="40">
        <v>81</v>
      </c>
      <c r="CD18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-91</v>
      </c>
    </row>
    <row r="184" spans="1:82" ht="15.75" customHeight="1" x14ac:dyDescent="0.25">
      <c r="A184" s="313" t="s">
        <v>333</v>
      </c>
      <c r="B184" s="1"/>
      <c r="C184" s="2" t="e">
        <f>_xlfn.XLOOKUP(Tableau5617192223242425262827293031333432353620383961719241822254140424344104746[[#This Row],[Num Projets]],#REF!,#REF!,FALSE)</f>
        <v>#REF!</v>
      </c>
      <c r="D184" s="3" t="s">
        <v>6</v>
      </c>
      <c r="E184" s="3" t="e">
        <f>_xlfn.XLOOKUP(Tableau5617192223242425262827293031333432353620383961719241822254140424344104746[[#This Row],[Num Projets]],#REF!,#REF!,FALSE)</f>
        <v>#REF!</v>
      </c>
      <c r="F184" s="3" t="s">
        <v>165</v>
      </c>
      <c r="G184" s="3" t="s">
        <v>2</v>
      </c>
      <c r="H184" s="3" t="s">
        <v>334</v>
      </c>
      <c r="I184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4" s="4" t="e">
        <f>VLOOKUP(Tableau5617192223242425262827293031333432353620383961719241822254140424344104746[[#This Row],[Num Projets]],#REF!,36,FALSE)</f>
        <v>#REF!</v>
      </c>
      <c r="K184" s="5" t="s">
        <v>9</v>
      </c>
      <c r="L18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4" s="3" t="e">
        <f>SUBSTITUTE(_xlfn.XLOOKUP(Tableau5617192223242425262827293031333432353620383961719241822254140424344104746[[#This Row],[Num Projets]],#REF!,#REF!,FALSE)," ","")</f>
        <v>#REF!</v>
      </c>
      <c r="N184" s="7" t="e">
        <f>VLOOKUP(H184,#REF!,7,FALSE)</f>
        <v>#REF!</v>
      </c>
      <c r="O184" s="7">
        <v>45808</v>
      </c>
      <c r="P184" s="8" t="e">
        <f>VLOOKUP(H184,#REF!,2,FALSE)</f>
        <v>#REF!</v>
      </c>
      <c r="Q184" s="9" t="e">
        <f>Tableau5617192223242425262827293031333432353620383961719241822254140424344104746[[#This Row],[Total Budget
€]]-IFERROR(VLOOKUP(H184,#REF!,8,FALSE),0)</f>
        <v>#REF!</v>
      </c>
      <c r="R184" s="10">
        <f>AD184+AI184+Tableau5617192223242425262827293031333432353620383961719241822254140424344104746[[#This Row],[Int Commandé OT
€]]+AX184</f>
        <v>0</v>
      </c>
      <c r="S184" s="10">
        <f>AD184+AJ184+Tableau5617192223242425262827293031333432353620383961719241822254140424344104746[[#This Row],[Int Réalisé OT
€]]+AX184</f>
        <v>0</v>
      </c>
      <c r="T184" s="11" t="e">
        <f t="shared" si="38"/>
        <v>#REF!</v>
      </c>
      <c r="U18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4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4" s="12">
        <f>IFERROR(VLOOKUP(H184,#REF!,2,FALSE),0)</f>
        <v>0</v>
      </c>
      <c r="X184" s="13">
        <f>IFERROR(VLOOKUP(H184,#REF!,2,FALSE),0)</f>
        <v>0</v>
      </c>
      <c r="Y184" s="13">
        <f>IFERROR(VLOOKUP(H184,#REF!,3,FALSE),0)</f>
        <v>0</v>
      </c>
      <c r="Z18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184" s="13">
        <f>IFERROR(VLOOKUP(H184,#REF!,18,FALSE),0)</f>
        <v>0</v>
      </c>
      <c r="AB184" s="13">
        <f>SUM(X184:Y184)-IFERROR(VLOOKUP(H184,#REF!,16,FALSE),0)-IFERROR(VLOOKUP(H184,#REF!,17,FALSE),0)</f>
        <v>0</v>
      </c>
      <c r="AC184" s="15" t="e">
        <f>VLOOKUP(Tableau5617192223242425262827293031333432353620383961719241822254140424344104746[[#This Row],[Num Projets]],#REF!,2,FALSE)</f>
        <v>#REF!</v>
      </c>
      <c r="AD184" s="15">
        <f>IFERROR(VLOOKUP(Tableau5617192223242425262827293031333432353620383961719241822254140424344104746[[#This Row],[Num Projets]],#REF!,2,FALSE),0)</f>
        <v>0</v>
      </c>
      <c r="AE184" s="8">
        <f t="shared" si="39"/>
        <v>0</v>
      </c>
      <c r="AF184" s="22" t="e">
        <f t="shared" si="40"/>
        <v>#REF!</v>
      </c>
      <c r="AG184" s="8">
        <f>IFERROR(VLOOKUP(H184,#REF!,3,FALSE),0)+IFERROR(VLOOKUP(H184,#REF!,3,FALSE),0)</f>
        <v>0</v>
      </c>
      <c r="AH184" s="8">
        <f>IFERROR(VLOOKUP(Tableau5617192223242425262827293031333432353620383961719241822254140424344104746[[#This Row],[Num Projets]],#REF!,2,FALSE),0)</f>
        <v>0</v>
      </c>
      <c r="AI184" s="17">
        <f>+IFERROR(VLOOKUP(H184,#REF!,2,FALSE),0)-Tableau5617192223242425262827293031333432353620383961719241822254140424344104746[[#This Row],[Int Commandé OT
€]]</f>
        <v>0</v>
      </c>
      <c r="AJ184" s="8">
        <f>IFERROR(VLOOKUP(H184,#REF!,11,FALSE),0)-IFERROR(VLOOKUP(H184,#REF!,10,FALSE),0)+Tableau5617192223242425262827293031333432353620383961719241822254140424344104746[[#This Row],[dont FNP à date (€ HT)]]</f>
        <v>0</v>
      </c>
      <c r="AK184" s="23">
        <f t="shared" si="46"/>
        <v>0</v>
      </c>
      <c r="AL18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4" s="19">
        <v>0</v>
      </c>
      <c r="AN184" s="8">
        <f>IFERROR(VLOOKUP(H184,#REF!,31,FALSE),0)</f>
        <v>0</v>
      </c>
      <c r="AO184" s="8">
        <f>AI184+-IFERROR(VLOOKUP(H184,#REF!,27,FALSE),0)</f>
        <v>0</v>
      </c>
      <c r="AP184" s="20">
        <f>IFERROR(VLOOKUP(Tableau5617192223242425262827293031333432353620383961719241822254140424344104746[[#This Row],[Num Projets]],#REF!,2,FALSE),0)</f>
        <v>0</v>
      </c>
      <c r="AQ184" s="20">
        <f>_xlfn.XLOOKUP(H184,[2]Synth!$N:$N,[2]Synth!$O:$O,0,FALSE)+_xlfn.XLOOKUP(Tableau5617192223242425262827293031333432353620383961719241822254140424344104746[[#This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4" s="21">
        <v>0</v>
      </c>
      <c r="AS184" s="20">
        <f>+IFERROR(VLOOKUP(H184,#REF!,36,FALSE),0)</f>
        <v>0</v>
      </c>
      <c r="AT18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4" s="22">
        <f>IF(AG184=0,0,1-((AI184+AM184+Tableau5617192223242425262827293031333432353620383961719241822254140424344104746[[#This Row],[Int Commandé OT
€]]+Tableau5617192223242425262827293031333432353620383961719241822254140424344104746[[#This Row],[RAF Int OT
€]])/AG184))</f>
        <v>0</v>
      </c>
      <c r="AV184" s="8">
        <f>IFERROR(VLOOKUP(H184,#REF!,4,FALSE),0)+IFERROR(VLOOKUP(H184,#REF!,4,FALSE),0)</f>
        <v>0</v>
      </c>
      <c r="AW184" s="8">
        <f>IFERROR(VLOOKUP(Tableau5617192223242425262827293031333432353620383961719241822254140424344104746[[#This Row],[Num Projets]],#REF!,3,FALSE),0)</f>
        <v>0</v>
      </c>
      <c r="AX184" s="95">
        <f>IFERROR(VLOOKUP(Tableau5617192223242425262827293031333432353620383961719241822254140424344104746[[#This Row],[Num Projets]],#REF!,10,FALSE),0)</f>
        <v>0</v>
      </c>
      <c r="AY184" s="23">
        <f>Tableau5617192223242425262827293031333432353620383961719241822254140424344104746[[#This Row],[Budget Mission
 €]]/1.2-AX184</f>
        <v>0</v>
      </c>
      <c r="AZ184" s="8">
        <f>IFERROR(VLOOKUP(H184,#REF!,43,FALSE),0)</f>
        <v>0</v>
      </c>
      <c r="BA184" s="8">
        <f>AX184-IFERROR(VLOOKUP(H184,#REF!,42,FALSE),0)</f>
        <v>0</v>
      </c>
      <c r="BB184" s="47">
        <f t="shared" si="47"/>
        <v>0</v>
      </c>
      <c r="BC184" s="24">
        <f>IFERROR(VLOOKUP(H184,#REF!,47,FALSE),IFERROR(VLOOKUP(H184,#REF!,5,FALSE),0)+IFERROR(VLOOKUP(H184,#REF!,5,FALSE),0))</f>
        <v>0</v>
      </c>
      <c r="BD184" s="25">
        <f>IFERROR(VLOOKUP(H184,#REF!,2,FALSE),0)</f>
        <v>0</v>
      </c>
      <c r="BE184" s="25">
        <f>IFERROR(VLOOKUP(H184,#REF!,49,FALSE),0)</f>
        <v>0</v>
      </c>
      <c r="BF184" s="50" t="e">
        <f t="shared" si="41"/>
        <v>#REF!</v>
      </c>
      <c r="BG184" s="50">
        <f t="shared" si="42"/>
        <v>0</v>
      </c>
      <c r="BH184" s="27">
        <f>AE184+ (AI184-AJ184+AM184+Tableau5617192223242425262827293031333432353620383961719241822254140424344104746[[#This Row],[Int Commandé OT
€]]-Tableau5617192223242425262827293031333432353620383961719241822254140424344104746[[#This Row],[Int Réalisé OT
€]]+AR184) +AY184+BC184</f>
        <v>0</v>
      </c>
      <c r="BI184" s="47">
        <f t="shared" si="52"/>
        <v>1</v>
      </c>
      <c r="BJ184" s="47" t="e">
        <f t="shared" si="43"/>
        <v>#REF!</v>
      </c>
      <c r="BK184" s="27" t="e">
        <f t="shared" si="44"/>
        <v>#REF!</v>
      </c>
      <c r="BL184" s="26" t="e">
        <f t="shared" si="45"/>
        <v>#REF!</v>
      </c>
      <c r="BM184" s="96">
        <f>IFERROR(VLOOKUP(H184,'[1]2023sep'!H:CA,54,FALSE),105)</f>
        <v>105</v>
      </c>
      <c r="BN184" s="29">
        <v>1</v>
      </c>
      <c r="BO184" s="30" t="e">
        <f>P184-AC184-AG184-AV184-Tableau5617192223242425262827293031333432353620383961719241822254140424344104746[[#This Row],[Provisions pour risques]]</f>
        <v>#REF!</v>
      </c>
      <c r="BP18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8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84" s="97" t="e">
        <f t="shared" si="53"/>
        <v>#REF!</v>
      </c>
      <c r="BS184" s="34">
        <f>Tableau5617192223242425262827293031333432353620383961719241822254140424344104746[[#This Row],[Consommé global Enregistré à date (€ HT)]]-IFERROR(VLOOKUP(H184,#REF!,50,FALSE),0)</f>
        <v>0</v>
      </c>
      <c r="BT184" s="35" t="e">
        <f t="shared" si="54"/>
        <v>#REF!</v>
      </c>
      <c r="BU184" s="36">
        <f>BD184-IFERROR(VLOOKUP(H184,#REF!,47,FALSE),0)</f>
        <v>0</v>
      </c>
      <c r="BV184" s="37" t="e">
        <f>+BF184+Tableau5617192223242425262827293031333432353620383961719241822254140424344104746[[#This Row],[CA fin N-1]]-IFERROR(VLOOKUP(H184,#REF!,49,FALSE),0)-IFERROR(VLOOKUP(H184,#REF!,50,FALSE),0)</f>
        <v>#REF!</v>
      </c>
      <c r="BW184" s="33">
        <f>BG184-IFERROR(VLOOKUP(H184,#REF!,51,FALSE),0)</f>
        <v>0</v>
      </c>
      <c r="BX184" s="35" t="e">
        <f t="shared" si="55"/>
        <v>#REF!</v>
      </c>
      <c r="BY184" s="36">
        <f>BD184-IFERROR(VLOOKUP(H184,#REF!,48,FALSE),0)</f>
        <v>0</v>
      </c>
      <c r="BZ18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4" s="39" t="e">
        <f>VLOOKUP(Tableau5617192223242425262827293031333432353620383961719241822254140424344104746[[#This Row],[Num Projets]],#REF!,1,FALSE)</f>
        <v>#REF!</v>
      </c>
      <c r="CB184" s="40">
        <v>0</v>
      </c>
      <c r="CC184" s="40">
        <v>0</v>
      </c>
      <c r="CD18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85" spans="1:82" ht="15.75" customHeight="1" x14ac:dyDescent="0.25">
      <c r="A185" s="313" t="s">
        <v>335</v>
      </c>
      <c r="B185" s="1"/>
      <c r="C185" s="2" t="e">
        <f>_xlfn.XLOOKUP(Tableau5617192223242425262827293031333432353620383961719241822254140424344104746[[#This Row],[Num Projets]],#REF!,#REF!,FALSE)</f>
        <v>#REF!</v>
      </c>
      <c r="D185" s="3" t="s">
        <v>1</v>
      </c>
      <c r="E185" s="3" t="e">
        <f>_xlfn.XLOOKUP(Tableau5617192223242425262827293031333432353620383961719241822254140424344104746[[#This Row],[Num Projets]],#REF!,#REF!,FALSE)</f>
        <v>#REF!</v>
      </c>
      <c r="F185" s="3" t="e">
        <f>_xlfn.XLOOKUP(Tableau5617192223242425262827293031333432353620383961719241822254140424344104746[[#This Row],[Num Projets]],#REF!,#REF!,"newavr",0)</f>
        <v>#REF!</v>
      </c>
      <c r="G185" s="3" t="s">
        <v>2</v>
      </c>
      <c r="H185" s="3" t="s">
        <v>336</v>
      </c>
      <c r="I185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5" s="4" t="e">
        <f>VLOOKUP(Tableau5617192223242425262827293031333432353620383961719241822254140424344104746[[#This Row],[Num Projets]],#REF!,36,FALSE)</f>
        <v>#REF!</v>
      </c>
      <c r="K185" s="5" t="s">
        <v>4</v>
      </c>
      <c r="L18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5" s="3" t="e">
        <f>SUBSTITUTE(_xlfn.XLOOKUP(Tableau5617192223242425262827293031333432353620383961719241822254140424344104746[[#This Row],[Num Projets]],#REF!,#REF!,FALSE)," ","")</f>
        <v>#REF!</v>
      </c>
      <c r="N185" s="7" t="e">
        <f>VLOOKUP(H185,#REF!,7,FALSE)</f>
        <v>#REF!</v>
      </c>
      <c r="O185" s="7" t="e">
        <f>IF(VLOOKUP(H185,#REF!,27,FALSE)=0,"",VLOOKUP(H185,#REF!,27,FALSE))</f>
        <v>#REF!</v>
      </c>
      <c r="P185" s="8" t="e">
        <f>VLOOKUP(H185,#REF!,2,FALSE)</f>
        <v>#REF!</v>
      </c>
      <c r="Q185" s="9" t="e">
        <f>Tableau5617192223242425262827293031333432353620383961719241822254140424344104746[[#This Row],[Total Budget
€]]-IFERROR(VLOOKUP(H185,#REF!,8,FALSE),0)</f>
        <v>#REF!</v>
      </c>
      <c r="R185" s="10">
        <f>AD185+AI185+Tableau5617192223242425262827293031333432353620383961719241822254140424344104746[[#This Row],[Int Commandé OT
€]]+AX185</f>
        <v>0</v>
      </c>
      <c r="S185" s="10">
        <f>AD185+AJ185+Tableau5617192223242425262827293031333432353620383961719241822254140424344104746[[#This Row],[Int Réalisé OT
€]]+AX185</f>
        <v>0</v>
      </c>
      <c r="T185" s="11" t="e">
        <f t="shared" si="38"/>
        <v>#REF!</v>
      </c>
      <c r="U18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5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5" s="12">
        <f>IFERROR(VLOOKUP(H185,#REF!,2,FALSE),0)</f>
        <v>0</v>
      </c>
      <c r="X185" s="13">
        <f>IFERROR(VLOOKUP(H185,#REF!,2,FALSE),0)</f>
        <v>0</v>
      </c>
      <c r="Y185" s="13">
        <f>IFERROR(VLOOKUP(H185,#REF!,3,FALSE),0)</f>
        <v>0</v>
      </c>
      <c r="Z18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</v>
      </c>
      <c r="AA185" s="13">
        <f>IFERROR(VLOOKUP(H185,#REF!,18,FALSE),0)</f>
        <v>0</v>
      </c>
      <c r="AB185" s="13">
        <f>SUM(X185:Y185)-IFERROR(VLOOKUP(H185,#REF!,16,FALSE),0)-IFERROR(VLOOKUP(H185,#REF!,17,FALSE),0)</f>
        <v>0</v>
      </c>
      <c r="AC185" s="15" t="e">
        <f>VLOOKUP(Tableau5617192223242425262827293031333432353620383961719241822254140424344104746[[#This Row],[Num Projets]],#REF!,2,FALSE)</f>
        <v>#REF!</v>
      </c>
      <c r="AD185" s="15">
        <f>IFERROR(VLOOKUP(Tableau5617192223242425262827293031333432353620383961719241822254140424344104746[[#This Row],[Num Projets]],#REF!,2,FALSE),0)</f>
        <v>0</v>
      </c>
      <c r="AE185" s="8">
        <f t="shared" si="39"/>
        <v>430.2</v>
      </c>
      <c r="AF185" s="22" t="e">
        <f t="shared" si="40"/>
        <v>#REF!</v>
      </c>
      <c r="AG185" s="8">
        <f>IFERROR(VLOOKUP(H185,#REF!,3,FALSE),0)+IFERROR(VLOOKUP(H185,#REF!,3,FALSE),0)</f>
        <v>0</v>
      </c>
      <c r="AH185" s="8">
        <f>IFERROR(VLOOKUP(Tableau5617192223242425262827293031333432353620383961719241822254140424344104746[[#This Row],[Num Projets]],#REF!,2,FALSE),0)</f>
        <v>0</v>
      </c>
      <c r="AI185" s="17">
        <f>+IFERROR(VLOOKUP(H185,#REF!,2,FALSE),0)-Tableau5617192223242425262827293031333432353620383961719241822254140424344104746[[#This Row],[Int Commandé OT
€]]</f>
        <v>0</v>
      </c>
      <c r="AJ185" s="8">
        <f>IFERROR(VLOOKUP(H185,#REF!,11,FALSE),0)-IFERROR(VLOOKUP(H185,#REF!,10,FALSE),0)+Tableau5617192223242425262827293031333432353620383961719241822254140424344104746[[#This Row],[dont FNP à date (€ HT)]]</f>
        <v>0</v>
      </c>
      <c r="AK185" s="15">
        <f t="shared" si="46"/>
        <v>0</v>
      </c>
      <c r="AL18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5" s="19">
        <f>IF(Tableau5617192223242425262827293031333432353620383961719241822254140424344104746[[#This Row],[RAF Achats M-1
€]]=0,0,AN185-AO185)</f>
        <v>0</v>
      </c>
      <c r="AN185" s="8">
        <f>IFERROR(VLOOKUP(H185,#REF!,31,FALSE),0)</f>
        <v>0</v>
      </c>
      <c r="AO185" s="8">
        <f>AI185+-IFERROR(VLOOKUP(H185,#REF!,27,FALSE),0)</f>
        <v>0</v>
      </c>
      <c r="AP185" s="20">
        <f>IFERROR(VLOOKUP(Tableau5617192223242425262827293031333432353620383961719241822254140424344104746[[#This Row],[Num Projets]],#REF!,2,FALSE),0)</f>
        <v>0</v>
      </c>
      <c r="AQ185" s="20">
        <f>_xlfn.XLOOKUP(H185,[2]Synth!$N:$N,[2]Synth!$O:$O,0,FALSE)+_xlfn.XLOOKUP(Tableau5617192223242425262827293031333432353620383961719241822254140424344104746[[#This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5" s="21">
        <v>0</v>
      </c>
      <c r="AS185" s="20">
        <f>+IFERROR(VLOOKUP(H185,#REF!,36,FALSE),0)</f>
        <v>0</v>
      </c>
      <c r="AT18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5" s="22">
        <f>IF(AG185=0,0,1-((AI185+AM185+Tableau5617192223242425262827293031333432353620383961719241822254140424344104746[[#This Row],[Int Commandé OT
€]]+Tableau5617192223242425262827293031333432353620383961719241822254140424344104746[[#This Row],[RAF Int OT
€]])/AG185))</f>
        <v>0</v>
      </c>
      <c r="AV185" s="8">
        <f>IFERROR(VLOOKUP(H185,#REF!,4,FALSE),0)+IFERROR(VLOOKUP(H185,#REF!,4,FALSE),0)</f>
        <v>0</v>
      </c>
      <c r="AW185" s="8">
        <f>IFERROR(VLOOKUP(Tableau5617192223242425262827293031333432353620383961719241822254140424344104746[[#This Row],[Num Projets]],#REF!,3,FALSE),0)</f>
        <v>0</v>
      </c>
      <c r="AX185" s="95">
        <f>IFERROR(VLOOKUP(Tableau5617192223242425262827293031333432353620383961719241822254140424344104746[[#This Row],[Num Projets]],#REF!,10,FALSE),0)</f>
        <v>0</v>
      </c>
      <c r="AY185" s="23">
        <f>Tableau5617192223242425262827293031333432353620383961719241822254140424344104746[[#This Row],[Budget Mission
 €]]/1.2-AX185</f>
        <v>0</v>
      </c>
      <c r="AZ185" s="8">
        <f>IFERROR(VLOOKUP(H185,#REF!,43,FALSE),0)</f>
        <v>0</v>
      </c>
      <c r="BA185" s="8">
        <f>AX185-IFERROR(VLOOKUP(H185,#REF!,42,FALSE),0)</f>
        <v>0</v>
      </c>
      <c r="BB185" s="47">
        <f t="shared" si="47"/>
        <v>0</v>
      </c>
      <c r="BC185" s="24">
        <f>IFERROR(VLOOKUP(H185,#REF!,47,FALSE),IFERROR(VLOOKUP(H185,#REF!,5,FALSE),0)+IFERROR(VLOOKUP(H185,#REF!,5,FALSE),0))</f>
        <v>0</v>
      </c>
      <c r="BD185" s="25">
        <f>IFERROR(VLOOKUP(H185,#REF!,2,FALSE),0)</f>
        <v>0</v>
      </c>
      <c r="BE185" s="25">
        <f>IFERROR(VLOOKUP(H185,#REF!,49,FALSE),0)</f>
        <v>0</v>
      </c>
      <c r="BF185" s="50" t="e">
        <f t="shared" si="41"/>
        <v>#REF!</v>
      </c>
      <c r="BG185" s="50">
        <f t="shared" si="42"/>
        <v>0</v>
      </c>
      <c r="BH185" s="27">
        <f>AE185+ (AI185-AJ185+AM185+Tableau5617192223242425262827293031333432353620383961719241822254140424344104746[[#This Row],[Int Commandé OT
€]]-Tableau5617192223242425262827293031333432353620383961719241822254140424344104746[[#This Row],[Int Réalisé OT
€]]+AR185) +AY185+BC185</f>
        <v>430.2</v>
      </c>
      <c r="BI185" s="47">
        <f t="shared" si="52"/>
        <v>0</v>
      </c>
      <c r="BJ185" s="47" t="e">
        <f t="shared" si="43"/>
        <v>#REF!</v>
      </c>
      <c r="BK185" s="27" t="e">
        <f t="shared" si="44"/>
        <v>#REF!</v>
      </c>
      <c r="BL185" s="26" t="e">
        <f t="shared" si="45"/>
        <v>#REF!</v>
      </c>
      <c r="BM185" s="96">
        <f>IFERROR(VLOOKUP(H185,'[1]2023sep'!H:CA,54,FALSE),105)</f>
        <v>105</v>
      </c>
      <c r="BN185" s="29">
        <v>1</v>
      </c>
      <c r="BO185" s="30" t="e">
        <f>P185-AC185-AG185-AV185-Tableau5617192223242425262827293031333432353620383961719241822254140424344104746[[#This Row],[Provisions pour risques]]</f>
        <v>#REF!</v>
      </c>
      <c r="BP18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430.2</v>
      </c>
      <c r="BQ18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5" s="97" t="e">
        <f t="shared" si="53"/>
        <v>#REF!</v>
      </c>
      <c r="BS185" s="34">
        <f>Tableau5617192223242425262827293031333432353620383961719241822254140424344104746[[#This Row],[Consommé global Enregistré à date (€ HT)]]-IFERROR(VLOOKUP(H185,#REF!,50,FALSE),0)</f>
        <v>0</v>
      </c>
      <c r="BT185" s="35" t="e">
        <f t="shared" si="54"/>
        <v>#REF!</v>
      </c>
      <c r="BU185" s="36">
        <f>BD185-IFERROR(VLOOKUP(H185,#REF!,47,FALSE),0)</f>
        <v>0</v>
      </c>
      <c r="BV185" s="37" t="e">
        <f>+BF185+Tableau5617192223242425262827293031333432353620383961719241822254140424344104746[[#This Row],[CA fin N-1]]-IFERROR(VLOOKUP(H185,#REF!,49,FALSE),0)-IFERROR(VLOOKUP(H185,#REF!,50,FALSE),0)</f>
        <v>#REF!</v>
      </c>
      <c r="BW185" s="33">
        <f>BG185-IFERROR(VLOOKUP(H185,#REF!,51,FALSE),0)</f>
        <v>0</v>
      </c>
      <c r="BX185" s="35" t="e">
        <f t="shared" si="55"/>
        <v>#REF!</v>
      </c>
      <c r="BY185" s="36">
        <f>BD185-IFERROR(VLOOKUP(H185,#REF!,48,FALSE),0)</f>
        <v>0</v>
      </c>
      <c r="BZ18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5" s="39" t="e">
        <f>VLOOKUP(Tableau5617192223242425262827293031333432353620383961719241822254140424344104746[[#This Row],[Num Projets]],#REF!,1,FALSE)</f>
        <v>#REF!</v>
      </c>
      <c r="CB185" s="40">
        <v>0</v>
      </c>
      <c r="CC185" s="40">
        <v>9</v>
      </c>
      <c r="CD18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86" spans="1:82" ht="15.75" customHeight="1" x14ac:dyDescent="0.25">
      <c r="A186" s="311"/>
      <c r="B186" s="1"/>
      <c r="C186" s="2" t="e">
        <f>_xlfn.XLOOKUP(Tableau5617192223242425262827293031333432353620383961719241822254140424344104746[[#This Row],[Num Projets]],#REF!,#REF!,FALSE)</f>
        <v>#REF!</v>
      </c>
      <c r="D186" s="3" t="s">
        <v>6</v>
      </c>
      <c r="E186" s="3" t="e">
        <f>_xlfn.XLOOKUP(Tableau5617192223242425262827293031333432353620383961719241822254140424344104746[[#This Row],[Num Projets]],#REF!,#REF!,FALSE)</f>
        <v>#REF!</v>
      </c>
      <c r="F186" s="3" t="e">
        <f>_xlfn.XLOOKUP(Tableau5617192223242425262827293031333432353620383961719241822254140424344104746[[#This Row],[Num Projets]],#REF!,#REF!,"newavr",0)</f>
        <v>#REF!</v>
      </c>
      <c r="G186" s="3" t="s">
        <v>2</v>
      </c>
      <c r="H186" s="3" t="s">
        <v>337</v>
      </c>
      <c r="I186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6" s="4" t="e">
        <f>VLOOKUP(Tableau5617192223242425262827293031333432353620383961719241822254140424344104746[[#This Row],[Num Projets]],#REF!,36,FALSE)</f>
        <v>#REF!</v>
      </c>
      <c r="K186" s="5" t="s">
        <v>338</v>
      </c>
      <c r="L18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6" s="3" t="e">
        <f>SUBSTITUTE(_xlfn.XLOOKUP(Tableau5617192223242425262827293031333432353620383961719241822254140424344104746[[#This Row],[Num Projets]],#REF!,#REF!,FALSE)," ","")</f>
        <v>#REF!</v>
      </c>
      <c r="N186" s="7" t="e">
        <f>VLOOKUP(H186,#REF!,7,FALSE)</f>
        <v>#REF!</v>
      </c>
      <c r="O186" s="7" t="e">
        <f>IF(VLOOKUP(H186,#REF!,27,FALSE)=0,"",VLOOKUP(H186,#REF!,27,FALSE))</f>
        <v>#REF!</v>
      </c>
      <c r="P186" s="8" t="e">
        <f>VLOOKUP(H186,#REF!,2,FALSE)</f>
        <v>#REF!</v>
      </c>
      <c r="Q186" s="9" t="e">
        <f>Tableau5617192223242425262827293031333432353620383961719241822254140424344104746[[#This Row],[Total Budget
€]]-IFERROR(VLOOKUP(H186,#REF!,8,FALSE),0)</f>
        <v>#REF!</v>
      </c>
      <c r="R186" s="10">
        <f>AD186+AI186+Tableau5617192223242425262827293031333432353620383961719241822254140424344104746[[#This Row],[Int Commandé OT
€]]+AX186</f>
        <v>0</v>
      </c>
      <c r="S186" s="10">
        <f>AD186+AJ186+Tableau5617192223242425262827293031333432353620383961719241822254140424344104746[[#This Row],[Int Réalisé OT
€]]+AX186</f>
        <v>0</v>
      </c>
      <c r="T186" s="11" t="e">
        <f t="shared" si="38"/>
        <v>#REF!</v>
      </c>
      <c r="U18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6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6" s="12">
        <f>IFERROR(VLOOKUP(H186,#REF!,2,FALSE),0)</f>
        <v>0</v>
      </c>
      <c r="X186" s="13">
        <f>IFERROR(VLOOKUP(H186,#REF!,2,FALSE),0)</f>
        <v>0</v>
      </c>
      <c r="Y186" s="13">
        <f>IFERROR(VLOOKUP(H186,#REF!,3,FALSE),0)</f>
        <v>0</v>
      </c>
      <c r="Z18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81</v>
      </c>
      <c r="AA186" s="13">
        <f>IFERROR(VLOOKUP(H186,#REF!,18,FALSE),0)</f>
        <v>0</v>
      </c>
      <c r="AB186" s="13">
        <f>SUM(X186:Y186)-IFERROR(VLOOKUP(H186,#REF!,16,FALSE),0)-IFERROR(VLOOKUP(H186,#REF!,17,FALSE),0)</f>
        <v>0</v>
      </c>
      <c r="AC186" s="15" t="e">
        <f>VLOOKUP(Tableau5617192223242425262827293031333432353620383961719241822254140424344104746[[#This Row],[Num Projets]],#REF!,2,FALSE)</f>
        <v>#REF!</v>
      </c>
      <c r="AD186" s="15">
        <f>IFERROR(VLOOKUP(Tableau5617192223242425262827293031333432353620383961719241822254140424344104746[[#This Row],[Num Projets]],#REF!,2,FALSE),0)</f>
        <v>0</v>
      </c>
      <c r="AE186" s="8">
        <f t="shared" si="39"/>
        <v>3871.7999999999997</v>
      </c>
      <c r="AF186" s="22" t="e">
        <f t="shared" si="40"/>
        <v>#REF!</v>
      </c>
      <c r="AG186" s="8">
        <f>IFERROR(VLOOKUP(H186,#REF!,3,FALSE),0)+IFERROR(VLOOKUP(H186,#REF!,3,FALSE),0)</f>
        <v>0</v>
      </c>
      <c r="AH186" s="8">
        <f>IFERROR(VLOOKUP(Tableau5617192223242425262827293031333432353620383961719241822254140424344104746[[#This Row],[Num Projets]],#REF!,2,FALSE),0)</f>
        <v>0</v>
      </c>
      <c r="AI186" s="17">
        <f>+IFERROR(VLOOKUP(H186,#REF!,2,FALSE),0)-Tableau5617192223242425262827293031333432353620383961719241822254140424344104746[[#This Row],[Int Commandé OT
€]]</f>
        <v>0</v>
      </c>
      <c r="AJ186" s="8">
        <f>IFERROR(VLOOKUP(H186,#REF!,11,FALSE),0)-IFERROR(VLOOKUP(H186,#REF!,10,FALSE),0)+Tableau5617192223242425262827293031333432353620383961719241822254140424344104746[[#This Row],[dont FNP à date (€ HT)]]</f>
        <v>0</v>
      </c>
      <c r="AK186" s="15">
        <f t="shared" si="46"/>
        <v>0</v>
      </c>
      <c r="AL18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6" s="19">
        <f>IF(Tableau5617192223242425262827293031333432353620383961719241822254140424344104746[[#This Row],[RAF Achats M-1
€]]=0,0,AN186-AO186)</f>
        <v>0</v>
      </c>
      <c r="AN186" s="8">
        <f>IFERROR(VLOOKUP(H186,#REF!,31,FALSE),0)</f>
        <v>0</v>
      </c>
      <c r="AO186" s="8">
        <f>AI186+-IFERROR(VLOOKUP(H186,#REF!,27,FALSE),0)</f>
        <v>0</v>
      </c>
      <c r="AP186" s="20">
        <f>IFERROR(VLOOKUP(Tableau5617192223242425262827293031333432353620383961719241822254140424344104746[[#This Row],[Num Projets]],#REF!,2,FALSE),0)</f>
        <v>0</v>
      </c>
      <c r="AQ186" s="20">
        <f>_xlfn.XLOOKUP(H186,[2]Synth!$N:$N,[2]Synth!$O:$O,0,FALSE)+_xlfn.XLOOKUP(Tableau5617192223242425262827293031333432353620383961719241822254140424344104746[[#This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6" s="21">
        <v>0</v>
      </c>
      <c r="AS186" s="20">
        <f>+IFERROR(VLOOKUP(H186,#REF!,36,FALSE),0)</f>
        <v>0</v>
      </c>
      <c r="AT18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6" s="22">
        <f>IF(AG186=0,0,1-((AI186+AM186+Tableau5617192223242425262827293031333432353620383961719241822254140424344104746[[#This Row],[Int Commandé OT
€]]+Tableau5617192223242425262827293031333432353620383961719241822254140424344104746[[#This Row],[RAF Int OT
€]])/AG186))</f>
        <v>0</v>
      </c>
      <c r="AV186" s="8">
        <f>IFERROR(VLOOKUP(H186,#REF!,4,FALSE),0)+IFERROR(VLOOKUP(H186,#REF!,4,FALSE),0)</f>
        <v>0</v>
      </c>
      <c r="AW186" s="8">
        <f>IFERROR(VLOOKUP(Tableau5617192223242425262827293031333432353620383961719241822254140424344104746[[#This Row],[Num Projets]],#REF!,3,FALSE),0)</f>
        <v>0</v>
      </c>
      <c r="AX186" s="95">
        <f>IFERROR(VLOOKUP(Tableau5617192223242425262827293031333432353620383961719241822254140424344104746[[#This Row],[Num Projets]],#REF!,10,FALSE),0)</f>
        <v>0</v>
      </c>
      <c r="AY186" s="23">
        <f>Tableau5617192223242425262827293031333432353620383961719241822254140424344104746[[#This Row],[Budget Mission
 €]]/1.2-AX186</f>
        <v>0</v>
      </c>
      <c r="AZ186" s="8">
        <f>IFERROR(VLOOKUP(H186,#REF!,43,FALSE),0)</f>
        <v>0</v>
      </c>
      <c r="BA186" s="8">
        <f>AX186-IFERROR(VLOOKUP(H186,#REF!,42,FALSE),0)</f>
        <v>0</v>
      </c>
      <c r="BB186" s="47">
        <f t="shared" si="47"/>
        <v>0</v>
      </c>
      <c r="BC186" s="24">
        <f>IFERROR(VLOOKUP(H186,#REF!,47,FALSE),IFERROR(VLOOKUP(H186,#REF!,5,FALSE),0)+IFERROR(VLOOKUP(H186,#REF!,5,FALSE),0))</f>
        <v>0</v>
      </c>
      <c r="BD186" s="25">
        <f>IFERROR(VLOOKUP(H186,#REF!,2,FALSE),0)</f>
        <v>0</v>
      </c>
      <c r="BE186" s="25">
        <f>IFERROR(VLOOKUP(H186,#REF!,49,FALSE),0)</f>
        <v>0</v>
      </c>
      <c r="BF186" s="50" t="e">
        <f t="shared" si="41"/>
        <v>#REF!</v>
      </c>
      <c r="BG186" s="50">
        <f t="shared" si="42"/>
        <v>0</v>
      </c>
      <c r="BH186" s="27">
        <f>AE186+ (AI186-AJ186+AM186+Tableau5617192223242425262827293031333432353620383961719241822254140424344104746[[#This Row],[Int Commandé OT
€]]-Tableau5617192223242425262827293031333432353620383961719241822254140424344104746[[#This Row],[Int Réalisé OT
€]]+AR186) +AY186+BC186</f>
        <v>3871.7999999999997</v>
      </c>
      <c r="BI186" s="47">
        <f t="shared" si="52"/>
        <v>0</v>
      </c>
      <c r="BJ186" s="47" t="e">
        <f t="shared" si="43"/>
        <v>#REF!</v>
      </c>
      <c r="BK186" s="27" t="e">
        <f t="shared" si="44"/>
        <v>#REF!</v>
      </c>
      <c r="BL186" s="26" t="e">
        <f t="shared" si="45"/>
        <v>#REF!</v>
      </c>
      <c r="BM186" s="96">
        <f>IFERROR(VLOOKUP(H186,'[1]2023sep'!H:CA,54,FALSE),105)</f>
        <v>105</v>
      </c>
      <c r="BN186" s="29">
        <v>1</v>
      </c>
      <c r="BO186" s="30" t="e">
        <f>P186-AC186-AG186-AV186-Tableau5617192223242425262827293031333432353620383961719241822254140424344104746[[#This Row],[Provisions pour risques]]</f>
        <v>#REF!</v>
      </c>
      <c r="BP18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3871.7999999999997</v>
      </c>
      <c r="BQ18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6" s="97" t="e">
        <f t="shared" si="53"/>
        <v>#REF!</v>
      </c>
      <c r="BS186" s="34">
        <f>Tableau5617192223242425262827293031333432353620383961719241822254140424344104746[[#This Row],[Consommé global Enregistré à date (€ HT)]]-IFERROR(VLOOKUP(H186,#REF!,50,FALSE),0)</f>
        <v>0</v>
      </c>
      <c r="BT186" s="35" t="e">
        <f t="shared" si="54"/>
        <v>#REF!</v>
      </c>
      <c r="BU186" s="36">
        <f>BD186-IFERROR(VLOOKUP(H186,#REF!,47,FALSE),0)</f>
        <v>0</v>
      </c>
      <c r="BV186" s="37" t="e">
        <f>+BF186+Tableau5617192223242425262827293031333432353620383961719241822254140424344104746[[#This Row],[CA fin N-1]]-IFERROR(VLOOKUP(H186,#REF!,49,FALSE),0)-IFERROR(VLOOKUP(H186,#REF!,50,FALSE),0)</f>
        <v>#REF!</v>
      </c>
      <c r="BW186" s="33">
        <f>BG186-IFERROR(VLOOKUP(H186,#REF!,51,FALSE),0)</f>
        <v>0</v>
      </c>
      <c r="BX186" s="35" t="e">
        <f t="shared" si="55"/>
        <v>#REF!</v>
      </c>
      <c r="BY186" s="36">
        <f>BD186-IFERROR(VLOOKUP(H186,#REF!,48,FALSE),0)</f>
        <v>0</v>
      </c>
      <c r="BZ18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6" s="39" t="e">
        <f>VLOOKUP(Tableau5617192223242425262827293031333432353620383961719241822254140424344104746[[#This Row],[Num Projets]],#REF!,1,FALSE)</f>
        <v>#REF!</v>
      </c>
      <c r="CB186" s="40">
        <v>45</v>
      </c>
      <c r="CC186" s="40">
        <v>36</v>
      </c>
      <c r="CD18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-45</v>
      </c>
    </row>
    <row r="187" spans="1:82" ht="15.75" customHeight="1" x14ac:dyDescent="0.25">
      <c r="A187" s="311" t="s">
        <v>339</v>
      </c>
      <c r="B187" s="1"/>
      <c r="C187" s="2" t="e">
        <f>_xlfn.XLOOKUP(Tableau5617192223242425262827293031333432353620383961719241822254140424344104746[[#This Row],[Num Projets]],#REF!,#REF!,FALSE)</f>
        <v>#REF!</v>
      </c>
      <c r="D187" s="3" t="s">
        <v>6</v>
      </c>
      <c r="E187" s="3" t="e">
        <f>_xlfn.XLOOKUP(Tableau5617192223242425262827293031333432353620383961719241822254140424344104746[[#This Row],[Num Projets]],#REF!,#REF!,FALSE)</f>
        <v>#REF!</v>
      </c>
      <c r="F187" s="3" t="s">
        <v>165</v>
      </c>
      <c r="G187" s="3" t="s">
        <v>2</v>
      </c>
      <c r="H187" s="3" t="s">
        <v>340</v>
      </c>
      <c r="I187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7" s="4" t="e">
        <f>VLOOKUP(Tableau5617192223242425262827293031333432353620383961719241822254140424344104746[[#This Row],[Num Projets]],#REF!,36,FALSE)</f>
        <v>#REF!</v>
      </c>
      <c r="K187" s="5" t="s">
        <v>9</v>
      </c>
      <c r="L18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7" s="3" t="e">
        <f>SUBSTITUTE(_xlfn.XLOOKUP(Tableau5617192223242425262827293031333432353620383961719241822254140424344104746[[#This Row],[Num Projets]],#REF!,#REF!,FALSE)," ","")</f>
        <v>#REF!</v>
      </c>
      <c r="N187" s="7" t="e">
        <f>VLOOKUP(H187,#REF!,7,FALSE)</f>
        <v>#REF!</v>
      </c>
      <c r="O187" s="7">
        <v>45808</v>
      </c>
      <c r="P187" s="8" t="e">
        <f>VLOOKUP(H187,#REF!,2,FALSE)</f>
        <v>#REF!</v>
      </c>
      <c r="Q187" s="9" t="e">
        <f>Tableau5617192223242425262827293031333432353620383961719241822254140424344104746[[#This Row],[Total Budget
€]]-IFERROR(VLOOKUP(H187,#REF!,8,FALSE),0)</f>
        <v>#REF!</v>
      </c>
      <c r="R187" s="10">
        <f>AD187+AI187+Tableau5617192223242425262827293031333432353620383961719241822254140424344104746[[#This Row],[Int Commandé OT
€]]+AX187</f>
        <v>0</v>
      </c>
      <c r="S187" s="10">
        <f>AD187+AJ187+Tableau5617192223242425262827293031333432353620383961719241822254140424344104746[[#This Row],[Int Réalisé OT
€]]+AX187</f>
        <v>0</v>
      </c>
      <c r="T187" s="11" t="e">
        <f t="shared" si="38"/>
        <v>#REF!</v>
      </c>
      <c r="U18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7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7" s="12">
        <f>IFERROR(VLOOKUP(H187,#REF!,2,FALSE),0)</f>
        <v>0</v>
      </c>
      <c r="X187" s="13">
        <f>IFERROR(VLOOKUP(H187,#REF!,2,FALSE),0)</f>
        <v>0</v>
      </c>
      <c r="Y187" s="13">
        <f>IFERROR(VLOOKUP(H187,#REF!,3,FALSE),0)</f>
        <v>0</v>
      </c>
      <c r="Z18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187" s="13">
        <f>IFERROR(VLOOKUP(H187,#REF!,18,FALSE),0)</f>
        <v>0</v>
      </c>
      <c r="AB187" s="13">
        <f>SUM(X187:Y187)-IFERROR(VLOOKUP(H187,#REF!,16,FALSE),0)-IFERROR(VLOOKUP(H187,#REF!,17,FALSE),0)</f>
        <v>0</v>
      </c>
      <c r="AC187" s="15" t="e">
        <f>VLOOKUP(Tableau5617192223242425262827293031333432353620383961719241822254140424344104746[[#This Row],[Num Projets]],#REF!,2,FALSE)</f>
        <v>#REF!</v>
      </c>
      <c r="AD187" s="15">
        <f>IFERROR(VLOOKUP(Tableau5617192223242425262827293031333432353620383961719241822254140424344104746[[#This Row],[Num Projets]],#REF!,2,FALSE),0)</f>
        <v>0</v>
      </c>
      <c r="AE187" s="8">
        <f t="shared" si="39"/>
        <v>0</v>
      </c>
      <c r="AF187" s="22" t="e">
        <f t="shared" si="40"/>
        <v>#REF!</v>
      </c>
      <c r="AG187" s="8">
        <f>IFERROR(VLOOKUP(H187,#REF!,3,FALSE),0)+IFERROR(VLOOKUP(H187,#REF!,3,FALSE),0)</f>
        <v>0</v>
      </c>
      <c r="AH187" s="8">
        <f>IFERROR(VLOOKUP(Tableau5617192223242425262827293031333432353620383961719241822254140424344104746[[#This Row],[Num Projets]],#REF!,2,FALSE),0)</f>
        <v>0</v>
      </c>
      <c r="AI187" s="17">
        <f>+IFERROR(VLOOKUP(H187,#REF!,2,FALSE),0)-Tableau5617192223242425262827293031333432353620383961719241822254140424344104746[[#This Row],[Int Commandé OT
€]]</f>
        <v>0</v>
      </c>
      <c r="AJ187" s="8">
        <f>IFERROR(VLOOKUP(H187,#REF!,11,FALSE),0)-IFERROR(VLOOKUP(H187,#REF!,10,FALSE),0)+Tableau5617192223242425262827293031333432353620383961719241822254140424344104746[[#This Row],[dont FNP à date (€ HT)]]</f>
        <v>0</v>
      </c>
      <c r="AK187" s="23">
        <f t="shared" si="46"/>
        <v>0</v>
      </c>
      <c r="AL18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7" s="19">
        <v>0</v>
      </c>
      <c r="AN187" s="8">
        <f>IFERROR(VLOOKUP(H187,#REF!,31,FALSE),0)</f>
        <v>0</v>
      </c>
      <c r="AO187" s="8">
        <f>AI187+-IFERROR(VLOOKUP(H187,#REF!,27,FALSE),0)</f>
        <v>0</v>
      </c>
      <c r="AP187" s="20">
        <f>IFERROR(VLOOKUP(Tableau5617192223242425262827293031333432353620383961719241822254140424344104746[[#This Row],[Num Projets]],#REF!,2,FALSE),0)</f>
        <v>0</v>
      </c>
      <c r="AQ187" s="20">
        <f>_xlfn.XLOOKUP(H187,[2]Synth!$N:$N,[2]Synth!$O:$O,0,FALSE)+_xlfn.XLOOKUP(Tableau5617192223242425262827293031333432353620383961719241822254140424344104746[[#This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7" s="21">
        <v>0</v>
      </c>
      <c r="AS187" s="20">
        <f>+IFERROR(VLOOKUP(H187,#REF!,36,FALSE),0)</f>
        <v>0</v>
      </c>
      <c r="AT18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7" s="22">
        <f>IF(AG187=0,0,1-((AI187+AM187+Tableau5617192223242425262827293031333432353620383961719241822254140424344104746[[#This Row],[Int Commandé OT
€]]+Tableau5617192223242425262827293031333432353620383961719241822254140424344104746[[#This Row],[RAF Int OT
€]])/AG187))</f>
        <v>0</v>
      </c>
      <c r="AV187" s="8">
        <f>IFERROR(VLOOKUP(H187,#REF!,4,FALSE),0)+IFERROR(VLOOKUP(H187,#REF!,4,FALSE),0)</f>
        <v>0</v>
      </c>
      <c r="AW187" s="8">
        <f>IFERROR(VLOOKUP(Tableau5617192223242425262827293031333432353620383961719241822254140424344104746[[#This Row],[Num Projets]],#REF!,3,FALSE),0)</f>
        <v>0</v>
      </c>
      <c r="AX187" s="95">
        <f>IFERROR(VLOOKUP(Tableau5617192223242425262827293031333432353620383961719241822254140424344104746[[#This Row],[Num Projets]],#REF!,10,FALSE),0)</f>
        <v>0</v>
      </c>
      <c r="AY187" s="23">
        <f>Tableau5617192223242425262827293031333432353620383961719241822254140424344104746[[#This Row],[Budget Mission
 €]]/1.2-AX187</f>
        <v>0</v>
      </c>
      <c r="AZ187" s="8">
        <f>IFERROR(VLOOKUP(H187,#REF!,43,FALSE),0)</f>
        <v>0</v>
      </c>
      <c r="BA187" s="8">
        <f>AX187-IFERROR(VLOOKUP(H187,#REF!,42,FALSE),0)</f>
        <v>0</v>
      </c>
      <c r="BB187" s="47">
        <f t="shared" si="47"/>
        <v>0</v>
      </c>
      <c r="BC187" s="24">
        <f>IFERROR(VLOOKUP(H187,#REF!,47,FALSE),IFERROR(VLOOKUP(H187,#REF!,5,FALSE),0)+IFERROR(VLOOKUP(H187,#REF!,5,FALSE),0))</f>
        <v>0</v>
      </c>
      <c r="BD187" s="25">
        <f>IFERROR(VLOOKUP(H187,#REF!,2,FALSE),0)</f>
        <v>0</v>
      </c>
      <c r="BE187" s="25">
        <f>IFERROR(VLOOKUP(H187,#REF!,49,FALSE),0)</f>
        <v>0</v>
      </c>
      <c r="BF187" s="50" t="e">
        <f t="shared" si="41"/>
        <v>#REF!</v>
      </c>
      <c r="BG187" s="50">
        <f t="shared" si="42"/>
        <v>0</v>
      </c>
      <c r="BH187" s="27">
        <f>AE187+ (AI187-AJ187+AM187+Tableau5617192223242425262827293031333432353620383961719241822254140424344104746[[#This Row],[Int Commandé OT
€]]-Tableau5617192223242425262827293031333432353620383961719241822254140424344104746[[#This Row],[Int Réalisé OT
€]]+AR187) +AY187+BC187</f>
        <v>0</v>
      </c>
      <c r="BI187" s="47">
        <f t="shared" si="52"/>
        <v>1</v>
      </c>
      <c r="BJ187" s="47" t="e">
        <f t="shared" si="43"/>
        <v>#REF!</v>
      </c>
      <c r="BK187" s="27" t="e">
        <f t="shared" si="44"/>
        <v>#REF!</v>
      </c>
      <c r="BL187" s="26" t="e">
        <f t="shared" si="45"/>
        <v>#REF!</v>
      </c>
      <c r="BM187" s="96">
        <f>IFERROR(VLOOKUP(H187,'[1]2023sep'!H:CA,54,FALSE),105)</f>
        <v>105</v>
      </c>
      <c r="BN187" s="29">
        <v>1</v>
      </c>
      <c r="BO187" s="30" t="e">
        <f>P187-AC187-AG187-AV187-Tableau5617192223242425262827293031333432353620383961719241822254140424344104746[[#This Row],[Provisions pour risques]]</f>
        <v>#REF!</v>
      </c>
      <c r="BP18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18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187" s="97" t="e">
        <f t="shared" si="53"/>
        <v>#REF!</v>
      </c>
      <c r="BS187" s="34">
        <f>Tableau5617192223242425262827293031333432353620383961719241822254140424344104746[[#This Row],[Consommé global Enregistré à date (€ HT)]]-IFERROR(VLOOKUP(H187,#REF!,50,FALSE),0)</f>
        <v>0</v>
      </c>
      <c r="BT187" s="35" t="e">
        <f t="shared" si="54"/>
        <v>#REF!</v>
      </c>
      <c r="BU187" s="36">
        <f>BD187-IFERROR(VLOOKUP(H187,#REF!,47,FALSE),0)</f>
        <v>0</v>
      </c>
      <c r="BV187" s="37" t="e">
        <f>+BF187+Tableau5617192223242425262827293031333432353620383961719241822254140424344104746[[#This Row],[CA fin N-1]]-IFERROR(VLOOKUP(H187,#REF!,49,FALSE),0)-IFERROR(VLOOKUP(H187,#REF!,50,FALSE),0)</f>
        <v>#REF!</v>
      </c>
      <c r="BW187" s="33">
        <f>BG187-IFERROR(VLOOKUP(H187,#REF!,51,FALSE),0)</f>
        <v>0</v>
      </c>
      <c r="BX187" s="35" t="e">
        <f t="shared" si="55"/>
        <v>#REF!</v>
      </c>
      <c r="BY187" s="36">
        <f>BD187-IFERROR(VLOOKUP(H187,#REF!,48,FALSE),0)</f>
        <v>0</v>
      </c>
      <c r="BZ18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7" s="39" t="e">
        <f>VLOOKUP(Tableau5617192223242425262827293031333432353620383961719241822254140424344104746[[#This Row],[Num Projets]],#REF!,1,FALSE)</f>
        <v>#REF!</v>
      </c>
      <c r="CB187" s="40">
        <v>0</v>
      </c>
      <c r="CC187" s="40">
        <v>0</v>
      </c>
      <c r="CD18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188" spans="1:82" ht="15.75" customHeight="1" x14ac:dyDescent="0.25">
      <c r="A188" s="311"/>
      <c r="B188" s="1"/>
      <c r="C188" s="2" t="e">
        <f>_xlfn.XLOOKUP(Tableau5617192223242425262827293031333432353620383961719241822254140424344104746[[#This Row],[Num Projets]],#REF!,#REF!,FALSE)</f>
        <v>#REF!</v>
      </c>
      <c r="D188" s="3" t="s">
        <v>6</v>
      </c>
      <c r="E188" s="3" t="e">
        <f>_xlfn.XLOOKUP(Tableau5617192223242425262827293031333432353620383961719241822254140424344104746[[#This Row],[Num Projets]],#REF!,#REF!,FALSE)</f>
        <v>#REF!</v>
      </c>
      <c r="F188" s="3" t="e">
        <f>_xlfn.XLOOKUP(Tableau5617192223242425262827293031333432353620383961719241822254140424344104746[[#This Row],[Num Projets]],#REF!,#REF!,"newavr",0)</f>
        <v>#REF!</v>
      </c>
      <c r="G188" s="3" t="s">
        <v>2</v>
      </c>
      <c r="H188" s="3" t="s">
        <v>341</v>
      </c>
      <c r="I188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8" s="4" t="e">
        <f>VLOOKUP(Tableau5617192223242425262827293031333432353620383961719241822254140424344104746[[#This Row],[Num Projets]],#REF!,36,FALSE)</f>
        <v>#REF!</v>
      </c>
      <c r="K188" s="5" t="s">
        <v>338</v>
      </c>
      <c r="L18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8" s="3" t="e">
        <f>SUBSTITUTE(_xlfn.XLOOKUP(Tableau5617192223242425262827293031333432353620383961719241822254140424344104746[[#This Row],[Num Projets]],#REF!,#REF!,FALSE)," ","")</f>
        <v>#REF!</v>
      </c>
      <c r="N188" s="7" t="e">
        <f>VLOOKUP(H188,#REF!,7,FALSE)</f>
        <v>#REF!</v>
      </c>
      <c r="O188" s="7" t="e">
        <f>IF(VLOOKUP(H188,#REF!,27,FALSE)=0,"",VLOOKUP(H188,#REF!,27,FALSE))</f>
        <v>#REF!</v>
      </c>
      <c r="P188" s="8" t="e">
        <f>VLOOKUP(H188,#REF!,2,FALSE)</f>
        <v>#REF!</v>
      </c>
      <c r="Q188" s="9" t="e">
        <f>Tableau5617192223242425262827293031333432353620383961719241822254140424344104746[[#This Row],[Total Budget
€]]-IFERROR(VLOOKUP(H188,#REF!,8,FALSE),0)</f>
        <v>#REF!</v>
      </c>
      <c r="R188" s="10">
        <f>AD188+AI188+Tableau5617192223242425262827293031333432353620383961719241822254140424344104746[[#This Row],[Int Commandé OT
€]]+AX188</f>
        <v>0</v>
      </c>
      <c r="S188" s="10">
        <f>AD188+AJ188+Tableau5617192223242425262827293031333432353620383961719241822254140424344104746[[#This Row],[Int Réalisé OT
€]]+AX188</f>
        <v>0</v>
      </c>
      <c r="T188" s="11" t="e">
        <f t="shared" si="38"/>
        <v>#REF!</v>
      </c>
      <c r="U18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8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8" s="128" t="e">
        <f>Tableau5617192223242425262827293031333432353620383961719241822254140424344104746[[#This Row],[Budget Heures Valorisées
€]]/105</f>
        <v>#REF!</v>
      </c>
      <c r="X188" s="165">
        <f>IFERROR(VLOOKUP(H188,#REF!,2,FALSE),0)+1.5</f>
        <v>1.5</v>
      </c>
      <c r="Y188" s="13">
        <f>IFERROR(VLOOKUP(H188,#REF!,3,FALSE),0)</f>
        <v>0</v>
      </c>
      <c r="Z18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104.5</v>
      </c>
      <c r="AA188" s="13">
        <f>IFERROR(VLOOKUP(H188,#REF!,18,FALSE),0)</f>
        <v>0</v>
      </c>
      <c r="AB188" s="13">
        <f>SUM(X188:Y188)-IFERROR(VLOOKUP(H188,#REF!,16,FALSE),0)-IFERROR(VLOOKUP(H188,#REF!,17,FALSE),0)</f>
        <v>1.5</v>
      </c>
      <c r="AC188" s="15" t="e">
        <f>VLOOKUP(Tableau5617192223242425262827293031333432353620383961719241822254140424344104746[[#This Row],[Num Projets]],#REF!,2,FALSE)</f>
        <v>#REF!</v>
      </c>
      <c r="AD188" s="15">
        <f>IFERROR(VLOOKUP(Tableau5617192223242425262827293031333432353620383961719241822254140424344104746[[#This Row],[Num Projets]],#REF!,2,FALSE),0)</f>
        <v>0</v>
      </c>
      <c r="AE188" s="8">
        <f t="shared" si="39"/>
        <v>4995.0999999999995</v>
      </c>
      <c r="AF188" s="22" t="e">
        <f t="shared" si="40"/>
        <v>#REF!</v>
      </c>
      <c r="AG188" s="8">
        <f>IFERROR(VLOOKUP(H188,#REF!,3,FALSE),0)+IFERROR(VLOOKUP(H188,#REF!,3,FALSE),0)</f>
        <v>0</v>
      </c>
      <c r="AH188" s="8">
        <f>IFERROR(VLOOKUP(Tableau5617192223242425262827293031333432353620383961719241822254140424344104746[[#This Row],[Num Projets]],#REF!,2,FALSE),0)</f>
        <v>0</v>
      </c>
      <c r="AI188" s="17">
        <f>+IFERROR(VLOOKUP(H188,#REF!,2,FALSE),0)-Tableau5617192223242425262827293031333432353620383961719241822254140424344104746[[#This Row],[Int Commandé OT
€]]</f>
        <v>0</v>
      </c>
      <c r="AJ188" s="8">
        <f>IFERROR(VLOOKUP(H188,#REF!,11,FALSE),0)-IFERROR(VLOOKUP(H188,#REF!,10,FALSE),0)+Tableau5617192223242425262827293031333432353620383961719241822254140424344104746[[#This Row],[dont FNP à date (€ HT)]]</f>
        <v>0</v>
      </c>
      <c r="AK188" s="15">
        <f t="shared" si="46"/>
        <v>0</v>
      </c>
      <c r="AL18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8" s="19">
        <f>IF(Tableau5617192223242425262827293031333432353620383961719241822254140424344104746[[#This Row],[RAF Achats M-1
€]]=0,0,AN188-AO188)</f>
        <v>0</v>
      </c>
      <c r="AN188" s="8">
        <f>IFERROR(VLOOKUP(H188,#REF!,31,FALSE),0)</f>
        <v>0</v>
      </c>
      <c r="AO188" s="8">
        <f>AI188+-IFERROR(VLOOKUP(H188,#REF!,27,FALSE),0)</f>
        <v>0</v>
      </c>
      <c r="AP188" s="20">
        <f>IFERROR(VLOOKUP(Tableau5617192223242425262827293031333432353620383961719241822254140424344104746[[#This Row],[Num Projets]],#REF!,2,FALSE),0)</f>
        <v>0</v>
      </c>
      <c r="AQ188" s="20">
        <f>_xlfn.XLOOKUP(H188,[2]Synth!$N:$N,[2]Synth!$O:$O,0,FALSE)+_xlfn.XLOOKUP(Tableau5617192223242425262827293031333432353620383961719241822254140424344104746[[#This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8" s="21">
        <v>0</v>
      </c>
      <c r="AS188" s="20">
        <f>+IFERROR(VLOOKUP(H188,#REF!,36,FALSE),0)</f>
        <v>0</v>
      </c>
      <c r="AT18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8" s="22">
        <f>IF(AG188=0,0,1-((AI188+AM188+Tableau5617192223242425262827293031333432353620383961719241822254140424344104746[[#This Row],[Int Commandé OT
€]]+Tableau5617192223242425262827293031333432353620383961719241822254140424344104746[[#This Row],[RAF Int OT
€]])/AG188))</f>
        <v>0</v>
      </c>
      <c r="AV188" s="8">
        <f>IFERROR(VLOOKUP(H188,#REF!,4,FALSE),0)+IFERROR(VLOOKUP(H188,#REF!,4,FALSE),0)</f>
        <v>0</v>
      </c>
      <c r="AW188" s="8">
        <f>IFERROR(VLOOKUP(Tableau5617192223242425262827293031333432353620383961719241822254140424344104746[[#This Row],[Num Projets]],#REF!,3,FALSE),0)</f>
        <v>0</v>
      </c>
      <c r="AX188" s="95">
        <f>IFERROR(VLOOKUP(Tableau5617192223242425262827293031333432353620383961719241822254140424344104746[[#This Row],[Num Projets]],#REF!,10,FALSE),0)</f>
        <v>0</v>
      </c>
      <c r="AY188" s="23">
        <f>Tableau5617192223242425262827293031333432353620383961719241822254140424344104746[[#This Row],[Budget Mission
 €]]/1.2-AX188</f>
        <v>0</v>
      </c>
      <c r="AZ188" s="8">
        <f>IFERROR(VLOOKUP(H188,#REF!,43,FALSE),0)</f>
        <v>0</v>
      </c>
      <c r="BA188" s="8">
        <f>AX188-IFERROR(VLOOKUP(H188,#REF!,42,FALSE),0)</f>
        <v>0</v>
      </c>
      <c r="BB188" s="47">
        <f t="shared" si="47"/>
        <v>0</v>
      </c>
      <c r="BC188" s="24">
        <f>IFERROR(VLOOKUP(H188,#REF!,47,FALSE),IFERROR(VLOOKUP(H188,#REF!,5,FALSE),0)+IFERROR(VLOOKUP(H188,#REF!,5,FALSE),0))</f>
        <v>0</v>
      </c>
      <c r="BD188" s="25">
        <f>IFERROR(VLOOKUP(H188,#REF!,2,FALSE),0)</f>
        <v>0</v>
      </c>
      <c r="BE188" s="25">
        <f>IFERROR(VLOOKUP(H188,#REF!,49,FALSE),0)</f>
        <v>0</v>
      </c>
      <c r="BF188" s="50" t="e">
        <f t="shared" si="41"/>
        <v>#REF!</v>
      </c>
      <c r="BG188" s="50">
        <f t="shared" si="42"/>
        <v>0</v>
      </c>
      <c r="BH188" s="27">
        <f>AE188+ (AI188-AJ188+AM188+Tableau5617192223242425262827293031333432353620383961719241822254140424344104746[[#This Row],[Int Commandé OT
€]]-Tableau5617192223242425262827293031333432353620383961719241822254140424344104746[[#This Row],[Int Réalisé OT
€]]+AR188) +AY188+BC188</f>
        <v>4995.0999999999995</v>
      </c>
      <c r="BI188" s="47">
        <f>IF(BG188+BH188=0,100%,BG188/(BG188+BH188))</f>
        <v>0</v>
      </c>
      <c r="BJ188" s="47" t="e">
        <f t="shared" si="43"/>
        <v>#REF!</v>
      </c>
      <c r="BK188" s="27" t="e">
        <f t="shared" si="44"/>
        <v>#REF!</v>
      </c>
      <c r="BL188" s="26" t="e">
        <f t="shared" si="45"/>
        <v>#REF!</v>
      </c>
      <c r="BM188" s="96">
        <f>IFERROR(VLOOKUP(H188,'[1]2023sep'!H:CA,54,FALSE),105)</f>
        <v>105</v>
      </c>
      <c r="BN188" s="29">
        <v>1</v>
      </c>
      <c r="BO188" s="30" t="e">
        <f>P188-AC188-AG188-AV188-Tableau5617192223242425262827293031333432353620383961719241822254140424344104746[[#This Row],[Provisions pour risques]]</f>
        <v>#REF!</v>
      </c>
      <c r="BP18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4995.0999999999995</v>
      </c>
      <c r="BQ18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8" s="97" t="e">
        <f>BF188</f>
        <v>#REF!</v>
      </c>
      <c r="BS188" s="34">
        <f>Tableau5617192223242425262827293031333432353620383961719241822254140424344104746[[#This Row],[Consommé global Enregistré à date (€ HT)]]-IFERROR(VLOOKUP(H188,#REF!,50,FALSE),0)</f>
        <v>0</v>
      </c>
      <c r="BT188" s="35" t="e">
        <f>BR188-BS188</f>
        <v>#REF!</v>
      </c>
      <c r="BU188" s="36">
        <f>BD188-IFERROR(VLOOKUP(H188,#REF!,47,FALSE),0)</f>
        <v>0</v>
      </c>
      <c r="BV188" s="37" t="e">
        <f>+BF188+Tableau5617192223242425262827293031333432353620383961719241822254140424344104746[[#This Row],[CA fin N-1]]-IFERROR(VLOOKUP(H188,#REF!,49,FALSE),0)-IFERROR(VLOOKUP(H188,#REF!,50,FALSE),0)</f>
        <v>#REF!</v>
      </c>
      <c r="BW188" s="33">
        <f>BG188-IFERROR(VLOOKUP(H188,#REF!,51,FALSE),0)</f>
        <v>0</v>
      </c>
      <c r="BX188" s="35" t="e">
        <f>BV188-BW188</f>
        <v>#REF!</v>
      </c>
      <c r="BY188" s="36">
        <f>BD188-IFERROR(VLOOKUP(H188,#REF!,48,FALSE),0)</f>
        <v>0</v>
      </c>
      <c r="BZ18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8" s="39" t="e">
        <f>VLOOKUP(Tableau5617192223242425262827293031333432353620383961719241822254140424344104746[[#This Row],[Num Projets]],#REF!,1,FALSE)</f>
        <v>#REF!</v>
      </c>
      <c r="CB188" s="40">
        <v>57.5</v>
      </c>
      <c r="CC188" s="40">
        <v>48.5</v>
      </c>
      <c r="CD18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-56</v>
      </c>
    </row>
    <row r="189" spans="1:82" ht="15.75" customHeight="1" x14ac:dyDescent="0.25">
      <c r="A189" s="319"/>
      <c r="B189" s="1"/>
      <c r="C189" s="2" t="e">
        <f>_xlfn.XLOOKUP(Tableau5617192223242425262827293031333432353620383961719241822254140424344104746[[#This Row],[Num Projets]],#REF!,#REF!,FALSE)</f>
        <v>#REF!</v>
      </c>
      <c r="D189" s="3" t="s">
        <v>1</v>
      </c>
      <c r="E189" s="166" t="e">
        <f>_xlfn.XLOOKUP(Tableau5617192223242425262827293031333432353620383961719241822254140424344104746[[#This Row],[Num Projets]],#REF!,#REF!,FALSE)</f>
        <v>#REF!</v>
      </c>
      <c r="F189" s="3" t="s">
        <v>214</v>
      </c>
      <c r="G189" s="3" t="s">
        <v>2</v>
      </c>
      <c r="H189" s="166" t="s">
        <v>342</v>
      </c>
      <c r="I189" s="167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89" s="4" t="e">
        <f>VLOOKUP(Tableau5617192223242425262827293031333432353620383961719241822254140424344104746[[#This Row],[Num Projets]],#REF!,36,FALSE)</f>
        <v>#REF!</v>
      </c>
      <c r="K189" s="5" t="s">
        <v>4</v>
      </c>
      <c r="L18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89" s="166" t="e">
        <f>SUBSTITUTE(_xlfn.XLOOKUP(Tableau5617192223242425262827293031333432353620383961719241822254140424344104746[[#This Row],[Num Projets]],#REF!,#REF!,FALSE)," ","")</f>
        <v>#REF!</v>
      </c>
      <c r="N189" s="168" t="e">
        <f>VLOOKUP(H189,#REF!,7,FALSE)</f>
        <v>#REF!</v>
      </c>
      <c r="O189" s="7" t="e">
        <f>IF(VLOOKUP(H189,#REF!,27,FALSE)=0,"",VLOOKUP(H189,#REF!,27,FALSE))</f>
        <v>#REF!</v>
      </c>
      <c r="P189" s="169" t="e">
        <f>VLOOKUP(H189,#REF!,2,FALSE)</f>
        <v>#REF!</v>
      </c>
      <c r="Q189" s="9" t="e">
        <f>Tableau5617192223242425262827293031333432353620383961719241822254140424344104746[[#This Row],[Total Budget
€]]-IFERROR(VLOOKUP(H189,#REF!,8,FALSE),0)</f>
        <v>#REF!</v>
      </c>
      <c r="R189" s="170">
        <f>AD189+AI189+Tableau5617192223242425262827293031333432353620383961719241822254140424344104746[[#This Row],[Int Commandé OT
€]]+AX189</f>
        <v>0</v>
      </c>
      <c r="S189" s="170">
        <f>AD189+AJ189+Tableau5617192223242425262827293031333432353620383961719241822254140424344104746[[#This Row],[Int Réalisé OT
€]]+AX189</f>
        <v>0</v>
      </c>
      <c r="T189" s="171" t="e">
        <f t="shared" si="38"/>
        <v>#REF!</v>
      </c>
      <c r="U18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89" s="1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89" s="172">
        <f>IFERROR(VLOOKUP(H189,#REF!,2,FALSE),0)</f>
        <v>0</v>
      </c>
      <c r="X189" s="13">
        <f>IFERROR(VLOOKUP(H189,#REF!,2,FALSE),0)</f>
        <v>0</v>
      </c>
      <c r="Y189" s="173">
        <f>IFERROR(VLOOKUP(H189,#REF!,3,FALSE),0)</f>
        <v>0</v>
      </c>
      <c r="Z18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</v>
      </c>
      <c r="AA189" s="13">
        <f>IFERROR(VLOOKUP(H189,#REF!,18,FALSE),0)</f>
        <v>0</v>
      </c>
      <c r="AB189" s="13">
        <f>SUM(X189:Y189)-IFERROR(VLOOKUP(H189,#REF!,16,FALSE),0)-IFERROR(VLOOKUP(H189,#REF!,17,FALSE),0)</f>
        <v>0</v>
      </c>
      <c r="AC189" s="174" t="e">
        <f>VLOOKUP(Tableau5617192223242425262827293031333432353620383961719241822254140424344104746[[#This Row],[Num Projets]],#REF!,2,FALSE)</f>
        <v>#REF!</v>
      </c>
      <c r="AD189" s="174">
        <f>IFERROR(VLOOKUP(Tableau5617192223242425262827293031333432353620383961719241822254140424344104746[[#This Row],[Num Projets]],#REF!,2,FALSE),0)</f>
        <v>0</v>
      </c>
      <c r="AE189" s="169">
        <f t="shared" si="39"/>
        <v>812.59999999999991</v>
      </c>
      <c r="AF189" s="175" t="e">
        <f t="shared" si="40"/>
        <v>#REF!</v>
      </c>
      <c r="AG189" s="169">
        <f>IFERROR(VLOOKUP(H189,#REF!,3,FALSE),0)+IFERROR(VLOOKUP(H189,#REF!,3,FALSE),0)</f>
        <v>0</v>
      </c>
      <c r="AH189" s="169">
        <f>IFERROR(VLOOKUP(Tableau5617192223242425262827293031333432353620383961719241822254140424344104746[[#This Row],[Num Projets]],#REF!,2,FALSE),0)</f>
        <v>0</v>
      </c>
      <c r="AI189" s="176">
        <f>+IFERROR(VLOOKUP(H189,#REF!,2,FALSE),0)-Tableau5617192223242425262827293031333432353620383961719241822254140424344104746[[#This Row],[Int Commandé OT
€]]</f>
        <v>0</v>
      </c>
      <c r="AJ189" s="169">
        <f>IFERROR(VLOOKUP(H189,#REF!,11,FALSE),0)-IFERROR(VLOOKUP(H189,#REF!,10,FALSE),0)+Tableau5617192223242425262827293031333432353620383961719241822254140424344104746[[#This Row],[dont FNP à date (€ HT)]]</f>
        <v>0</v>
      </c>
      <c r="AK189" s="174">
        <f t="shared" si="46"/>
        <v>0</v>
      </c>
      <c r="AL18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89" s="19">
        <f>IF(Tableau5617192223242425262827293031333432353620383961719241822254140424344104746[[#This Row],[RAF Achats M-1
€]]=0,0,AN189-AO189)</f>
        <v>0</v>
      </c>
      <c r="AN189" s="8">
        <f>IFERROR(VLOOKUP(H189,#REF!,31,FALSE),0)</f>
        <v>0</v>
      </c>
      <c r="AO189" s="8">
        <f>AI189+-IFERROR(VLOOKUP(H189,#REF!,27,FALSE),0)</f>
        <v>0</v>
      </c>
      <c r="AP189" s="177">
        <f>IFERROR(VLOOKUP(Tableau5617192223242425262827293031333432353620383961719241822254140424344104746[[#This Row],[Num Projets]],#REF!,2,FALSE),0)</f>
        <v>0</v>
      </c>
      <c r="AQ189" s="20">
        <f>_xlfn.XLOOKUP(H189,[2]Synth!$N:$N,[2]Synth!$O:$O,0,FALSE)+_xlfn.XLOOKUP(Tableau5617192223242425262827293031333432353620383961719241822254140424344104746[[#This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89" s="178">
        <v>0</v>
      </c>
      <c r="AS189" s="20">
        <f>+IFERROR(VLOOKUP(H189,#REF!,36,FALSE),0)</f>
        <v>0</v>
      </c>
      <c r="AT18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89" s="22">
        <f>IF(AG189=0,0,1-((AI189+AM189+Tableau5617192223242425262827293031333432353620383961719241822254140424344104746[[#This Row],[Int Commandé OT
€]]+Tableau5617192223242425262827293031333432353620383961719241822254140424344104746[[#This Row],[RAF Int OT
€]])/AG189))</f>
        <v>0</v>
      </c>
      <c r="AV189" s="169">
        <f>IFERROR(VLOOKUP(H189,#REF!,4,FALSE),0)+IFERROR(VLOOKUP(H189,#REF!,4,FALSE),0)</f>
        <v>0</v>
      </c>
      <c r="AW189" s="8">
        <f>IFERROR(VLOOKUP(Tableau5617192223242425262827293031333432353620383961719241822254140424344104746[[#This Row],[Num Projets]],#REF!,3,FALSE),0)</f>
        <v>0</v>
      </c>
      <c r="AX189" s="179">
        <f>IFERROR(VLOOKUP(Tableau5617192223242425262827293031333432353620383961719241822254140424344104746[[#This Row],[Num Projets]],#REF!,10,FALSE),0)</f>
        <v>0</v>
      </c>
      <c r="AY189" s="23">
        <f>Tableau5617192223242425262827293031333432353620383961719241822254140424344104746[[#This Row],[Budget Mission
 €]]/1.2-AX189</f>
        <v>0</v>
      </c>
      <c r="AZ189" s="8">
        <f>IFERROR(VLOOKUP(H189,#REF!,43,FALSE),0)</f>
        <v>0</v>
      </c>
      <c r="BA189" s="8">
        <f>AX189-IFERROR(VLOOKUP(H189,#REF!,42,FALSE),0)</f>
        <v>0</v>
      </c>
      <c r="BB189" s="180">
        <f t="shared" si="47"/>
        <v>0</v>
      </c>
      <c r="BC189" s="24">
        <f>IFERROR(VLOOKUP(H189,#REF!,47,FALSE),IFERROR(VLOOKUP(H189,#REF!,5,FALSE),0)+IFERROR(VLOOKUP(H189,#REF!,5,FALSE),0))</f>
        <v>0</v>
      </c>
      <c r="BD189" s="181">
        <f>IFERROR(VLOOKUP(H189,#REF!,2,FALSE),0)</f>
        <v>0</v>
      </c>
      <c r="BE189" s="25">
        <f>IFERROR(VLOOKUP(H189,#REF!,49,FALSE),0)</f>
        <v>0</v>
      </c>
      <c r="BF189" s="182" t="e">
        <f t="shared" si="41"/>
        <v>#REF!</v>
      </c>
      <c r="BG189" s="182">
        <f t="shared" si="42"/>
        <v>0</v>
      </c>
      <c r="BH189" s="183">
        <f>AE189+ (AI189-AJ189+AM189+Tableau5617192223242425262827293031333432353620383961719241822254140424344104746[[#This Row],[Int Commandé OT
€]]-Tableau5617192223242425262827293031333432353620383961719241822254140424344104746[[#This Row],[Int Réalisé OT
€]]+AR189) +AY189+BC189</f>
        <v>812.59999999999991</v>
      </c>
      <c r="BI189" s="180">
        <f>IF(BG189+BH189=0,100%,BG189/(BG189+BH189))</f>
        <v>0</v>
      </c>
      <c r="BJ189" s="180" t="e">
        <f t="shared" si="43"/>
        <v>#REF!</v>
      </c>
      <c r="BK189" s="27" t="e">
        <f t="shared" si="44"/>
        <v>#REF!</v>
      </c>
      <c r="BL189" s="26" t="e">
        <f t="shared" si="45"/>
        <v>#REF!</v>
      </c>
      <c r="BM189" s="184">
        <f>IFERROR(VLOOKUP(H189,'[1]2023sep'!H:CA,54,FALSE),105)</f>
        <v>105</v>
      </c>
      <c r="BN189" s="185">
        <v>1</v>
      </c>
      <c r="BO189" s="30" t="e">
        <f>P189-AC189-AG189-AV189-Tableau5617192223242425262827293031333432353620383961719241822254140424344104746[[#This Row],[Provisions pour risques]]</f>
        <v>#REF!</v>
      </c>
      <c r="BP18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812.59999999999991</v>
      </c>
      <c r="BQ18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89" s="186" t="e">
        <f>BF189</f>
        <v>#REF!</v>
      </c>
      <c r="BS189" s="187">
        <f>Tableau5617192223242425262827293031333432353620383961719241822254140424344104746[[#This Row],[Consommé global Enregistré à date (€ HT)]]-IFERROR(VLOOKUP(H189,#REF!,50,FALSE),0)</f>
        <v>0</v>
      </c>
      <c r="BT189" s="188" t="e">
        <f>BR189-BS189</f>
        <v>#REF!</v>
      </c>
      <c r="BU189" s="189">
        <f>BD189-IFERROR(VLOOKUP(H189,#REF!,47,FALSE),0)</f>
        <v>0</v>
      </c>
      <c r="BV189" s="37" t="e">
        <f>+BF189+Tableau5617192223242425262827293031333432353620383961719241822254140424344104746[[#This Row],[CA fin N-1]]-IFERROR(VLOOKUP(H189,#REF!,49,FALSE),0)-IFERROR(VLOOKUP(H189,#REF!,50,FALSE),0)</f>
        <v>#REF!</v>
      </c>
      <c r="BW189" s="33">
        <f>BG189-IFERROR(VLOOKUP(H189,#REF!,51,FALSE),0)</f>
        <v>0</v>
      </c>
      <c r="BX189" s="188" t="e">
        <f>BV189-BW189</f>
        <v>#REF!</v>
      </c>
      <c r="BY189" s="36">
        <f>BD189-IFERROR(VLOOKUP(H189,#REF!,48,FALSE),0)</f>
        <v>0</v>
      </c>
      <c r="BZ189" s="190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89" s="39" t="e">
        <f>VLOOKUP(Tableau5617192223242425262827293031333432353620383961719241822254140424344104746[[#This Row],[Num Projets]],#REF!,1,FALSE)</f>
        <v>#REF!</v>
      </c>
      <c r="CB189" s="40">
        <v>17</v>
      </c>
      <c r="CC189" s="40">
        <v>0</v>
      </c>
      <c r="CD18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-17</v>
      </c>
    </row>
    <row r="190" spans="1:82" s="3" customFormat="1" ht="15.75" customHeight="1" x14ac:dyDescent="0.25">
      <c r="A190" s="320" t="s">
        <v>343</v>
      </c>
      <c r="B190" s="191"/>
      <c r="C190" s="2" t="e">
        <f>_xlfn.XLOOKUP(Tableau5617192223242425262827293031333432353620383961719241822254140424344104746[[#This Row],[Num Projets]],#REF!,#REF!,FALSE)</f>
        <v>#REF!</v>
      </c>
      <c r="D190" s="192" t="s">
        <v>1</v>
      </c>
      <c r="E190" s="3" t="e">
        <f>_xlfn.XLOOKUP(Tableau5617192223242425262827293031333432353620383961719241822254140424344104746[[#This Row],[Num Projets]],#REF!,#REF!,FALSE)</f>
        <v>#REF!</v>
      </c>
      <c r="F190" s="3" t="e">
        <f>_xlfn.XLOOKUP(Tableau5617192223242425262827293031333432353620383961719241822254140424344104746[[#This Row],[Num Projets]],#REF!,#REF!,"newavr",0)</f>
        <v>#REF!</v>
      </c>
      <c r="G190" s="3" t="s">
        <v>2</v>
      </c>
      <c r="H190" s="3" t="s">
        <v>344</v>
      </c>
      <c r="I190" s="4" t="e">
        <f>IF(LEFT(_xlfn.XLOOKUP(Tableau5617192223242425262827293031333432353620383961719241822254140424344104746[[#This Row],[Num Projets]],#REF!,#REF!),1)="Z",_xlfn.XLOOKUP(Tableau5617192223242425262827293031333432353620383961719241822254140424344104746[[#This Row],[Num Projets]],#REF!,#REF!),_xlfn.XLOOKUP(Tableau5617192223242425262827293031333432353620383961719241822254140424344104746[[#This Row],[Num Projets]],#REF!,#REF!))</f>
        <v>#REF!</v>
      </c>
      <c r="J190" s="4" t="e">
        <f>VLOOKUP(Tableau5617192223242425262827293031333432353620383961719241822254140424344104746[[#This Row],[Num Projets]],#REF!,36,FALSE)</f>
        <v>#REF!</v>
      </c>
      <c r="K190" s="5" t="s">
        <v>4</v>
      </c>
      <c r="L19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0" s="3" t="e">
        <f>SUBSTITUTE(_xlfn.XLOOKUP(Tableau5617192223242425262827293031333432353620383961719241822254140424344104746[[#This Row],[Num Projets]],#REF!,#REF!,FALSE)," ","")</f>
        <v>#REF!</v>
      </c>
      <c r="N190" s="7" t="e">
        <f>VLOOKUP(H190,#REF!,7,FALSE)</f>
        <v>#REF!</v>
      </c>
      <c r="O190" s="7" t="e">
        <f>IF(VLOOKUP(H190,#REF!,27,FALSE)=0,"",VLOOKUP(H190,#REF!,27,FALSE))</f>
        <v>#REF!</v>
      </c>
      <c r="P190" s="8" t="e">
        <f>VLOOKUP(H190,#REF!,2,FALSE)</f>
        <v>#REF!</v>
      </c>
      <c r="Q190" s="9" t="e">
        <f>Tableau5617192223242425262827293031333432353620383961719241822254140424344104746[[#This Row],[Total Budget
€]]-IFERROR(VLOOKUP(H190,#REF!,8,FALSE),0)</f>
        <v>#REF!</v>
      </c>
      <c r="R190" s="10">
        <f>AD190+AI190+Tableau5617192223242425262827293031333432353620383961719241822254140424344104746[[#This Row],[Int Commandé OT
€]]+AX190</f>
        <v>0</v>
      </c>
      <c r="S190" s="10">
        <f>AD190+AJ190+Tableau5617192223242425262827293031333432353620383961719241822254140424344104746[[#This Row],[Int Réalisé OT
€]]+AX190</f>
        <v>0</v>
      </c>
      <c r="T190" s="11" t="e">
        <f t="shared" si="38"/>
        <v>#REF!</v>
      </c>
      <c r="U19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0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0" s="12">
        <f>IFERROR(VLOOKUP(H190,#REF!,2,FALSE),0)</f>
        <v>0</v>
      </c>
      <c r="X190" s="13">
        <f>IFERROR(VLOOKUP(H190,#REF!,2,FALSE),0)</f>
        <v>0</v>
      </c>
      <c r="Y190" s="13">
        <f>IFERROR(VLOOKUP(H190,#REF!,3,FALSE),0)</f>
        <v>0</v>
      </c>
      <c r="Z19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72</v>
      </c>
      <c r="AA190" s="13">
        <f>IFERROR(VLOOKUP(H190,#REF!,18,FALSE),0)</f>
        <v>0</v>
      </c>
      <c r="AB190" s="13">
        <f>SUM(X190:Y190)-IFERROR(VLOOKUP(H190,#REF!,16,FALSE),0)-IFERROR(VLOOKUP(H190,#REF!,17,FALSE),0)</f>
        <v>0</v>
      </c>
      <c r="AC190" s="15" t="e">
        <f>VLOOKUP(Tableau5617192223242425262827293031333432353620383961719241822254140424344104746[[#This Row],[Num Projets]],#REF!,2,FALSE)</f>
        <v>#REF!</v>
      </c>
      <c r="AD190" s="15">
        <f>IFERROR(VLOOKUP(Tableau5617192223242425262827293031333432353620383961719241822254140424344104746[[#This Row],[Num Projets]],#REF!,2,FALSE),0)</f>
        <v>0</v>
      </c>
      <c r="AE190" s="8">
        <f t="shared" si="39"/>
        <v>3441.6</v>
      </c>
      <c r="AF190" s="22" t="e">
        <f t="shared" si="40"/>
        <v>#REF!</v>
      </c>
      <c r="AG190" s="8">
        <f>IFERROR(VLOOKUP(H190,#REF!,3,FALSE),0)+IFERROR(VLOOKUP(H190,#REF!,3,FALSE),0)</f>
        <v>0</v>
      </c>
      <c r="AH190" s="8">
        <f>IFERROR(VLOOKUP(Tableau5617192223242425262827293031333432353620383961719241822254140424344104746[[#This Row],[Num Projets]],#REF!,2,FALSE),0)</f>
        <v>0</v>
      </c>
      <c r="AI190" s="17">
        <f>+IFERROR(VLOOKUP(H190,#REF!,2,FALSE),0)-Tableau5617192223242425262827293031333432353620383961719241822254140424344104746[[#This Row],[Int Commandé OT
€]]</f>
        <v>0</v>
      </c>
      <c r="AJ190" s="8">
        <f>IFERROR(VLOOKUP(H190,#REF!,11,FALSE),0)-IFERROR(VLOOKUP(H190,#REF!,10,FALSE),0)+Tableau5617192223242425262827293031333432353620383961719241822254140424344104746[[#This Row],[dont FNP à date (€ HT)]]</f>
        <v>0</v>
      </c>
      <c r="AK190" s="15">
        <f t="shared" si="46"/>
        <v>0</v>
      </c>
      <c r="AL19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0" s="19">
        <f>IF(Tableau5617192223242425262827293031333432353620383961719241822254140424344104746[[#This Row],[RAF Achats M-1
€]]=0,0,AN190-AO190)</f>
        <v>0</v>
      </c>
      <c r="AN190" s="8">
        <f>IFERROR(VLOOKUP(H190,#REF!,31,FALSE),0)</f>
        <v>0</v>
      </c>
      <c r="AO190" s="8">
        <f>AI190+-IFERROR(VLOOKUP(H190,#REF!,27,FALSE),0)</f>
        <v>0</v>
      </c>
      <c r="AP190" s="20">
        <f>IFERROR(VLOOKUP(Tableau5617192223242425262827293031333432353620383961719241822254140424344104746[[#This Row],[Num Projets]],#REF!,2,FALSE),0)</f>
        <v>0</v>
      </c>
      <c r="AQ190" s="20">
        <f>_xlfn.XLOOKUP(H190,[2]Synth!$N:$N,[2]Synth!$O:$O,0,FALSE)+_xlfn.XLOOKUP(Tableau5617192223242425262827293031333432353620383961719241822254140424344104746[[#This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0" s="21">
        <v>0</v>
      </c>
      <c r="AS190" s="20">
        <f>+IFERROR(VLOOKUP(H190,#REF!,36,FALSE),0)</f>
        <v>0</v>
      </c>
      <c r="AT19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0" s="22">
        <f>IF(AG190=0,0,1-((AI190+AM190+Tableau5617192223242425262827293031333432353620383961719241822254140424344104746[[#This Row],[Int Commandé OT
€]]+Tableau5617192223242425262827293031333432353620383961719241822254140424344104746[[#This Row],[RAF Int OT
€]])/AG190))</f>
        <v>0</v>
      </c>
      <c r="AV190" s="8">
        <f>IFERROR(VLOOKUP(H190,#REF!,4,FALSE),0)+IFERROR(VLOOKUP(H190,#REF!,4,FALSE),0)</f>
        <v>0</v>
      </c>
      <c r="AW190" s="194">
        <f>IFERROR(VLOOKUP(Tableau5617192223242425262827293031333432353620383961719241822254140424344104746[[#This Row],[Num Projets]],#REF!,3,FALSE),0)</f>
        <v>0</v>
      </c>
      <c r="AX190" s="95">
        <f>IFERROR(VLOOKUP(Tableau5617192223242425262827293031333432353620383961719241822254140424344104746[[#This Row],[Num Projets]],#REF!,10,FALSE),0)</f>
        <v>0</v>
      </c>
      <c r="AY190" s="23">
        <f>Tableau5617192223242425262827293031333432353620383961719241822254140424344104746[[#This Row],[Budget Mission
 €]]/1.2-AX190</f>
        <v>0</v>
      </c>
      <c r="AZ190" s="8">
        <f>IFERROR(VLOOKUP(H190,#REF!,43,FALSE),0)</f>
        <v>0</v>
      </c>
      <c r="BA190" s="8">
        <f>AX190-IFERROR(VLOOKUP(H190,#REF!,42,FALSE),0)</f>
        <v>0</v>
      </c>
      <c r="BB190" s="47">
        <f t="shared" si="47"/>
        <v>0</v>
      </c>
      <c r="BC190" s="24">
        <f>IFERROR(VLOOKUP(H190,#REF!,47,FALSE),IFERROR(VLOOKUP(H190,#REF!,5,FALSE),0)+IFERROR(VLOOKUP(H190,#REF!,5,FALSE),0))</f>
        <v>0</v>
      </c>
      <c r="BD190" s="25">
        <f>IFERROR(VLOOKUP(H190,#REF!,2,FALSE),0)</f>
        <v>0</v>
      </c>
      <c r="BE190" s="25">
        <f>IFERROR(VLOOKUP(H190,#REF!,49,FALSE),0)</f>
        <v>0</v>
      </c>
      <c r="BF190" s="50" t="e">
        <f t="shared" si="41"/>
        <v>#REF!</v>
      </c>
      <c r="BG190" s="50">
        <f t="shared" si="42"/>
        <v>0</v>
      </c>
      <c r="BH190" s="27">
        <f>AE190+ (AI190-AJ190+AM190+Tableau5617192223242425262827293031333432353620383961719241822254140424344104746[[#This Row],[Int Commandé OT
€]]-Tableau5617192223242425262827293031333432353620383961719241822254140424344104746[[#This Row],[Int Réalisé OT
€]]+AR190) +AY190+BC190</f>
        <v>3441.6</v>
      </c>
      <c r="BI190" s="47">
        <f>IF(BG190+BH190=0,100%,BG190/(BG190+BH190))</f>
        <v>0</v>
      </c>
      <c r="BJ190" s="47" t="e">
        <f t="shared" si="43"/>
        <v>#REF!</v>
      </c>
      <c r="BK190" s="27" t="e">
        <f t="shared" si="44"/>
        <v>#REF!</v>
      </c>
      <c r="BL190" s="26" t="e">
        <f t="shared" si="45"/>
        <v>#REF!</v>
      </c>
      <c r="BM190" s="96">
        <f>IFERROR(VLOOKUP(H190,'[1]2023sep'!H:CA,54,FALSE),105)</f>
        <v>105</v>
      </c>
      <c r="BN190" s="29">
        <v>1</v>
      </c>
      <c r="BO190" s="30" t="e">
        <f>P190-AC190-AG190-AV190-Tableau5617192223242425262827293031333432353620383961719241822254140424344104746[[#This Row],[Provisions pour risques]]</f>
        <v>#REF!</v>
      </c>
      <c r="BP19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3441.6</v>
      </c>
      <c r="BQ19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0" s="97" t="e">
        <f>BF190</f>
        <v>#REF!</v>
      </c>
      <c r="BS190" s="34">
        <f>Tableau5617192223242425262827293031333432353620383961719241822254140424344104746[[#This Row],[Consommé global Enregistré à date (€ HT)]]-IFERROR(VLOOKUP(H190,#REF!,50,FALSE),0)</f>
        <v>0</v>
      </c>
      <c r="BT190" s="35" t="e">
        <f>BR190-BS190</f>
        <v>#REF!</v>
      </c>
      <c r="BU190" s="36">
        <f>BD190-IFERROR(VLOOKUP(H190,#REF!,47,FALSE),0)</f>
        <v>0</v>
      </c>
      <c r="BV190" s="37" t="e">
        <f>+BF190+Tableau5617192223242425262827293031333432353620383961719241822254140424344104746[[#This Row],[CA fin N-1]]-IFERROR(VLOOKUP(H190,#REF!,49,FALSE),0)-IFERROR(VLOOKUP(H190,#REF!,50,FALSE),0)</f>
        <v>#REF!</v>
      </c>
      <c r="BW190" s="33">
        <f>BG190-IFERROR(VLOOKUP(H190,#REF!,51,FALSE),0)</f>
        <v>0</v>
      </c>
      <c r="BX190" s="35" t="e">
        <f>BV190-BW190</f>
        <v>#REF!</v>
      </c>
      <c r="BY190" s="36">
        <f>BD190-IFERROR(VLOOKUP(H190,#REF!,48,FALSE),0)</f>
        <v>0</v>
      </c>
      <c r="BZ19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0" s="39" t="e">
        <f>VLOOKUP(Tableau5617192223242425262827293031333432353620383961719241822254140424344104746[[#This Row],[Num Projets]],#REF!,1,FALSE)</f>
        <v>#REF!</v>
      </c>
      <c r="CB190" s="40">
        <v>60.5</v>
      </c>
      <c r="CC190" s="40">
        <v>11.5</v>
      </c>
      <c r="CD19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-60.5</v>
      </c>
    </row>
    <row r="191" spans="1:82" ht="15.75" customHeight="1" x14ac:dyDescent="0.25">
      <c r="A191" s="321" t="s">
        <v>345</v>
      </c>
      <c r="B191" s="195"/>
      <c r="C191" s="2" t="e">
        <f>_xlfn.XLOOKUP(Tableau5617192223242425262827293031333432353620383961719241822254140424344104746[[#This Row],[Num Projets]],#REF!,#REF!,FALSE)</f>
        <v>#REF!</v>
      </c>
      <c r="D191" s="166" t="s">
        <v>6</v>
      </c>
      <c r="E191" s="196" t="e">
        <f>_xlfn.XLOOKUP(Tableau5617192223242425262827293031333432353620383961719241822254140424344104746[[#This Row],[Num Projets]],#REF!,#REF!,FALSE)</f>
        <v>#REF!</v>
      </c>
      <c r="F191" s="3" t="s">
        <v>70</v>
      </c>
      <c r="G191" s="3" t="s">
        <v>2</v>
      </c>
      <c r="H191" s="197" t="s">
        <v>346</v>
      </c>
      <c r="I191" s="198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1" s="4" t="e">
        <f>VLOOKUP(Tableau5617192223242425262827293031333432353620383961719241822254140424344104746[[#This Row],[Num Projets]],#REF!,36,FALSE)</f>
        <v>#REF!</v>
      </c>
      <c r="K191" s="5" t="s">
        <v>9</v>
      </c>
      <c r="L19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1" s="197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1" s="199" t="e">
        <f>VLOOKUP(H191,#REF!,7,FALSE)</f>
        <v>#REF!</v>
      </c>
      <c r="O191" s="7" t="e">
        <f>IF(VLOOKUP(H191,#REF!,27,FALSE)=0,"",VLOOKUP(H191,#REF!,27,FALSE))</f>
        <v>#REF!</v>
      </c>
      <c r="P191" s="200" t="e">
        <f>VLOOKUP(H191,#REF!,2,FALSE)</f>
        <v>#REF!</v>
      </c>
      <c r="Q191" s="9" t="e">
        <f>Tableau5617192223242425262827293031333432353620383961719241822254140424344104746[[#This Row],[Total Budget
€]]-IFERROR(VLOOKUP(H191,#REF!,8,FALSE),0)</f>
        <v>#REF!</v>
      </c>
      <c r="R191" s="201">
        <f>AD191+AI191+Tableau5617192223242425262827293031333432353620383961719241822254140424344104746[[#This Row],[Int Commandé OT
€]]+AX191</f>
        <v>0</v>
      </c>
      <c r="S191" s="201">
        <f>AD191+AJ191+Tableau5617192223242425262827293031333432353620383961719241822254140424344104746[[#This Row],[Int Réalisé OT
€]]+AX191</f>
        <v>43150.16</v>
      </c>
      <c r="T191" s="202" t="e">
        <f>IF(P191=0,0,1-(((AD191+AI191+AX191+AP191)+(AE191+AM191+AY191+BC191+AR191))/P191))</f>
        <v>#REF!</v>
      </c>
      <c r="U19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1" s="171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1" s="203" t="e">
        <f>Tableau5617192223242425262827293031333432353620383961719241822254140424344104746[[#This Row],[Budget Heures Valorisées
€]]/105</f>
        <v>#REF!</v>
      </c>
      <c r="X191" s="13">
        <f>IFERROR(VLOOKUP(H191,#REF!,2,FALSE),0)</f>
        <v>0</v>
      </c>
      <c r="Y191" s="204">
        <f>IFERROR(VLOOKUP(H191,#REF!,3,FALSE),0)</f>
        <v>0</v>
      </c>
      <c r="Z19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148</v>
      </c>
      <c r="AA191" s="13">
        <f>IFERROR(VLOOKUP(H191,#REF!,18,FALSE),0)</f>
        <v>0</v>
      </c>
      <c r="AB191" s="13">
        <f>SUM(X191:Y191)-IFERROR(VLOOKUP(H191,#REF!,16,FALSE),0)-IFERROR(VLOOKUP(H191,#REF!,17,FALSE),0)</f>
        <v>0</v>
      </c>
      <c r="AC191" s="205" t="e">
        <f>VLOOKUP(Tableau5617192223242425262827293031333432353620383961719241822254140424344104746[[#This Row],[Num Projets]],#REF!,2,FALSE)</f>
        <v>#REF!</v>
      </c>
      <c r="AD191" s="205">
        <f>IFERROR(VLOOKUP(Tableau5617192223242425262827293031333432353620383961719241822254140424344104746[[#This Row],[Num Projets]],#REF!,2,FALSE),0)</f>
        <v>0</v>
      </c>
      <c r="AE191" s="206">
        <f>Z191*47.8</f>
        <v>7074.4</v>
      </c>
      <c r="AF191" s="207" t="e">
        <f>IF(AC191=0,0,1-((AD191+AE191)/AC191))</f>
        <v>#REF!</v>
      </c>
      <c r="AG191" s="206">
        <f>IFERROR(VLOOKUP(H191,#REF!,3,FALSE),0)+IFERROR(VLOOKUP(H191,#REF!,3,FALSE),0)</f>
        <v>0</v>
      </c>
      <c r="AH191" s="206">
        <f>IFERROR(VLOOKUP(Tableau5617192223242425262827293031333432353620383961719241822254140424344104746[[#This Row],[Num Projets]],#REF!,2,FALSE),0)</f>
        <v>0</v>
      </c>
      <c r="AI191" s="208">
        <f>+IFERROR(VLOOKUP(H191,#REF!,2,FALSE),0)-Tableau5617192223242425262827293031333432353620383961719241822254140424344104746[[#This Row],[Int Commandé OT
€]]</f>
        <v>0</v>
      </c>
      <c r="AJ191" s="200">
        <f>IFERROR(VLOOKUP(H191,#REF!,11,FALSE),0)-IFERROR(VLOOKUP(H191,#REF!,10,FALSE),0)+Tableau5617192223242425262827293031333432353620383961719241822254140424344104746[[#This Row],[dont FNP à date (€ HT)]]</f>
        <v>43150.16</v>
      </c>
      <c r="AK191" s="209">
        <f>AI191-AJ191</f>
        <v>-43150.16</v>
      </c>
      <c r="AL19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43150.16</v>
      </c>
      <c r="AM191" s="19">
        <f>IF(Tableau5617192223242425262827293031333432353620383961719241822254140424344104746[[#This Row],[RAF Achats M-1
€]]=0,0,AN191-AO191)</f>
        <v>0</v>
      </c>
      <c r="AN191" s="8">
        <f>IFERROR(VLOOKUP(H191,#REF!,31,FALSE),0)</f>
        <v>0</v>
      </c>
      <c r="AO191" s="8">
        <f>AI191+-IFERROR(VLOOKUP(H191,#REF!,27,FALSE),0)</f>
        <v>0</v>
      </c>
      <c r="AP191" s="210">
        <f>IFERROR(VLOOKUP(Tableau5617192223242425262827293031333432353620383961719241822254140424344104746[[#This Row],[Num Projets]],#REF!,2,FALSE),0)</f>
        <v>0</v>
      </c>
      <c r="AQ191" s="20">
        <f>_xlfn.XLOOKUP(H191,[2]Synth!$N:$N,[2]Synth!$O:$O,0,FALSE)+_xlfn.XLOOKUP(Tableau5617192223242425262827293031333432353620383961719241822254140424344104746[[#This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1" s="211">
        <v>0</v>
      </c>
      <c r="AS191" s="20">
        <f>+IFERROR(VLOOKUP(H191,#REF!,36,FALSE),0)</f>
        <v>0</v>
      </c>
      <c r="AT19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1" s="22">
        <f>IF(AG191=0,0,1-((AI191+AM191+Tableau5617192223242425262827293031333432353620383961719241822254140424344104746[[#This Row],[Int Commandé OT
€]]+Tableau5617192223242425262827293031333432353620383961719241822254140424344104746[[#This Row],[RAF Int OT
€]])/AG191))</f>
        <v>0</v>
      </c>
      <c r="AV191" s="206">
        <f>IFERROR(VLOOKUP(H191,#REF!,4,FALSE),0)+IFERROR(VLOOKUP(H191,#REF!,4,FALSE),0)</f>
        <v>0</v>
      </c>
      <c r="AW191" s="8">
        <f>IFERROR(VLOOKUP(Tableau5617192223242425262827293031333432353620383961719241822254140424344104746[[#This Row],[Num Projets]],#REF!,3,FALSE),0)</f>
        <v>0</v>
      </c>
      <c r="AX191" s="212">
        <f>IFERROR(VLOOKUP(Tableau5617192223242425262827293031333432353620383961719241822254140424344104746[[#This Row],[Num Projets]],#REF!,10,FALSE),0)</f>
        <v>0</v>
      </c>
      <c r="AY191" s="23">
        <v>0</v>
      </c>
      <c r="AZ191" s="8">
        <f>IFERROR(VLOOKUP(H191,#REF!,43,FALSE),0)</f>
        <v>0</v>
      </c>
      <c r="BA191" s="8">
        <f>AX191-IFERROR(VLOOKUP(H191,#REF!,42,FALSE),0)</f>
        <v>0</v>
      </c>
      <c r="BB191" s="213">
        <f>IF(AV191=0,0,(1-((AX191+AY191)/AV191)))</f>
        <v>0</v>
      </c>
      <c r="BC191" s="24">
        <f>IFERROR(VLOOKUP(H191,#REF!,47,FALSE),IFERROR(VLOOKUP(H191,#REF!,5,FALSE),0)+IFERROR(VLOOKUP(H191,#REF!,5,FALSE),0))</f>
        <v>0</v>
      </c>
      <c r="BD191" s="214">
        <f>IFERROR(VLOOKUP(H191,#REF!,2,FALSE),0)</f>
        <v>0</v>
      </c>
      <c r="BE191" s="25">
        <f>IFERROR(VLOOKUP(H191,#REF!,49,FALSE),0)</f>
        <v>0</v>
      </c>
      <c r="BF191" s="215" t="e">
        <f>BI191*P191-BE191</f>
        <v>#REF!</v>
      </c>
      <c r="BG191" s="215">
        <f>S191</f>
        <v>43150.16</v>
      </c>
      <c r="BH191" s="216">
        <f>AE191+ (AI191-AJ191+AM191+Tableau5617192223242425262827293031333432353620383961719241822254140424344104746[[#This Row],[Int Commandé OT
€]]-Tableau5617192223242425262827293031333432353620383961719241822254140424344104746[[#This Row],[Int Réalisé OT
€]]+AR191) +AY191+BC191</f>
        <v>-36075.760000000002</v>
      </c>
      <c r="BI191" s="213">
        <f>IF(BG191+BH191=0,100%,BG191/(BG191+BH191))</f>
        <v>6.0994798145425753</v>
      </c>
      <c r="BJ191" s="213" t="e">
        <f>IF(P191=0, 0, BD191/P191)</f>
        <v>#REF!</v>
      </c>
      <c r="BK191" s="27" t="e">
        <f t="shared" si="44"/>
        <v>#REF!</v>
      </c>
      <c r="BL191" s="26" t="e">
        <f t="shared" si="45"/>
        <v>#REF!</v>
      </c>
      <c r="BM191" s="217">
        <f>IFERROR(VLOOKUP(H191,'[1]2023sep'!H:CA,54,FALSE),105)</f>
        <v>105</v>
      </c>
      <c r="BN191" s="218">
        <v>1</v>
      </c>
      <c r="BO191" s="30" t="e">
        <f>P191-AC191-AG191-AV191-Tableau5617192223242425262827293031333432353620383961719241822254140424344104746[[#This Row],[Provisions pour risques]]</f>
        <v>#REF!</v>
      </c>
      <c r="BP19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7074.4000000000015</v>
      </c>
      <c r="BQ19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6.0994798145425753</v>
      </c>
      <c r="BR191" s="219" t="e">
        <f>BF191</f>
        <v>#REF!</v>
      </c>
      <c r="BS191" s="220">
        <f>Tableau5617192223242425262827293031333432353620383961719241822254140424344104746[[#This Row],[Consommé global Enregistré à date (€ HT)]]-IFERROR(VLOOKUP(H191,#REF!,50,FALSE),0)</f>
        <v>43150.16</v>
      </c>
      <c r="BT191" s="221" t="e">
        <f>BR191-BS191</f>
        <v>#REF!</v>
      </c>
      <c r="BU191" s="222">
        <f>BD191-IFERROR(VLOOKUP(H191,#REF!,47,FALSE),0)</f>
        <v>0</v>
      </c>
      <c r="BV191" s="37" t="e">
        <f>+BF191+Tableau5617192223242425262827293031333432353620383961719241822254140424344104746[[#This Row],[CA fin N-1]]-IFERROR(VLOOKUP(H191,#REF!,49,FALSE),0)-IFERROR(VLOOKUP(H191,#REF!,50,FALSE),0)</f>
        <v>#REF!</v>
      </c>
      <c r="BW191" s="33">
        <f>BG191-IFERROR(VLOOKUP(H191,#REF!,51,FALSE),0)</f>
        <v>43150.16</v>
      </c>
      <c r="BX191" s="221" t="e">
        <f>BV191-BW191</f>
        <v>#REF!</v>
      </c>
      <c r="BY191" s="36">
        <f>BD191-IFERROR(VLOOKUP(H191,#REF!,48,FALSE),0)</f>
        <v>0</v>
      </c>
      <c r="BZ191" s="223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1" s="39" t="e">
        <f>VLOOKUP(Tableau5617192223242425262827293031333432353620383961719241822254140424344104746[[#This Row],[Num Projets]],#REF!,1,FALSE)</f>
        <v>#REF!</v>
      </c>
      <c r="CB191" s="40">
        <v>82</v>
      </c>
      <c r="CC191" s="40">
        <v>66</v>
      </c>
      <c r="CD19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-82</v>
      </c>
    </row>
    <row r="192" spans="1:82" s="3" customFormat="1" ht="15.75" customHeight="1" x14ac:dyDescent="0.25">
      <c r="A192" s="320"/>
      <c r="B192" s="191"/>
      <c r="C192" s="2" t="e">
        <f>_xlfn.XLOOKUP(Tableau5617192223242425262827293031333432353620383961719241822254140424344104746[[#This Row],[Num Projets]],#REF!,#REF!,FALSE)</f>
        <v>#REF!</v>
      </c>
      <c r="D192" s="192" t="s">
        <v>6</v>
      </c>
      <c r="E192" s="3" t="e">
        <f>_xlfn.XLOOKUP(Tableau5617192223242425262827293031333432353620383961719241822254140424344104746[[#This Row],[Num Projets]],#REF!,#REF!,FALSE)</f>
        <v>#REF!</v>
      </c>
      <c r="F192" s="3" t="s">
        <v>52</v>
      </c>
      <c r="G192" s="3" t="s">
        <v>167</v>
      </c>
      <c r="H192" s="3" t="s">
        <v>347</v>
      </c>
      <c r="I192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2" s="4" t="e">
        <f>VLOOKUP(Tableau5617192223242425262827293031333432353620383961719241822254140424344104746[[#This Row],[Num Projets]],#REF!,36,FALSE)</f>
        <v>#REF!</v>
      </c>
      <c r="K192" s="5" t="s">
        <v>9</v>
      </c>
      <c r="L19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2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2" s="7" t="e">
        <f>VLOOKUP(H192,#REF!,7,FALSE)</f>
        <v>#REF!</v>
      </c>
      <c r="O192" s="7">
        <v>45777</v>
      </c>
      <c r="P192" s="8" t="e">
        <f>VLOOKUP(H192,#REF!,2,FALSE)</f>
        <v>#REF!</v>
      </c>
      <c r="Q192" s="9" t="e">
        <f>Tableau5617192223242425262827293031333432353620383961719241822254140424344104746[[#This Row],[Total Budget
€]]-IFERROR(VLOOKUP(H192,#REF!,8,FALSE),0)</f>
        <v>#REF!</v>
      </c>
      <c r="R192" s="10">
        <f>AD192+AI192+Tableau5617192223242425262827293031333432353620383961719241822254140424344104746[[#This Row],[Int Commandé OT
€]]+AX192</f>
        <v>0</v>
      </c>
      <c r="S192" s="10">
        <f>AD192+AJ192+Tableau5617192223242425262827293031333432353620383961719241822254140424344104746[[#This Row],[Int Réalisé OT
€]]+AX192</f>
        <v>0</v>
      </c>
      <c r="T192" s="11" t="e">
        <f>IF(P192=0,0,1-(((AD192+AI192+AX192+AP192)+(AE192+AM192+AY192+BC192+AR192))/P192))</f>
        <v>#REF!</v>
      </c>
      <c r="U19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2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2" s="12" t="e">
        <f>Tableau5617192223242425262827293031333432353620383961719241822254140424344104746[[#This Row],[Budget Heures Valorisées
€]]/105</f>
        <v>#REF!</v>
      </c>
      <c r="X192" s="13">
        <f>IFERROR(VLOOKUP(H192,#REF!,2,FALSE),0)</f>
        <v>0</v>
      </c>
      <c r="Y192" s="13">
        <f>IFERROR(VLOOKUP(H192,#REF!,3,FALSE),0)</f>
        <v>0</v>
      </c>
      <c r="Z19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55</v>
      </c>
      <c r="AA192" s="13">
        <f>IFERROR(VLOOKUP(H192,#REF!,18,FALSE),0)</f>
        <v>0</v>
      </c>
      <c r="AB192" s="13">
        <f>SUM(X192:Y192)-IFERROR(VLOOKUP(H192,#REF!,16,FALSE),0)-IFERROR(VLOOKUP(H192,#REF!,17,FALSE),0)</f>
        <v>0</v>
      </c>
      <c r="AC192" s="15" t="e">
        <f>VLOOKUP(Tableau5617192223242425262827293031333432353620383961719241822254140424344104746[[#This Row],[Num Projets]],#REF!,2,FALSE)</f>
        <v>#REF!</v>
      </c>
      <c r="AD192" s="15">
        <f>IFERROR(VLOOKUP(Tableau5617192223242425262827293031333432353620383961719241822254140424344104746[[#This Row],[Num Projets]],#REF!,2,FALSE),0)</f>
        <v>0</v>
      </c>
      <c r="AE192" s="8">
        <f>Z192*47.8</f>
        <v>2629</v>
      </c>
      <c r="AF192" s="22" t="e">
        <f>IF(AC192=0,0,1-((AD192+AE192)/AC192))</f>
        <v>#REF!</v>
      </c>
      <c r="AG192" s="8">
        <f>IFERROR(VLOOKUP(H192,#REF!,3,FALSE),0)+IFERROR(VLOOKUP(H192,#REF!,3,FALSE),0)</f>
        <v>0</v>
      </c>
      <c r="AH192" s="8">
        <f>IFERROR(VLOOKUP(Tableau5617192223242425262827293031333432353620383961719241822254140424344104746[[#This Row],[Num Projets]],#REF!,2,FALSE),0)</f>
        <v>0</v>
      </c>
      <c r="AI192" s="17">
        <f>+IFERROR(VLOOKUP(H192,#REF!,2,FALSE),0)-Tableau5617192223242425262827293031333432353620383961719241822254140424344104746[[#This Row],[Int Commandé OT
€]]</f>
        <v>0</v>
      </c>
      <c r="AJ192" s="8">
        <f>IFERROR(VLOOKUP(H192,#REF!,11,FALSE),0)-IFERROR(VLOOKUP(H192,#REF!,10,FALSE),0)+Tableau5617192223242425262827293031333432353620383961719241822254140424344104746[[#This Row],[dont FNP à date (€ HT)]]</f>
        <v>0</v>
      </c>
      <c r="AK192" s="15">
        <f>AI192-AJ192</f>
        <v>0</v>
      </c>
      <c r="AL19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2" s="19">
        <f>IF(Tableau5617192223242425262827293031333432353620383961719241822254140424344104746[[#This Row],[RAF Achats M-1
€]]=0,0,AN192-AO192)</f>
        <v>0</v>
      </c>
      <c r="AN192" s="8">
        <f>IFERROR(VLOOKUP(H192,#REF!,31,FALSE),0)</f>
        <v>0</v>
      </c>
      <c r="AO192" s="8">
        <f>AI192+-IFERROR(VLOOKUP(H192,#REF!,27,FALSE),0)</f>
        <v>0</v>
      </c>
      <c r="AP192" s="20">
        <f>IFERROR(VLOOKUP(Tableau5617192223242425262827293031333432353620383961719241822254140424344104746[[#This Row],[Num Projets]],#REF!,2,FALSE),0)</f>
        <v>0</v>
      </c>
      <c r="AQ192" s="20">
        <f>_xlfn.XLOOKUP(H192,[2]Synth!$N:$N,[2]Synth!$O:$O,0,FALSE)+_xlfn.XLOOKUP(Tableau5617192223242425262827293031333432353620383961719241822254140424344104746[[#This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2" s="21">
        <v>0</v>
      </c>
      <c r="AS192" s="20">
        <f>+IFERROR(VLOOKUP(H192,#REF!,36,FALSE),0)</f>
        <v>0</v>
      </c>
      <c r="AT19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2" s="22">
        <f>IF(AG192=0,0,1-((AI192+AM192+Tableau5617192223242425262827293031333432353620383961719241822254140424344104746[[#This Row],[Int Commandé OT
€]]+Tableau5617192223242425262827293031333432353620383961719241822254140424344104746[[#This Row],[RAF Int OT
€]])/AG192))</f>
        <v>0</v>
      </c>
      <c r="AV192" s="8">
        <f>IFERROR(VLOOKUP(H192,#REF!,4,FALSE),0)+IFERROR(VLOOKUP(H192,#REF!,4,FALSE),0)</f>
        <v>0</v>
      </c>
      <c r="AW192" s="194">
        <f>IFERROR(VLOOKUP(Tableau5617192223242425262827293031333432353620383961719241822254140424344104746[[#This Row],[Num Projets]],#REF!,3,FALSE),0)</f>
        <v>0</v>
      </c>
      <c r="AX192" s="95">
        <f>IFERROR(VLOOKUP(Tableau5617192223242425262827293031333432353620383961719241822254140424344104746[[#This Row],[Num Projets]],#REF!,10,FALSE),0)</f>
        <v>0</v>
      </c>
      <c r="AY192" s="23">
        <f>Tableau5617192223242425262827293031333432353620383961719241822254140424344104746[[#This Row],[Budget Mission
 €]]/1.2-AX192</f>
        <v>0</v>
      </c>
      <c r="AZ192" s="8">
        <f>IFERROR(VLOOKUP(H192,#REF!,43,FALSE),0)</f>
        <v>0</v>
      </c>
      <c r="BA192" s="8">
        <f>AX192-IFERROR(VLOOKUP(H192,#REF!,42,FALSE),0)</f>
        <v>0</v>
      </c>
      <c r="BB192" s="47">
        <f>IF(AV192=0,0,(1-((AX192+AY192)/AV192)))</f>
        <v>0</v>
      </c>
      <c r="BC192" s="24">
        <f>IFERROR(VLOOKUP(H192,#REF!,47,FALSE),IFERROR(VLOOKUP(H192,#REF!,5,FALSE),0)+IFERROR(VLOOKUP(H192,#REF!,5,FALSE),0))</f>
        <v>0</v>
      </c>
      <c r="BD192" s="25">
        <f>IFERROR(VLOOKUP(H192,#REF!,2,FALSE),0)</f>
        <v>0</v>
      </c>
      <c r="BE192" s="25">
        <f>IFERROR(VLOOKUP(H192,#REF!,49,FALSE),0)</f>
        <v>0</v>
      </c>
      <c r="BF192" s="50" t="e">
        <f>BI192*P192-BE192</f>
        <v>#REF!</v>
      </c>
      <c r="BG192" s="50">
        <f>S192</f>
        <v>0</v>
      </c>
      <c r="BH192" s="27">
        <f>AE192+ (AI192-AJ192+AM192+Tableau5617192223242425262827293031333432353620383961719241822254140424344104746[[#This Row],[Int Commandé OT
€]]-Tableau5617192223242425262827293031333432353620383961719241822254140424344104746[[#This Row],[Int Réalisé OT
€]]+AR192) +AY192+BC192</f>
        <v>2629</v>
      </c>
      <c r="BI192" s="47">
        <f>IF(BG192+BH192=0,100%,BG192/(BG192+BH192))</f>
        <v>0</v>
      </c>
      <c r="BJ192" s="47" t="e">
        <f>IF(P192=0, 0, BD192/P192)</f>
        <v>#REF!</v>
      </c>
      <c r="BK192" s="27" t="e">
        <f t="shared" si="44"/>
        <v>#REF!</v>
      </c>
      <c r="BL192" s="26" t="e">
        <f t="shared" si="45"/>
        <v>#REF!</v>
      </c>
      <c r="BM192" s="96">
        <f>IFERROR(VLOOKUP(H192,'[1]2023sep'!H:CA,54,FALSE),105)</f>
        <v>105</v>
      </c>
      <c r="BN192" s="29">
        <v>1</v>
      </c>
      <c r="BO192" s="30" t="e">
        <f>P192-AC192-AG192-AV192-Tableau5617192223242425262827293031333432353620383961719241822254140424344104746[[#This Row],[Provisions pour risques]]</f>
        <v>#REF!</v>
      </c>
      <c r="BP19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2629</v>
      </c>
      <c r="BQ19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2" s="97" t="e">
        <f>BF192</f>
        <v>#REF!</v>
      </c>
      <c r="BS192" s="34">
        <f>Tableau5617192223242425262827293031333432353620383961719241822254140424344104746[[#This Row],[Consommé global Enregistré à date (€ HT)]]-IFERROR(VLOOKUP(H192,#REF!,50,FALSE),0)</f>
        <v>0</v>
      </c>
      <c r="BT192" s="35" t="e">
        <f>BR192-BS192</f>
        <v>#REF!</v>
      </c>
      <c r="BU192" s="36">
        <f>BD192-IFERROR(VLOOKUP(H192,#REF!,47,FALSE),0)</f>
        <v>0</v>
      </c>
      <c r="BV192" s="37" t="e">
        <f>+BF192+Tableau5617192223242425262827293031333432353620383961719241822254140424344104746[[#This Row],[CA fin N-1]]-IFERROR(VLOOKUP(H192,#REF!,49,FALSE),0)-IFERROR(VLOOKUP(H192,#REF!,50,FALSE),0)</f>
        <v>#REF!</v>
      </c>
      <c r="BW192" s="33">
        <f>BG192-IFERROR(VLOOKUP(H192,#REF!,51,FALSE),0)</f>
        <v>0</v>
      </c>
      <c r="BX192" s="35" t="e">
        <f>BV192-BW192</f>
        <v>#REF!</v>
      </c>
      <c r="BY192" s="36">
        <f>BD192-IFERROR(VLOOKUP(H192,#REF!,48,FALSE),0)</f>
        <v>0</v>
      </c>
      <c r="BZ19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2" s="39" t="e">
        <f>VLOOKUP(Tableau5617192223242425262827293031333432353620383961719241822254140424344104746[[#This Row],[Num Projets]],#REF!,1,FALSE)</f>
        <v>#REF!</v>
      </c>
      <c r="CB192" s="40">
        <v>55</v>
      </c>
      <c r="CC192" s="40">
        <v>0</v>
      </c>
      <c r="CD19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-55</v>
      </c>
    </row>
    <row r="193" spans="1:82" x14ac:dyDescent="0.25">
      <c r="A193" s="313"/>
      <c r="B193" s="1"/>
      <c r="C193" s="2" t="e">
        <f>_xlfn.XLOOKUP(Tableau5617192223242425262827293031333432353620383961719241822254140424344104746[[#This Row],[Num Projets]],#REF!,#REF!,FALSE)</f>
        <v>#REF!</v>
      </c>
      <c r="D193" s="192" t="s">
        <v>6</v>
      </c>
      <c r="E193" s="3" t="e">
        <f>_xlfn.XLOOKUP(Tableau5617192223242425262827293031333432353620383961719241822254140424344104746[[#This Row],[Num Projets]],#REF!,#REF!,FALSE)</f>
        <v>#REF!</v>
      </c>
      <c r="F193" s="3" t="s">
        <v>52</v>
      </c>
      <c r="G193" s="3"/>
      <c r="H193" s="3" t="s">
        <v>348</v>
      </c>
      <c r="I193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3" s="4" t="e">
        <f>VLOOKUP(Tableau5617192223242425262827293031333432353620383961719241822254140424344104746[[#This Row],[Num Projets]],#REF!,36,FALSE)</f>
        <v>#REF!</v>
      </c>
      <c r="K193" s="5" t="s">
        <v>9</v>
      </c>
      <c r="L19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3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3" s="7" t="e">
        <f>VLOOKUP(H193,#REF!,7,FALSE)</f>
        <v>#REF!</v>
      </c>
      <c r="O193" s="7">
        <v>45777</v>
      </c>
      <c r="P193" s="8" t="e">
        <f>VLOOKUP(H193,#REF!,2,FALSE)</f>
        <v>#REF!</v>
      </c>
      <c r="Q193" s="9" t="e">
        <f>Tableau5617192223242425262827293031333432353620383961719241822254140424344104746[[#This Row],[Total Budget
€]]-IFERROR(VLOOKUP(H193,#REF!,8,FALSE),0)</f>
        <v>#REF!</v>
      </c>
      <c r="R193" s="10">
        <f>AD193+AI193+Tableau5617192223242425262827293031333432353620383961719241822254140424344104746[[#This Row],[Int Commandé OT
€]]+AX193</f>
        <v>0</v>
      </c>
      <c r="S193" s="10">
        <f>AD193+AJ193+Tableau5617192223242425262827293031333432353620383961719241822254140424344104746[[#This Row],[Int Réalisé OT
€]]+AX193</f>
        <v>0</v>
      </c>
      <c r="T193" s="11" t="e">
        <f t="shared" ref="T193:T209" si="56">IF(P193=0,0,1-(((AD193+AI193+AX193+AP193)+(AE193+AM193+AY193+BC193+AR193))/P193))</f>
        <v>#REF!</v>
      </c>
      <c r="U19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3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3" s="12" t="e">
        <f>Tableau5617192223242425262827293031333432353620383961719241822254140424344104746[[#This Row],[Budget Heures Valorisées
€]]/105</f>
        <v>#REF!</v>
      </c>
      <c r="X193" s="13">
        <f>IFERROR(VLOOKUP(H193,#REF!,2,FALSE),0)</f>
        <v>0</v>
      </c>
      <c r="Y193" s="13">
        <f>IFERROR(VLOOKUP(H193,#REF!,3,FALSE),0)</f>
        <v>0</v>
      </c>
      <c r="Z19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13.5</v>
      </c>
      <c r="AA193" s="13">
        <f>IFERROR(VLOOKUP(H193,#REF!,18,FALSE),0)</f>
        <v>0</v>
      </c>
      <c r="AB193" s="13">
        <f>SUM(X193:Y193)-IFERROR(VLOOKUP(H193,#REF!,16,FALSE),0)-IFERROR(VLOOKUP(H193,#REF!,17,FALSE),0)</f>
        <v>0</v>
      </c>
      <c r="AC193" s="15" t="e">
        <f>VLOOKUP(Tableau5617192223242425262827293031333432353620383961719241822254140424344104746[[#This Row],[Num Projets]],#REF!,2,FALSE)</f>
        <v>#REF!</v>
      </c>
      <c r="AD193" s="15">
        <f>IFERROR(VLOOKUP(Tableau5617192223242425262827293031333432353620383961719241822254140424344104746[[#This Row],[Num Projets]],#REF!,2,FALSE),0)</f>
        <v>0</v>
      </c>
      <c r="AE193" s="8">
        <f t="shared" ref="AE193:AE209" si="57">Z193*47.8</f>
        <v>645.29999999999995</v>
      </c>
      <c r="AF193" s="22" t="e">
        <f t="shared" ref="AF193:AF209" si="58">IF(AC193=0,0,1-((AD193+AE193)/AC193))</f>
        <v>#REF!</v>
      </c>
      <c r="AG193" s="8">
        <f>IFERROR(VLOOKUP(H193,#REF!,3,FALSE),0)+IFERROR(VLOOKUP(H193,#REF!,3,FALSE),0)</f>
        <v>0</v>
      </c>
      <c r="AH193" s="8">
        <f>IFERROR(VLOOKUP(Tableau5617192223242425262827293031333432353620383961719241822254140424344104746[[#This Row],[Num Projets]],#REF!,2,FALSE),0)</f>
        <v>0</v>
      </c>
      <c r="AI193" s="17">
        <f>+IFERROR(VLOOKUP(H193,#REF!,2,FALSE),0)-Tableau5617192223242425262827293031333432353620383961719241822254140424344104746[[#This Row],[Int Commandé OT
€]]</f>
        <v>0</v>
      </c>
      <c r="AJ193" s="8">
        <f>IFERROR(VLOOKUP(H193,#REF!,11,FALSE),0)-IFERROR(VLOOKUP(H193,#REF!,10,FALSE),0)+Tableau5617192223242425262827293031333432353620383961719241822254140424344104746[[#This Row],[dont FNP à date (€ HT)]]</f>
        <v>0</v>
      </c>
      <c r="AK193" s="15">
        <f t="shared" ref="AK193:AK209" si="59">AI193-AJ193</f>
        <v>0</v>
      </c>
      <c r="AL19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3" s="19">
        <f>IF(Tableau5617192223242425262827293031333432353620383961719241822254140424344104746[[#This Row],[RAF Achats M-1
€]]=0,0,AN193-AO193)</f>
        <v>0</v>
      </c>
      <c r="AN193" s="8">
        <f>IFERROR(VLOOKUP(H193,#REF!,31,FALSE),0)</f>
        <v>0</v>
      </c>
      <c r="AO193" s="8">
        <f>AI193+-IFERROR(VLOOKUP(H193,#REF!,27,FALSE),0)</f>
        <v>0</v>
      </c>
      <c r="AP193" s="20">
        <f>IFERROR(VLOOKUP(Tableau5617192223242425262827293031333432353620383961719241822254140424344104746[[#This Row],[Num Projets]],#REF!,2,FALSE),0)</f>
        <v>0</v>
      </c>
      <c r="AQ193" s="20">
        <f>_xlfn.XLOOKUP(H193,[2]Synth!$N:$N,[2]Synth!$O:$O,0,FALSE)+_xlfn.XLOOKUP(Tableau5617192223242425262827293031333432353620383961719241822254140424344104746[[#This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3" s="21">
        <v>0</v>
      </c>
      <c r="AS193" s="20">
        <f>+IFERROR(VLOOKUP(H193,#REF!,36,FALSE),0)</f>
        <v>0</v>
      </c>
      <c r="AT19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3" s="22">
        <f>IF(AG193=0,0,1-((AI193+AM193+Tableau5617192223242425262827293031333432353620383961719241822254140424344104746[[#This Row],[Int Commandé OT
€]]+Tableau5617192223242425262827293031333432353620383961719241822254140424344104746[[#This Row],[RAF Int OT
€]])/AG193))</f>
        <v>0</v>
      </c>
      <c r="AV193" s="8">
        <f>IFERROR(VLOOKUP(H193,#REF!,4,FALSE),0)+IFERROR(VLOOKUP(H193,#REF!,4,FALSE),0)</f>
        <v>0</v>
      </c>
      <c r="AW193" s="194">
        <f>IFERROR(VLOOKUP(Tableau5617192223242425262827293031333432353620383961719241822254140424344104746[[#This Row],[Num Projets]],#REF!,3,FALSE),0)</f>
        <v>0</v>
      </c>
      <c r="AX193" s="95">
        <f>IFERROR(VLOOKUP(Tableau5617192223242425262827293031333432353620383961719241822254140424344104746[[#This Row],[Num Projets]],#REF!,10,FALSE),0)</f>
        <v>0</v>
      </c>
      <c r="AY193" s="23">
        <f>Tableau5617192223242425262827293031333432353620383961719241822254140424344104746[[#This Row],[Budget Mission
 €]]/1.2-AX193</f>
        <v>0</v>
      </c>
      <c r="AZ193" s="8">
        <f>IFERROR(VLOOKUP(H193,#REF!,43,FALSE),0)</f>
        <v>0</v>
      </c>
      <c r="BA193" s="8">
        <f>AX193-IFERROR(VLOOKUP(H193,#REF!,42,FALSE),0)</f>
        <v>0</v>
      </c>
      <c r="BB193" s="47">
        <f t="shared" ref="BB193:BB209" si="60">IF(AV193=0,0,(1-((AX193+AY193)/AV193)))</f>
        <v>0</v>
      </c>
      <c r="BC193" s="24">
        <f>IFERROR(VLOOKUP(H193,#REF!,47,FALSE),IFERROR(VLOOKUP(H193,#REF!,5,FALSE),0)+IFERROR(VLOOKUP(H193,#REF!,5,FALSE),0))</f>
        <v>0</v>
      </c>
      <c r="BD193" s="25">
        <f>IFERROR(VLOOKUP(H193,#REF!,2,FALSE),0)</f>
        <v>0</v>
      </c>
      <c r="BE193" s="25">
        <f>IFERROR(VLOOKUP(H193,#REF!,49,FALSE),0)</f>
        <v>0</v>
      </c>
      <c r="BF193" s="50" t="e">
        <f t="shared" ref="BF193:BF209" si="61">BI193*P193-BE193</f>
        <v>#REF!</v>
      </c>
      <c r="BG193" s="50">
        <f t="shared" ref="BG193:BG209" si="62">S193</f>
        <v>0</v>
      </c>
      <c r="BH193" s="27">
        <f>AE193+ (AI193-AJ193+AM193+Tableau5617192223242425262827293031333432353620383961719241822254140424344104746[[#This Row],[Int Commandé OT
€]]-Tableau5617192223242425262827293031333432353620383961719241822254140424344104746[[#This Row],[Int Réalisé OT
€]]+AR193) +AY193+BC193</f>
        <v>645.29999999999995</v>
      </c>
      <c r="BI193" s="47">
        <f t="shared" ref="BI193:BI209" si="63">IF(BG193+BH193=0,100%,BG193/(BG193+BH193))</f>
        <v>0</v>
      </c>
      <c r="BJ193" s="47" t="e">
        <f t="shared" ref="BJ193:BJ209" si="64">IF(P193=0, 0, BD193/P193)</f>
        <v>#REF!</v>
      </c>
      <c r="BK193" s="27" t="e">
        <f t="shared" si="44"/>
        <v>#REF!</v>
      </c>
      <c r="BL193" s="26" t="e">
        <f t="shared" si="45"/>
        <v>#REF!</v>
      </c>
      <c r="BM193" s="96">
        <f>IFERROR(VLOOKUP(H193,'[1]2023sep'!H:CA,54,FALSE),105)</f>
        <v>105</v>
      </c>
      <c r="BN193" s="29">
        <v>1</v>
      </c>
      <c r="BO193" s="30" t="e">
        <f>P193-AC193-AG193-AV193-Tableau5617192223242425262827293031333432353620383961719241822254140424344104746[[#This Row],[Provisions pour risques]]</f>
        <v>#REF!</v>
      </c>
      <c r="BP19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645.29999999999995</v>
      </c>
      <c r="BQ19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3" s="97" t="e">
        <f t="shared" ref="BR193:BR209" si="65">BF193</f>
        <v>#REF!</v>
      </c>
      <c r="BS193" s="34">
        <f>Tableau5617192223242425262827293031333432353620383961719241822254140424344104746[[#This Row],[Consommé global Enregistré à date (€ HT)]]-IFERROR(VLOOKUP(H193,#REF!,50,FALSE),0)</f>
        <v>0</v>
      </c>
      <c r="BT193" s="35" t="e">
        <f t="shared" ref="BT193:BT209" si="66">BR193-BS193</f>
        <v>#REF!</v>
      </c>
      <c r="BU193" s="36">
        <f>BD193-IFERROR(VLOOKUP(H193,#REF!,47,FALSE),0)</f>
        <v>0</v>
      </c>
      <c r="BV193" s="37" t="e">
        <f>+BF193+Tableau5617192223242425262827293031333432353620383961719241822254140424344104746[[#This Row],[CA fin N-1]]-IFERROR(VLOOKUP(H193,#REF!,49,FALSE),0)-IFERROR(VLOOKUP(H193,#REF!,50,FALSE),0)</f>
        <v>#REF!</v>
      </c>
      <c r="BW193" s="33">
        <f>BG193-IFERROR(VLOOKUP(H193,#REF!,51,FALSE),0)</f>
        <v>0</v>
      </c>
      <c r="BX193" s="35" t="e">
        <f t="shared" ref="BX193:BX209" si="67">BV193-BW193</f>
        <v>#REF!</v>
      </c>
      <c r="BY193" s="36">
        <f>BD193-IFERROR(VLOOKUP(H193,#REF!,48,FALSE),0)</f>
        <v>0</v>
      </c>
      <c r="BZ19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3" s="39" t="e">
        <f>VLOOKUP(Tableau5617192223242425262827293031333432353620383961719241822254140424344104746[[#This Row],[Num Projets]],#REF!,1,FALSE)</f>
        <v>#REF!</v>
      </c>
      <c r="CB193" s="40">
        <v>13.5</v>
      </c>
      <c r="CC193" s="40">
        <v>0</v>
      </c>
      <c r="CD19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-13.5</v>
      </c>
    </row>
    <row r="194" spans="1:82" x14ac:dyDescent="0.25">
      <c r="A194" s="311"/>
      <c r="B194" s="1"/>
      <c r="C194" s="2" t="e">
        <f>_xlfn.XLOOKUP(Tableau5617192223242425262827293031333432353620383961719241822254140424344104746[[#This Row],[Num Projets]],#REF!,#REF!,FALSE)</f>
        <v>#REF!</v>
      </c>
      <c r="D194" s="3" t="s">
        <v>1</v>
      </c>
      <c r="E194" s="3" t="e">
        <f>_xlfn.XLOOKUP(Tableau5617192223242425262827293031333432353620383961719241822254140424344104746[[#This Row],[Num Projets]],#REF!,#REF!,FALSE)</f>
        <v>#REF!</v>
      </c>
      <c r="F194" s="3" t="s">
        <v>70</v>
      </c>
      <c r="G194" s="3" t="s">
        <v>2</v>
      </c>
      <c r="H194" s="3" t="s">
        <v>349</v>
      </c>
      <c r="I194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4" s="4" t="e">
        <f>VLOOKUP(Tableau5617192223242425262827293031333432353620383961719241822254140424344104746[[#This Row],[Num Projets]],#REF!,36,FALSE)</f>
        <v>#REF!</v>
      </c>
      <c r="K194" s="5" t="s">
        <v>4</v>
      </c>
      <c r="L19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4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4" s="7" t="e">
        <f>VLOOKUP(H194,#REF!,7,FALSE)</f>
        <v>#REF!</v>
      </c>
      <c r="O194" s="7" t="e">
        <f>IF(VLOOKUP(H194,#REF!,27,FALSE)=0,"",VLOOKUP(H194,#REF!,27,FALSE))</f>
        <v>#REF!</v>
      </c>
      <c r="P194" s="8" t="e">
        <f>VLOOKUP(H194,#REF!,2,FALSE)</f>
        <v>#REF!</v>
      </c>
      <c r="Q194" s="9" t="e">
        <f>Tableau5617192223242425262827293031333432353620383961719241822254140424344104746[[#This Row],[Total Budget
€]]-IFERROR(VLOOKUP(H194,#REF!,8,FALSE),0)</f>
        <v>#REF!</v>
      </c>
      <c r="R194" s="10">
        <f>AD194+AI194+Tableau5617192223242425262827293031333432353620383961719241822254140424344104746[[#This Row],[Int Commandé OT
€]]+AX194</f>
        <v>0</v>
      </c>
      <c r="S194" s="10">
        <f>AD194+AJ194+Tableau5617192223242425262827293031333432353620383961719241822254140424344104746[[#This Row],[Int Réalisé OT
€]]+AX194</f>
        <v>0</v>
      </c>
      <c r="T194" s="11" t="e">
        <f t="shared" si="56"/>
        <v>#REF!</v>
      </c>
      <c r="U19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4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4" s="12" t="e">
        <f>Tableau5617192223242425262827293031333432353620383961719241822254140424344104746[[#This Row],[Budget Heures Valorisées
€]]/105</f>
        <v>#REF!</v>
      </c>
      <c r="X194" s="13">
        <f>IFERROR(VLOOKUP(H194,#REF!,2,FALSE),0)</f>
        <v>0</v>
      </c>
      <c r="Y194" s="13">
        <f>IFERROR(VLOOKUP(H194,#REF!,3,FALSE),0)</f>
        <v>0</v>
      </c>
      <c r="Z19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31</v>
      </c>
      <c r="AA194" s="13">
        <f>IFERROR(VLOOKUP(H194,#REF!,18,FALSE),0)</f>
        <v>0</v>
      </c>
      <c r="AB194" s="13">
        <f>SUM(X194:Y194)-IFERROR(VLOOKUP(H194,#REF!,16,FALSE),0)-IFERROR(VLOOKUP(H194,#REF!,17,FALSE),0)</f>
        <v>0</v>
      </c>
      <c r="AC194" s="15" t="e">
        <f>VLOOKUP(Tableau5617192223242425262827293031333432353620383961719241822254140424344104746[[#This Row],[Num Projets]],#REF!,2,FALSE)</f>
        <v>#REF!</v>
      </c>
      <c r="AD194" s="15">
        <f>IFERROR(VLOOKUP(Tableau5617192223242425262827293031333432353620383961719241822254140424344104746[[#This Row],[Num Projets]],#REF!,2,FALSE),0)</f>
        <v>0</v>
      </c>
      <c r="AE194" s="8">
        <f t="shared" si="57"/>
        <v>1481.8</v>
      </c>
      <c r="AF194" s="22" t="e">
        <f t="shared" si="58"/>
        <v>#REF!</v>
      </c>
      <c r="AG194" s="8">
        <f>IFERROR(VLOOKUP(H194,#REF!,3,FALSE),0)+IFERROR(VLOOKUP(H194,#REF!,3,FALSE),0)</f>
        <v>0</v>
      </c>
      <c r="AH194" s="8">
        <f>IFERROR(VLOOKUP(Tableau5617192223242425262827293031333432353620383961719241822254140424344104746[[#This Row],[Num Projets]],#REF!,2,FALSE),0)</f>
        <v>0</v>
      </c>
      <c r="AI194" s="17">
        <f>+IFERROR(VLOOKUP(H194,#REF!,2,FALSE),0)-Tableau5617192223242425262827293031333432353620383961719241822254140424344104746[[#This Row],[Int Commandé OT
€]]</f>
        <v>0</v>
      </c>
      <c r="AJ194" s="8">
        <f>IFERROR(VLOOKUP(H194,#REF!,11,FALSE),0)-IFERROR(VLOOKUP(H194,#REF!,10,FALSE),0)+Tableau5617192223242425262827293031333432353620383961719241822254140424344104746[[#This Row],[dont FNP à date (€ HT)]]</f>
        <v>0</v>
      </c>
      <c r="AK194" s="15">
        <f t="shared" si="59"/>
        <v>0</v>
      </c>
      <c r="AL19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4" s="19">
        <f>IF(Tableau5617192223242425262827293031333432353620383961719241822254140424344104746[[#This Row],[RAF Achats M-1
€]]=0,0,AN194-AO194)</f>
        <v>0</v>
      </c>
      <c r="AN194" s="8">
        <f>IFERROR(VLOOKUP(H194,#REF!,31,FALSE),0)</f>
        <v>0</v>
      </c>
      <c r="AO194" s="8">
        <f>AI194+-IFERROR(VLOOKUP(H194,#REF!,27,FALSE),0)</f>
        <v>0</v>
      </c>
      <c r="AP194" s="20">
        <f>IFERROR(VLOOKUP(Tableau5617192223242425262827293031333432353620383961719241822254140424344104746[[#This Row],[Num Projets]],#REF!,2,FALSE),0)</f>
        <v>0</v>
      </c>
      <c r="AQ194" s="20">
        <f>_xlfn.XLOOKUP(H194,[2]Synth!$N:$N,[2]Synth!$O:$O,0,FALSE)+_xlfn.XLOOKUP(Tableau5617192223242425262827293031333432353620383961719241822254140424344104746[[#This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4" s="21">
        <v>0</v>
      </c>
      <c r="AS194" s="20">
        <f>+IFERROR(VLOOKUP(H194,#REF!,36,FALSE),0)</f>
        <v>0</v>
      </c>
      <c r="AT19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4" s="22">
        <f>IF(AG194=0,0,1-((AI194+AM194+Tableau5617192223242425262827293031333432353620383961719241822254140424344104746[[#This Row],[Int Commandé OT
€]]+Tableau5617192223242425262827293031333432353620383961719241822254140424344104746[[#This Row],[RAF Int OT
€]])/AG194))</f>
        <v>0</v>
      </c>
      <c r="AV194" s="8">
        <f>IFERROR(VLOOKUP(H194,#REF!,4,FALSE),0)+IFERROR(VLOOKUP(H194,#REF!,4,FALSE),0)</f>
        <v>0</v>
      </c>
      <c r="AW194" s="194">
        <f>IFERROR(VLOOKUP(Tableau5617192223242425262827293031333432353620383961719241822254140424344104746[[#This Row],[Num Projets]],#REF!,3,FALSE),0)</f>
        <v>0</v>
      </c>
      <c r="AX194" s="95">
        <f>IFERROR(VLOOKUP(Tableau5617192223242425262827293031333432353620383961719241822254140424344104746[[#This Row],[Num Projets]],#REF!,10,FALSE),0)</f>
        <v>0</v>
      </c>
      <c r="AY194" s="23">
        <f>Tableau5617192223242425262827293031333432353620383961719241822254140424344104746[[#This Row],[Budget Mission
 €]]/1.2-AX194</f>
        <v>0</v>
      </c>
      <c r="AZ194" s="8">
        <f>IFERROR(VLOOKUP(H194,#REF!,43,FALSE),0)</f>
        <v>0</v>
      </c>
      <c r="BA194" s="8">
        <f>AX194-IFERROR(VLOOKUP(H194,#REF!,42,FALSE),0)</f>
        <v>0</v>
      </c>
      <c r="BB194" s="47">
        <f t="shared" si="60"/>
        <v>0</v>
      </c>
      <c r="BC194" s="24">
        <f>IFERROR(VLOOKUP(H194,#REF!,47,FALSE),IFERROR(VLOOKUP(H194,#REF!,5,FALSE),0)+IFERROR(VLOOKUP(H194,#REF!,5,FALSE),0))</f>
        <v>0</v>
      </c>
      <c r="BD194" s="25">
        <f>IFERROR(VLOOKUP(H194,#REF!,2,FALSE),0)</f>
        <v>0</v>
      </c>
      <c r="BE194" s="25">
        <f>IFERROR(VLOOKUP(H194,#REF!,49,FALSE),0)</f>
        <v>0</v>
      </c>
      <c r="BF194" s="50" t="e">
        <f t="shared" si="61"/>
        <v>#REF!</v>
      </c>
      <c r="BG194" s="50">
        <f t="shared" si="62"/>
        <v>0</v>
      </c>
      <c r="BH194" s="27">
        <f>AE194+ (AI194-AJ194+AM194+Tableau5617192223242425262827293031333432353620383961719241822254140424344104746[[#This Row],[Int Commandé OT
€]]-Tableau5617192223242425262827293031333432353620383961719241822254140424344104746[[#This Row],[Int Réalisé OT
€]]+AR194) +AY194+BC194</f>
        <v>1481.8</v>
      </c>
      <c r="BI194" s="47">
        <f t="shared" si="63"/>
        <v>0</v>
      </c>
      <c r="BJ194" s="47" t="e">
        <f t="shared" si="64"/>
        <v>#REF!</v>
      </c>
      <c r="BK194" s="27" t="e">
        <f t="shared" si="44"/>
        <v>#REF!</v>
      </c>
      <c r="BL194" s="26" t="e">
        <f t="shared" si="45"/>
        <v>#REF!</v>
      </c>
      <c r="BM194" s="96">
        <f>IFERROR(VLOOKUP(H194,'[1]2023sep'!H:CA,54,FALSE),105)</f>
        <v>105</v>
      </c>
      <c r="BN194" s="29">
        <v>1</v>
      </c>
      <c r="BO194" s="30" t="e">
        <f>P194-AC194-AG194-AV194-Tableau5617192223242425262827293031333432353620383961719241822254140424344104746[[#This Row],[Provisions pour risques]]</f>
        <v>#REF!</v>
      </c>
      <c r="BP19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1481.8</v>
      </c>
      <c r="BQ19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4" s="97" t="e">
        <f t="shared" si="65"/>
        <v>#REF!</v>
      </c>
      <c r="BS194" s="34">
        <f>Tableau5617192223242425262827293031333432353620383961719241822254140424344104746[[#This Row],[Consommé global Enregistré à date (€ HT)]]-IFERROR(VLOOKUP(H194,#REF!,50,FALSE),0)</f>
        <v>0</v>
      </c>
      <c r="BT194" s="35" t="e">
        <f t="shared" si="66"/>
        <v>#REF!</v>
      </c>
      <c r="BU194" s="36">
        <f>BD194-IFERROR(VLOOKUP(H194,#REF!,47,FALSE),0)</f>
        <v>0</v>
      </c>
      <c r="BV194" s="37" t="e">
        <f>+BF194+Tableau5617192223242425262827293031333432353620383961719241822254140424344104746[[#This Row],[CA fin N-1]]-IFERROR(VLOOKUP(H194,#REF!,49,FALSE),0)-IFERROR(VLOOKUP(H194,#REF!,50,FALSE),0)</f>
        <v>#REF!</v>
      </c>
      <c r="BW194" s="33">
        <f>BG194-IFERROR(VLOOKUP(H194,#REF!,51,FALSE),0)</f>
        <v>0</v>
      </c>
      <c r="BX194" s="35" t="e">
        <f t="shared" si="67"/>
        <v>#REF!</v>
      </c>
      <c r="BY194" s="36">
        <f>BD194-IFERROR(VLOOKUP(H194,#REF!,48,FALSE),0)</f>
        <v>0</v>
      </c>
      <c r="BZ19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4" s="39" t="e">
        <f>VLOOKUP(Tableau5617192223242425262827293031333432353620383961719241822254140424344104746[[#This Row],[Num Projets]],#REF!,1,FALSE)</f>
        <v>#REF!</v>
      </c>
      <c r="CB194" s="40">
        <v>31</v>
      </c>
      <c r="CC194" s="40">
        <v>0</v>
      </c>
      <c r="CD19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-31</v>
      </c>
    </row>
    <row r="195" spans="1:82" x14ac:dyDescent="0.25">
      <c r="A195" s="311"/>
      <c r="B195" s="1"/>
      <c r="C195" s="2" t="e">
        <f>_xlfn.XLOOKUP(Tableau5617192223242425262827293031333432353620383961719241822254140424344104746[[#This Row],[Num Projets]],#REF!,#REF!,FALSE)</f>
        <v>#REF!</v>
      </c>
      <c r="D195" s="192" t="s">
        <v>6</v>
      </c>
      <c r="E195" s="3" t="e">
        <f>_xlfn.XLOOKUP(Tableau5617192223242425262827293031333432353620383961719241822254140424344104746[[#This Row],[Num Projets]],#REF!,#REF!,FALSE)</f>
        <v>#REF!</v>
      </c>
      <c r="F195" s="3" t="s">
        <v>214</v>
      </c>
      <c r="G195" s="3"/>
      <c r="H195" s="3" t="s">
        <v>350</v>
      </c>
      <c r="I195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5" s="4" t="e">
        <f>VLOOKUP(Tableau5617192223242425262827293031333432353620383961719241822254140424344104746[[#This Row],[Num Projets]],#REF!,36,FALSE)</f>
        <v>#REF!</v>
      </c>
      <c r="K195" s="5" t="s">
        <v>9</v>
      </c>
      <c r="L19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5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5" s="7" t="e">
        <f>VLOOKUP(H195,#REF!,7,FALSE)</f>
        <v>#REF!</v>
      </c>
      <c r="O195" s="7" t="e">
        <f>IF(VLOOKUP(H195,#REF!,27,FALSE)=0,"",VLOOKUP(H195,#REF!,27,FALSE))</f>
        <v>#REF!</v>
      </c>
      <c r="P195" s="8" t="e">
        <f>VLOOKUP(H195,#REF!,2,FALSE)</f>
        <v>#REF!</v>
      </c>
      <c r="Q195" s="9" t="e">
        <f>Tableau5617192223242425262827293031333432353620383961719241822254140424344104746[[#This Row],[Total Budget
€]]-IFERROR(VLOOKUP(H195,#REF!,8,FALSE),0)</f>
        <v>#REF!</v>
      </c>
      <c r="R195" s="10">
        <f>AD195+AI195+Tableau5617192223242425262827293031333432353620383961719241822254140424344104746[[#This Row],[Int Commandé OT
€]]+AX195</f>
        <v>0</v>
      </c>
      <c r="S195" s="10">
        <f>AD195+AJ195+Tableau5617192223242425262827293031333432353620383961719241822254140424344104746[[#This Row],[Int Réalisé OT
€]]+AX195</f>
        <v>2092.8000000000002</v>
      </c>
      <c r="T195" s="11" t="e">
        <f t="shared" si="56"/>
        <v>#REF!</v>
      </c>
      <c r="U19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5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5" s="12" t="e">
        <f>Tableau5617192223242425262827293031333432353620383961719241822254140424344104746[[#This Row],[Budget Heures Valorisées
€]]/105</f>
        <v>#REF!</v>
      </c>
      <c r="X195" s="13">
        <f>IFERROR(VLOOKUP(H195,#REF!,2,FALSE),0)</f>
        <v>0</v>
      </c>
      <c r="Y195" s="13">
        <f>IFERROR(VLOOKUP(H195,#REF!,3,FALSE),0)</f>
        <v>0</v>
      </c>
      <c r="Z19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14.5</v>
      </c>
      <c r="AA195" s="13">
        <f>IFERROR(VLOOKUP(H195,#REF!,18,FALSE),0)</f>
        <v>0</v>
      </c>
      <c r="AB195" s="13">
        <f>SUM(X195:Y195)-IFERROR(VLOOKUP(H195,#REF!,16,FALSE),0)-IFERROR(VLOOKUP(H195,#REF!,17,FALSE),0)</f>
        <v>0</v>
      </c>
      <c r="AC195" s="15" t="e">
        <f>VLOOKUP(Tableau5617192223242425262827293031333432353620383961719241822254140424344104746[[#This Row],[Num Projets]],#REF!,2,FALSE)</f>
        <v>#REF!</v>
      </c>
      <c r="AD195" s="15">
        <f>IFERROR(VLOOKUP(Tableau5617192223242425262827293031333432353620383961719241822254140424344104746[[#This Row],[Num Projets]],#REF!,2,FALSE),0)</f>
        <v>0</v>
      </c>
      <c r="AE195" s="8">
        <f t="shared" si="57"/>
        <v>693.09999999999991</v>
      </c>
      <c r="AF195" s="22" t="e">
        <f t="shared" si="58"/>
        <v>#REF!</v>
      </c>
      <c r="AG195" s="8">
        <f>IFERROR(VLOOKUP(H195,#REF!,3,FALSE),0)+IFERROR(VLOOKUP(H195,#REF!,3,FALSE),0)</f>
        <v>0</v>
      </c>
      <c r="AH195" s="8">
        <f>IFERROR(VLOOKUP(Tableau5617192223242425262827293031333432353620383961719241822254140424344104746[[#This Row],[Num Projets]],#REF!,2,FALSE),0)</f>
        <v>0</v>
      </c>
      <c r="AI195" s="17">
        <f>+IFERROR(VLOOKUP(H195,#REF!,2,FALSE),0)-Tableau5617192223242425262827293031333432353620383961719241822254140424344104746[[#This Row],[Int Commandé OT
€]]</f>
        <v>0</v>
      </c>
      <c r="AJ195" s="8">
        <f>IFERROR(VLOOKUP(H195,#REF!,11,FALSE),0)-IFERROR(VLOOKUP(H195,#REF!,10,FALSE),0)+Tableau5617192223242425262827293031333432353620383961719241822254140424344104746[[#This Row],[dont FNP à date (€ HT)]]</f>
        <v>0</v>
      </c>
      <c r="AK195" s="15">
        <f t="shared" si="59"/>
        <v>0</v>
      </c>
      <c r="AL19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5" s="19">
        <f>IF(Tableau5617192223242425262827293031333432353620383961719241822254140424344104746[[#This Row],[RAF Achats M-1
€]]=0,0,AN195-AO195)</f>
        <v>0</v>
      </c>
      <c r="AN195" s="8">
        <f>IFERROR(VLOOKUP(H195,#REF!,31,FALSE),0)</f>
        <v>0</v>
      </c>
      <c r="AO195" s="8">
        <f>AI195+-IFERROR(VLOOKUP(H195,#REF!,27,FALSE),0)</f>
        <v>0</v>
      </c>
      <c r="AP195" s="20">
        <f>IFERROR(VLOOKUP(Tableau5617192223242425262827293031333432353620383961719241822254140424344104746[[#This Row],[Num Projets]],#REF!,2,FALSE),0)</f>
        <v>0</v>
      </c>
      <c r="AQ195" s="20">
        <f>_xlfn.XLOOKUP(H195,[2]Synth!$N:$N,[2]Synth!$O:$O,0,FALSE)+_xlfn.XLOOKUP(Tableau5617192223242425262827293031333432353620383961719241822254140424344104746[[#This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2092.8000000000002</v>
      </c>
      <c r="AR195" s="21">
        <v>0</v>
      </c>
      <c r="AS195" s="20">
        <f>+IFERROR(VLOOKUP(H195,#REF!,36,FALSE),0)</f>
        <v>0</v>
      </c>
      <c r="AT19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5" s="22">
        <f>IF(AG195=0,0,1-((AI195+AM195+Tableau5617192223242425262827293031333432353620383961719241822254140424344104746[[#This Row],[Int Commandé OT
€]]+Tableau5617192223242425262827293031333432353620383961719241822254140424344104746[[#This Row],[RAF Int OT
€]])/AG195))</f>
        <v>0</v>
      </c>
      <c r="AV195" s="8">
        <f>IFERROR(VLOOKUP(H195,#REF!,4,FALSE),0)+IFERROR(VLOOKUP(H195,#REF!,4,FALSE),0)</f>
        <v>0</v>
      </c>
      <c r="AW195" s="194">
        <f>IFERROR(VLOOKUP(Tableau5617192223242425262827293031333432353620383961719241822254140424344104746[[#This Row],[Num Projets]],#REF!,3,FALSE),0)</f>
        <v>0</v>
      </c>
      <c r="AX195" s="95">
        <f>IFERROR(VLOOKUP(Tableau5617192223242425262827293031333432353620383961719241822254140424344104746[[#This Row],[Num Projets]],#REF!,10,FALSE),0)</f>
        <v>0</v>
      </c>
      <c r="AY195" s="23">
        <f>Tableau5617192223242425262827293031333432353620383961719241822254140424344104746[[#This Row],[Budget Mission
 €]]/1.2-AX195</f>
        <v>0</v>
      </c>
      <c r="AZ195" s="8">
        <f>IFERROR(VLOOKUP(H195,#REF!,43,FALSE),0)</f>
        <v>0</v>
      </c>
      <c r="BA195" s="8">
        <f>AX195-IFERROR(VLOOKUP(H195,#REF!,42,FALSE),0)</f>
        <v>0</v>
      </c>
      <c r="BB195" s="47">
        <f t="shared" si="60"/>
        <v>0</v>
      </c>
      <c r="BC195" s="24">
        <f>IFERROR(VLOOKUP(H195,#REF!,47,FALSE),IFERROR(VLOOKUP(H195,#REF!,5,FALSE),0)+IFERROR(VLOOKUP(H195,#REF!,5,FALSE),0))</f>
        <v>0</v>
      </c>
      <c r="BD195" s="25">
        <f>IFERROR(VLOOKUP(H195,#REF!,2,FALSE),0)</f>
        <v>0</v>
      </c>
      <c r="BE195" s="25">
        <f>IFERROR(VLOOKUP(H195,#REF!,49,FALSE),0)</f>
        <v>0</v>
      </c>
      <c r="BF195" s="50" t="e">
        <f t="shared" si="61"/>
        <v>#REF!</v>
      </c>
      <c r="BG195" s="50">
        <f t="shared" si="62"/>
        <v>2092.8000000000002</v>
      </c>
      <c r="BH195" s="27">
        <f>AE195+ (AI195-AJ195+AM195+Tableau5617192223242425262827293031333432353620383961719241822254140424344104746[[#This Row],[Int Commandé OT
€]]-Tableau5617192223242425262827293031333432353620383961719241822254140424344104746[[#This Row],[Int Réalisé OT
€]]+AR195) +AY195+BC195</f>
        <v>-1399.7000000000003</v>
      </c>
      <c r="BI195" s="47">
        <f t="shared" si="63"/>
        <v>3.0194777088443234</v>
      </c>
      <c r="BJ195" s="47" t="e">
        <f t="shared" si="64"/>
        <v>#REF!</v>
      </c>
      <c r="BK195" s="27" t="e">
        <f t="shared" si="44"/>
        <v>#REF!</v>
      </c>
      <c r="BL195" s="26" t="e">
        <f t="shared" si="45"/>
        <v>#REF!</v>
      </c>
      <c r="BM195" s="96">
        <f>IFERROR(VLOOKUP(H195,'[1]2023sep'!H:CA,54,FALSE),105)</f>
        <v>105</v>
      </c>
      <c r="BN195" s="29">
        <v>1</v>
      </c>
      <c r="BO195" s="30" t="e">
        <f>P195-AC195-AG195-AV195-Tableau5617192223242425262827293031333432353620383961719241822254140424344104746[[#This Row],[Provisions pour risques]]</f>
        <v>#REF!</v>
      </c>
      <c r="BP19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693.09999999999991</v>
      </c>
      <c r="BQ19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3.0194777088443234</v>
      </c>
      <c r="BR195" s="97" t="e">
        <f t="shared" si="65"/>
        <v>#REF!</v>
      </c>
      <c r="BS195" s="34">
        <f>Tableau5617192223242425262827293031333432353620383961719241822254140424344104746[[#This Row],[Consommé global Enregistré à date (€ HT)]]-IFERROR(VLOOKUP(H195,#REF!,50,FALSE),0)</f>
        <v>2092.8000000000002</v>
      </c>
      <c r="BT195" s="35" t="e">
        <f t="shared" si="66"/>
        <v>#REF!</v>
      </c>
      <c r="BU195" s="36">
        <f>BD195-IFERROR(VLOOKUP(H195,#REF!,47,FALSE),0)</f>
        <v>0</v>
      </c>
      <c r="BV195" s="37" t="e">
        <f>+BF195+Tableau5617192223242425262827293031333432353620383961719241822254140424344104746[[#This Row],[CA fin N-1]]-IFERROR(VLOOKUP(H195,#REF!,49,FALSE),0)-IFERROR(VLOOKUP(H195,#REF!,50,FALSE),0)</f>
        <v>#REF!</v>
      </c>
      <c r="BW195" s="33">
        <f>BG195-IFERROR(VLOOKUP(H195,#REF!,51,FALSE),0)</f>
        <v>2092.8000000000002</v>
      </c>
      <c r="BX195" s="35" t="e">
        <f t="shared" si="67"/>
        <v>#REF!</v>
      </c>
      <c r="BY195" s="36">
        <f>BD195-IFERROR(VLOOKUP(H195,#REF!,48,FALSE),0)</f>
        <v>0</v>
      </c>
      <c r="BZ19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5" s="39" t="e">
        <f>VLOOKUP(Tableau5617192223242425262827293031333432353620383961719241822254140424344104746[[#This Row],[Num Projets]],#REF!,1,FALSE)</f>
        <v>#REF!</v>
      </c>
      <c r="CB195" s="40">
        <v>14.5</v>
      </c>
      <c r="CC195" s="40">
        <v>0</v>
      </c>
      <c r="CD19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-14.5</v>
      </c>
    </row>
    <row r="196" spans="1:82" x14ac:dyDescent="0.25">
      <c r="A196" s="311"/>
      <c r="B196" s="1"/>
      <c r="C196" s="2" t="e">
        <f>_xlfn.XLOOKUP(Tableau5617192223242425262827293031333432353620383961719241822254140424344104746[[#This Row],[Num Projets]],#REF!,#REF!,FALSE)</f>
        <v>#REF!</v>
      </c>
      <c r="D196" s="3" t="s">
        <v>1</v>
      </c>
      <c r="E196" s="3" t="e">
        <f>_xlfn.XLOOKUP(Tableau5617192223242425262827293031333432353620383961719241822254140424344104746[[#This Row],[Num Projets]],#REF!,#REF!,FALSE)</f>
        <v>#REF!</v>
      </c>
      <c r="F196" s="3" t="s">
        <v>41</v>
      </c>
      <c r="G196" s="3" t="s">
        <v>2</v>
      </c>
      <c r="H196" s="3" t="s">
        <v>351</v>
      </c>
      <c r="I196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6" s="4" t="e">
        <f>VLOOKUP(Tableau5617192223242425262827293031333432353620383961719241822254140424344104746[[#This Row],[Num Projets]],#REF!,36,FALSE)</f>
        <v>#REF!</v>
      </c>
      <c r="K196" s="5" t="s">
        <v>4</v>
      </c>
      <c r="L19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6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6" s="7" t="e">
        <f>VLOOKUP(H196,#REF!,7,FALSE)</f>
        <v>#REF!</v>
      </c>
      <c r="O196" s="7">
        <v>45777</v>
      </c>
      <c r="P196" s="8" t="e">
        <f>VLOOKUP(H196,#REF!,2,FALSE)</f>
        <v>#REF!</v>
      </c>
      <c r="Q196" s="9" t="e">
        <f>Tableau5617192223242425262827293031333432353620383961719241822254140424344104746[[#This Row],[Total Budget
€]]-IFERROR(VLOOKUP(H196,#REF!,8,FALSE),0)</f>
        <v>#REF!</v>
      </c>
      <c r="R196" s="10">
        <f>AD196+AI196+Tableau5617192223242425262827293031333432353620383961719241822254140424344104746[[#This Row],[Int Commandé OT
€]]+AX196</f>
        <v>0</v>
      </c>
      <c r="S196" s="10">
        <f>AD196+AJ196+Tableau5617192223242425262827293031333432353620383961719241822254140424344104746[[#This Row],[Int Réalisé OT
€]]+AX196</f>
        <v>0</v>
      </c>
      <c r="T196" s="11" t="e">
        <f t="shared" si="56"/>
        <v>#REF!</v>
      </c>
      <c r="U19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6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6" s="12" t="e">
        <f>Tableau5617192223242425262827293031333432353620383961719241822254140424344104746[[#This Row],[Budget Heures Valorisées
€]]/105</f>
        <v>#REF!</v>
      </c>
      <c r="X196" s="13">
        <f>IFERROR(VLOOKUP(H196,#REF!,2,FALSE),0)</f>
        <v>0</v>
      </c>
      <c r="Y196" s="13">
        <f>IFERROR(VLOOKUP(H196,#REF!,3,FALSE),0)</f>
        <v>0</v>
      </c>
      <c r="Z19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27</v>
      </c>
      <c r="AA196" s="13">
        <f>IFERROR(VLOOKUP(H196,#REF!,18,FALSE),0)</f>
        <v>0</v>
      </c>
      <c r="AB196" s="13">
        <f>SUM(X196:Y196)-IFERROR(VLOOKUP(H196,#REF!,16,FALSE),0)-IFERROR(VLOOKUP(H196,#REF!,17,FALSE),0)</f>
        <v>0</v>
      </c>
      <c r="AC196" s="15" t="e">
        <f>VLOOKUP(Tableau5617192223242425262827293031333432353620383961719241822254140424344104746[[#This Row],[Num Projets]],#REF!,2,FALSE)</f>
        <v>#REF!</v>
      </c>
      <c r="AD196" s="15">
        <f>IFERROR(VLOOKUP(Tableau5617192223242425262827293031333432353620383961719241822254140424344104746[[#This Row],[Num Projets]],#REF!,2,FALSE),0)</f>
        <v>0</v>
      </c>
      <c r="AE196" s="8">
        <f t="shared" si="57"/>
        <v>1290.5999999999999</v>
      </c>
      <c r="AF196" s="22" t="e">
        <f t="shared" si="58"/>
        <v>#REF!</v>
      </c>
      <c r="AG196" s="8">
        <f>IFERROR(VLOOKUP(H196,#REF!,3,FALSE),0)+IFERROR(VLOOKUP(H196,#REF!,3,FALSE),0)</f>
        <v>0</v>
      </c>
      <c r="AH196" s="8">
        <f>IFERROR(VLOOKUP(Tableau5617192223242425262827293031333432353620383961719241822254140424344104746[[#This Row],[Num Projets]],#REF!,2,FALSE),0)</f>
        <v>0</v>
      </c>
      <c r="AI196" s="17">
        <f>+IFERROR(VLOOKUP(H196,#REF!,2,FALSE),0)-Tableau5617192223242425262827293031333432353620383961719241822254140424344104746[[#This Row],[Int Commandé OT
€]]</f>
        <v>0</v>
      </c>
      <c r="AJ196" s="8">
        <f>IFERROR(VLOOKUP(H196,#REF!,11,FALSE),0)-IFERROR(VLOOKUP(H196,#REF!,10,FALSE),0)+Tableau5617192223242425262827293031333432353620383961719241822254140424344104746[[#This Row],[dont FNP à date (€ HT)]]</f>
        <v>0</v>
      </c>
      <c r="AK196" s="15">
        <f t="shared" si="59"/>
        <v>0</v>
      </c>
      <c r="AL19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6" s="19">
        <f>IF(Tableau5617192223242425262827293031333432353620383961719241822254140424344104746[[#This Row],[RAF Achats M-1
€]]=0,0,AN196-AO196)</f>
        <v>0</v>
      </c>
      <c r="AN196" s="8">
        <f>IFERROR(VLOOKUP(H196,#REF!,31,FALSE),0)</f>
        <v>0</v>
      </c>
      <c r="AO196" s="8">
        <f>AI196+-IFERROR(VLOOKUP(H196,#REF!,27,FALSE),0)</f>
        <v>0</v>
      </c>
      <c r="AP196" s="20">
        <f>IFERROR(VLOOKUP(Tableau5617192223242425262827293031333432353620383961719241822254140424344104746[[#This Row],[Num Projets]],#REF!,2,FALSE),0)</f>
        <v>0</v>
      </c>
      <c r="AQ196" s="20">
        <f>_xlfn.XLOOKUP(H196,[2]Synth!$N:$N,[2]Synth!$O:$O,0,FALSE)+_xlfn.XLOOKUP(Tableau5617192223242425262827293031333432353620383961719241822254140424344104746[[#This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6" s="21">
        <v>0</v>
      </c>
      <c r="AS196" s="20">
        <f>+IFERROR(VLOOKUP(H196,#REF!,36,FALSE),0)</f>
        <v>0</v>
      </c>
      <c r="AT19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6" s="22">
        <f>IF(AG196=0,0,1-((AI196+AM196+Tableau5617192223242425262827293031333432353620383961719241822254140424344104746[[#This Row],[Int Commandé OT
€]]+Tableau5617192223242425262827293031333432353620383961719241822254140424344104746[[#This Row],[RAF Int OT
€]])/AG196))</f>
        <v>0</v>
      </c>
      <c r="AV196" s="8">
        <f>IFERROR(VLOOKUP(H196,#REF!,4,FALSE),0)+IFERROR(VLOOKUP(H196,#REF!,4,FALSE),0)</f>
        <v>0</v>
      </c>
      <c r="AW196" s="194">
        <f>IFERROR(VLOOKUP(Tableau5617192223242425262827293031333432353620383961719241822254140424344104746[[#This Row],[Num Projets]],#REF!,3,FALSE),0)</f>
        <v>0</v>
      </c>
      <c r="AX196" s="95">
        <f>IFERROR(VLOOKUP(Tableau5617192223242425262827293031333432353620383961719241822254140424344104746[[#This Row],[Num Projets]],#REF!,10,FALSE),0)</f>
        <v>0</v>
      </c>
      <c r="AY196" s="23">
        <f>Tableau5617192223242425262827293031333432353620383961719241822254140424344104746[[#This Row],[Budget Mission
 €]]/1.2-AX196</f>
        <v>0</v>
      </c>
      <c r="AZ196" s="8">
        <f>IFERROR(VLOOKUP(H196,#REF!,43,FALSE),0)</f>
        <v>0</v>
      </c>
      <c r="BA196" s="8">
        <f>AX196-IFERROR(VLOOKUP(H196,#REF!,42,FALSE),0)</f>
        <v>0</v>
      </c>
      <c r="BB196" s="47">
        <f t="shared" si="60"/>
        <v>0</v>
      </c>
      <c r="BC196" s="24">
        <f>IFERROR(VLOOKUP(H196,#REF!,47,FALSE),IFERROR(VLOOKUP(H196,#REF!,5,FALSE),0)+IFERROR(VLOOKUP(H196,#REF!,5,FALSE),0))</f>
        <v>0</v>
      </c>
      <c r="BD196" s="25">
        <f>IFERROR(VLOOKUP(H196,#REF!,2,FALSE),0)</f>
        <v>0</v>
      </c>
      <c r="BE196" s="25">
        <f>IFERROR(VLOOKUP(H196,#REF!,49,FALSE),0)</f>
        <v>0</v>
      </c>
      <c r="BF196" s="50" t="e">
        <f t="shared" si="61"/>
        <v>#REF!</v>
      </c>
      <c r="BG196" s="50">
        <f t="shared" si="62"/>
        <v>0</v>
      </c>
      <c r="BH196" s="27">
        <f>AE196+ (AI196-AJ196+AM196+Tableau5617192223242425262827293031333432353620383961719241822254140424344104746[[#This Row],[Int Commandé OT
€]]-Tableau5617192223242425262827293031333432353620383961719241822254140424344104746[[#This Row],[Int Réalisé OT
€]]+AR196) +AY196+BC196</f>
        <v>1290.5999999999999</v>
      </c>
      <c r="BI196" s="47">
        <f t="shared" si="63"/>
        <v>0</v>
      </c>
      <c r="BJ196" s="47" t="e">
        <f t="shared" si="64"/>
        <v>#REF!</v>
      </c>
      <c r="BK196" s="27" t="e">
        <f t="shared" si="44"/>
        <v>#REF!</v>
      </c>
      <c r="BL196" s="26" t="e">
        <f t="shared" si="45"/>
        <v>#REF!</v>
      </c>
      <c r="BM196" s="96">
        <f>IFERROR(VLOOKUP(H196,'[1]2023sep'!H:CA,54,FALSE),105)</f>
        <v>105</v>
      </c>
      <c r="BN196" s="29">
        <v>1</v>
      </c>
      <c r="BO196" s="30" t="e">
        <f>P196-AC196-AG196-AV196-Tableau5617192223242425262827293031333432353620383961719241822254140424344104746[[#This Row],[Provisions pour risques]]</f>
        <v>#REF!</v>
      </c>
      <c r="BP19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1290.5999999999999</v>
      </c>
      <c r="BQ19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6" s="97" t="e">
        <f t="shared" si="65"/>
        <v>#REF!</v>
      </c>
      <c r="BS196" s="34">
        <f>Tableau5617192223242425262827293031333432353620383961719241822254140424344104746[[#This Row],[Consommé global Enregistré à date (€ HT)]]-IFERROR(VLOOKUP(H196,#REF!,50,FALSE),0)</f>
        <v>0</v>
      </c>
      <c r="BT196" s="35" t="e">
        <f t="shared" si="66"/>
        <v>#REF!</v>
      </c>
      <c r="BU196" s="36">
        <f>BD196-IFERROR(VLOOKUP(H196,#REF!,47,FALSE),0)</f>
        <v>0</v>
      </c>
      <c r="BV196" s="37" t="e">
        <f>+BF196+Tableau5617192223242425262827293031333432353620383961719241822254140424344104746[[#This Row],[CA fin N-1]]-IFERROR(VLOOKUP(H196,#REF!,49,FALSE),0)-IFERROR(VLOOKUP(H196,#REF!,50,FALSE),0)</f>
        <v>#REF!</v>
      </c>
      <c r="BW196" s="33">
        <f>BG196-IFERROR(VLOOKUP(H196,#REF!,51,FALSE),0)</f>
        <v>0</v>
      </c>
      <c r="BX196" s="35" t="e">
        <f t="shared" si="67"/>
        <v>#REF!</v>
      </c>
      <c r="BY196" s="36">
        <f>BD196-IFERROR(VLOOKUP(H196,#REF!,48,FALSE),0)</f>
        <v>0</v>
      </c>
      <c r="BZ19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6" s="39" t="e">
        <f>VLOOKUP(Tableau5617192223242425262827293031333432353620383961719241822254140424344104746[[#This Row],[Num Projets]],#REF!,1,FALSE)</f>
        <v>#REF!</v>
      </c>
      <c r="CB196" s="40">
        <v>27</v>
      </c>
      <c r="CC196" s="40">
        <v>0</v>
      </c>
      <c r="CD19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-27</v>
      </c>
    </row>
    <row r="197" spans="1:82" x14ac:dyDescent="0.25">
      <c r="A197" s="311" t="s">
        <v>352</v>
      </c>
      <c r="B197" s="1"/>
      <c r="C197" s="2" t="e">
        <f>_xlfn.XLOOKUP(Tableau5617192223242425262827293031333432353620383961719241822254140424344104746[[#This Row],[Num Projets]],#REF!,#REF!,FALSE)</f>
        <v>#REF!</v>
      </c>
      <c r="D197" s="3" t="s">
        <v>1</v>
      </c>
      <c r="E197" s="3" t="e">
        <f>_xlfn.XLOOKUP(Tableau5617192223242425262827293031333432353620383961719241822254140424344104746[[#This Row],[Num Projets]],#REF!,#REF!,FALSE)</f>
        <v>#REF!</v>
      </c>
      <c r="F197" s="3" t="s">
        <v>70</v>
      </c>
      <c r="G197" s="3" t="s">
        <v>2</v>
      </c>
      <c r="H197" s="3" t="s">
        <v>353</v>
      </c>
      <c r="I197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7" s="4" t="e">
        <f>VLOOKUP(Tableau5617192223242425262827293031333432353620383961719241822254140424344104746[[#This Row],[Num Projets]],#REF!,36,FALSE)</f>
        <v>#REF!</v>
      </c>
      <c r="K197" s="5" t="s">
        <v>4</v>
      </c>
      <c r="L19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7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7" s="7" t="e">
        <f>VLOOKUP(H197,#REF!,7,FALSE)</f>
        <v>#REF!</v>
      </c>
      <c r="O197" s="7" t="e">
        <f>IF(VLOOKUP(H197,#REF!,27,FALSE)=0,"",VLOOKUP(H197,#REF!,27,FALSE))</f>
        <v>#REF!</v>
      </c>
      <c r="P197" s="8" t="e">
        <f>VLOOKUP(H197,#REF!,2,FALSE)</f>
        <v>#REF!</v>
      </c>
      <c r="Q197" s="9" t="e">
        <f>Tableau5617192223242425262827293031333432353620383961719241822254140424344104746[[#This Row],[Total Budget
€]]-IFERROR(VLOOKUP(H197,#REF!,8,FALSE),0)</f>
        <v>#REF!</v>
      </c>
      <c r="R197" s="10">
        <f>AD197+AI197+Tableau5617192223242425262827293031333432353620383961719241822254140424344104746[[#This Row],[Int Commandé OT
€]]+AX197</f>
        <v>0</v>
      </c>
      <c r="S197" s="10">
        <f>AD197+AJ197+Tableau5617192223242425262827293031333432353620383961719241822254140424344104746[[#This Row],[Int Réalisé OT
€]]+AX197</f>
        <v>0</v>
      </c>
      <c r="T197" s="11" t="e">
        <f t="shared" si="56"/>
        <v>#REF!</v>
      </c>
      <c r="U19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7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7" s="12" t="e">
        <f>Tableau5617192223242425262827293031333432353620383961719241822254140424344104746[[#This Row],[Budget Heures Valorisées
€]]/105</f>
        <v>#REF!</v>
      </c>
      <c r="X197" s="13">
        <f>IFERROR(VLOOKUP(H197,#REF!,2,FALSE),0)</f>
        <v>0</v>
      </c>
      <c r="Y197" s="13">
        <f>IFERROR(VLOOKUP(H197,#REF!,3,FALSE),0)</f>
        <v>0</v>
      </c>
      <c r="Z19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522.34485714285711</v>
      </c>
      <c r="AA197" s="13">
        <f>IFERROR(VLOOKUP(H197,#REF!,18,FALSE),0)</f>
        <v>0</v>
      </c>
      <c r="AB197" s="13">
        <f>SUM(X197:Y197)-IFERROR(VLOOKUP(H197,#REF!,16,FALSE),0)-IFERROR(VLOOKUP(H197,#REF!,17,FALSE),0)</f>
        <v>0</v>
      </c>
      <c r="AC197" s="15" t="e">
        <f>VLOOKUP(Tableau5617192223242425262827293031333432353620383961719241822254140424344104746[[#This Row],[Num Projets]],#REF!,2,FALSE)</f>
        <v>#REF!</v>
      </c>
      <c r="AD197" s="15">
        <f>IFERROR(VLOOKUP(Tableau5617192223242425262827293031333432353620383961719241822254140424344104746[[#This Row],[Num Projets]],#REF!,2,FALSE),0)</f>
        <v>0</v>
      </c>
      <c r="AE197" s="8">
        <f t="shared" si="57"/>
        <v>24968.084171428567</v>
      </c>
      <c r="AF197" s="22" t="e">
        <f t="shared" si="58"/>
        <v>#REF!</v>
      </c>
      <c r="AG197" s="8">
        <f>IFERROR(VLOOKUP(H197,#REF!,3,FALSE),0)+IFERROR(VLOOKUP(H197,#REF!,3,FALSE),0)</f>
        <v>0</v>
      </c>
      <c r="AH197" s="8">
        <f>IFERROR(VLOOKUP(Tableau5617192223242425262827293031333432353620383961719241822254140424344104746[[#This Row],[Num Projets]],#REF!,2,FALSE),0)</f>
        <v>0</v>
      </c>
      <c r="AI197" s="17">
        <f>+IFERROR(VLOOKUP(H197,#REF!,2,FALSE),0)-Tableau5617192223242425262827293031333432353620383961719241822254140424344104746[[#This Row],[Int Commandé OT
€]]</f>
        <v>0</v>
      </c>
      <c r="AJ197" s="8">
        <f>IFERROR(VLOOKUP(H197,#REF!,11,FALSE),0)-IFERROR(VLOOKUP(H197,#REF!,10,FALSE),0)+Tableau5617192223242425262827293031333432353620383961719241822254140424344104746[[#This Row],[dont FNP à date (€ HT)]]</f>
        <v>0</v>
      </c>
      <c r="AK197" s="15">
        <f t="shared" si="59"/>
        <v>0</v>
      </c>
      <c r="AL19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7" s="19">
        <f>IF(Tableau5617192223242425262827293031333432353620383961719241822254140424344104746[[#This Row],[RAF Achats M-1
€]]=0,0,AN197-AO197)</f>
        <v>0</v>
      </c>
      <c r="AN197" s="8">
        <f>IFERROR(VLOOKUP(H197,#REF!,31,FALSE),0)</f>
        <v>0</v>
      </c>
      <c r="AO197" s="8">
        <f>AI197+-IFERROR(VLOOKUP(H197,#REF!,27,FALSE),0)</f>
        <v>0</v>
      </c>
      <c r="AP197" s="20">
        <f>IFERROR(VLOOKUP(Tableau5617192223242425262827293031333432353620383961719241822254140424344104746[[#This Row],[Num Projets]],#REF!,2,FALSE),0)</f>
        <v>0</v>
      </c>
      <c r="AQ197" s="20">
        <f>_xlfn.XLOOKUP(H197,[2]Synth!$N:$N,[2]Synth!$O:$O,0,FALSE)+_xlfn.XLOOKUP(Tableau5617192223242425262827293031333432353620383961719241822254140424344104746[[#This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7" s="21">
        <v>0</v>
      </c>
      <c r="AS197" s="20">
        <f>+IFERROR(VLOOKUP(H197,#REF!,36,FALSE),0)</f>
        <v>0</v>
      </c>
      <c r="AT19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7" s="22">
        <f>IF(AG197=0,0,1-((AI197+AM197+Tableau5617192223242425262827293031333432353620383961719241822254140424344104746[[#This Row],[Int Commandé OT
€]]+Tableau5617192223242425262827293031333432353620383961719241822254140424344104746[[#This Row],[RAF Int OT
€]])/AG197))</f>
        <v>0</v>
      </c>
      <c r="AV197" s="8">
        <f>IFERROR(VLOOKUP(H197,#REF!,4,FALSE),0)+IFERROR(VLOOKUP(H197,#REF!,4,FALSE),0)</f>
        <v>0</v>
      </c>
      <c r="AW197" s="194">
        <f>IFERROR(VLOOKUP(Tableau5617192223242425262827293031333432353620383961719241822254140424344104746[[#This Row],[Num Projets]],#REF!,3,FALSE),0)</f>
        <v>0</v>
      </c>
      <c r="AX197" s="95">
        <f>IFERROR(VLOOKUP(Tableau5617192223242425262827293031333432353620383961719241822254140424344104746[[#This Row],[Num Projets]],#REF!,10,FALSE),0)</f>
        <v>0</v>
      </c>
      <c r="AY197" s="23">
        <f>Tableau5617192223242425262827293031333432353620383961719241822254140424344104746[[#This Row],[Budget Mission
 €]]/1.2-AX197</f>
        <v>0</v>
      </c>
      <c r="AZ197" s="8">
        <f>IFERROR(VLOOKUP(H197,#REF!,43,FALSE),0)</f>
        <v>0</v>
      </c>
      <c r="BA197" s="8">
        <f>AX197-IFERROR(VLOOKUP(H197,#REF!,42,FALSE),0)</f>
        <v>0</v>
      </c>
      <c r="BB197" s="47">
        <f t="shared" si="60"/>
        <v>0</v>
      </c>
      <c r="BC197" s="24">
        <f>IFERROR(VLOOKUP(H197,#REF!,47,FALSE),IFERROR(VLOOKUP(H197,#REF!,5,FALSE),0)+IFERROR(VLOOKUP(H197,#REF!,5,FALSE),0))</f>
        <v>0</v>
      </c>
      <c r="BD197" s="25">
        <f>IFERROR(VLOOKUP(H197,#REF!,2,FALSE),0)</f>
        <v>0</v>
      </c>
      <c r="BE197" s="25">
        <f>IFERROR(VLOOKUP(H197,#REF!,49,FALSE),0)</f>
        <v>0</v>
      </c>
      <c r="BF197" s="50" t="e">
        <f t="shared" si="61"/>
        <v>#REF!</v>
      </c>
      <c r="BG197" s="50">
        <f t="shared" si="62"/>
        <v>0</v>
      </c>
      <c r="BH197" s="27">
        <f>AE197+ (AI197-AJ197+AM197+Tableau5617192223242425262827293031333432353620383961719241822254140424344104746[[#This Row],[Int Commandé OT
€]]-Tableau5617192223242425262827293031333432353620383961719241822254140424344104746[[#This Row],[Int Réalisé OT
€]]+AR197) +AY197+BC197</f>
        <v>24968.084171428567</v>
      </c>
      <c r="BI197" s="47">
        <f t="shared" si="63"/>
        <v>0</v>
      </c>
      <c r="BJ197" s="47" t="e">
        <f t="shared" si="64"/>
        <v>#REF!</v>
      </c>
      <c r="BK197" s="27" t="e">
        <f t="shared" ref="BK197:BK209" si="68">IF((BI197-BJ197)&gt;0,0,(BI197-BJ197)*P197)</f>
        <v>#REF!</v>
      </c>
      <c r="BL197" s="26" t="e">
        <f t="shared" ref="BL197:BL209" si="69">IF((BI197-BJ197)&gt;0,(BI197-BJ197)*P197,0)</f>
        <v>#REF!</v>
      </c>
      <c r="BM197" s="96">
        <f>IFERROR(VLOOKUP(H197,'[1]2023sep'!H:CA,54,FALSE),105)</f>
        <v>105</v>
      </c>
      <c r="BN197" s="29">
        <v>1</v>
      </c>
      <c r="BO197" s="30" t="e">
        <f>P197-AC197-AG197-AV197-Tableau5617192223242425262827293031333432353620383961719241822254140424344104746[[#This Row],[Provisions pour risques]]</f>
        <v>#REF!</v>
      </c>
      <c r="BP19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24968.084171428567</v>
      </c>
      <c r="BQ19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7" s="97" t="e">
        <f t="shared" si="65"/>
        <v>#REF!</v>
      </c>
      <c r="BS197" s="34">
        <f>Tableau5617192223242425262827293031333432353620383961719241822254140424344104746[[#This Row],[Consommé global Enregistré à date (€ HT)]]-IFERROR(VLOOKUP(H197,#REF!,50,FALSE),0)</f>
        <v>0</v>
      </c>
      <c r="BT197" s="35" t="e">
        <f t="shared" si="66"/>
        <v>#REF!</v>
      </c>
      <c r="BU197" s="36">
        <f>BD197-IFERROR(VLOOKUP(H197,#REF!,47,FALSE),0)</f>
        <v>0</v>
      </c>
      <c r="BV197" s="37" t="e">
        <f>+BF197+Tableau5617192223242425262827293031333432353620383961719241822254140424344104746[[#This Row],[CA fin N-1]]-IFERROR(VLOOKUP(H197,#REF!,49,FALSE),0)-IFERROR(VLOOKUP(H197,#REF!,50,FALSE),0)</f>
        <v>#REF!</v>
      </c>
      <c r="BW197" s="33">
        <f>BG197-IFERROR(VLOOKUP(H197,#REF!,51,FALSE),0)</f>
        <v>0</v>
      </c>
      <c r="BX197" s="35" t="e">
        <f t="shared" si="67"/>
        <v>#REF!</v>
      </c>
      <c r="BY197" s="36">
        <f>BD197-IFERROR(VLOOKUP(H197,#REF!,48,FALSE),0)</f>
        <v>0</v>
      </c>
      <c r="BZ19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7" s="39" t="e">
        <f>VLOOKUP(Tableau5617192223242425262827293031333432353620383961719241822254140424344104746[[#This Row],[Num Projets]],#REF!,1,FALSE)</f>
        <v>#REF!</v>
      </c>
      <c r="CB197" s="40">
        <v>33</v>
      </c>
      <c r="CC197" s="40">
        <v>489.34485714285711</v>
      </c>
      <c r="CD19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-33</v>
      </c>
    </row>
    <row r="198" spans="1:82" x14ac:dyDescent="0.25">
      <c r="A198" s="311"/>
      <c r="B198" s="1"/>
      <c r="C198" s="2" t="e">
        <f>_xlfn.XLOOKUP(Tableau5617192223242425262827293031333432353620383961719241822254140424344104746[[#This Row],[Num Projets]],#REF!,#REF!,FALSE)</f>
        <v>#REF!</v>
      </c>
      <c r="D198" s="3" t="s">
        <v>1</v>
      </c>
      <c r="E198" s="3" t="e">
        <f>_xlfn.XLOOKUP(Tableau5617192223242425262827293031333432353620383961719241822254140424344104746[[#This Row],[Num Projets]],#REF!,#REF!,FALSE)</f>
        <v>#REF!</v>
      </c>
      <c r="F198" s="3" t="s">
        <v>165</v>
      </c>
      <c r="G198" s="3" t="s">
        <v>2</v>
      </c>
      <c r="H198" s="3" t="s">
        <v>354</v>
      </c>
      <c r="I198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8" s="4" t="e">
        <f>VLOOKUP(Tableau5617192223242425262827293031333432353620383961719241822254140424344104746[[#This Row],[Num Projets]],#REF!,36,FALSE)</f>
        <v>#REF!</v>
      </c>
      <c r="K198" s="5" t="s">
        <v>4</v>
      </c>
      <c r="L19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8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8" s="7" t="e">
        <f>VLOOKUP(H198,#REF!,7,FALSE)</f>
        <v>#REF!</v>
      </c>
      <c r="O198" s="7">
        <v>45808</v>
      </c>
      <c r="P198" s="8" t="e">
        <f>VLOOKUP(H198,#REF!,2,FALSE)</f>
        <v>#REF!</v>
      </c>
      <c r="Q198" s="9" t="e">
        <f>Tableau5617192223242425262827293031333432353620383961719241822254140424344104746[[#This Row],[Total Budget
€]]-IFERROR(VLOOKUP(H198,#REF!,8,FALSE),0)</f>
        <v>#REF!</v>
      </c>
      <c r="R198" s="10">
        <f>AD198+AI198+Tableau5617192223242425262827293031333432353620383961719241822254140424344104746[[#This Row],[Int Commandé OT
€]]+AX198</f>
        <v>0</v>
      </c>
      <c r="S198" s="10">
        <f>AD198+AJ198+Tableau5617192223242425262827293031333432353620383961719241822254140424344104746[[#This Row],[Int Réalisé OT
€]]+AX198</f>
        <v>0</v>
      </c>
      <c r="T198" s="11" t="e">
        <f t="shared" si="56"/>
        <v>#REF!</v>
      </c>
      <c r="U19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8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8" s="12" t="e">
        <f>Tableau5617192223242425262827293031333432353620383961719241822254140424344104746[[#This Row],[Budget Heures Valorisées
€]]/105</f>
        <v>#REF!</v>
      </c>
      <c r="X198" s="13">
        <f>IFERROR(VLOOKUP(H198,#REF!,2,FALSE),0)</f>
        <v>0</v>
      </c>
      <c r="Y198" s="13">
        <f>IFERROR(VLOOKUP(H198,#REF!,3,FALSE),0)</f>
        <v>0</v>
      </c>
      <c r="Z19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19.047619047619047</v>
      </c>
      <c r="AA198" s="13">
        <f>IFERROR(VLOOKUP(H198,#REF!,18,FALSE),0)</f>
        <v>0</v>
      </c>
      <c r="AB198" s="13">
        <f>SUM(X198:Y198)-IFERROR(VLOOKUP(H198,#REF!,16,FALSE),0)-IFERROR(VLOOKUP(H198,#REF!,17,FALSE),0)</f>
        <v>0</v>
      </c>
      <c r="AC198" s="15" t="e">
        <f>VLOOKUP(Tableau5617192223242425262827293031333432353620383961719241822254140424344104746[[#This Row],[Num Projets]],#REF!,2,FALSE)</f>
        <v>#REF!</v>
      </c>
      <c r="AD198" s="15">
        <f>IFERROR(VLOOKUP(Tableau5617192223242425262827293031333432353620383961719241822254140424344104746[[#This Row],[Num Projets]],#REF!,2,FALSE),0)</f>
        <v>0</v>
      </c>
      <c r="AE198" s="8">
        <f t="shared" si="57"/>
        <v>910.47619047619037</v>
      </c>
      <c r="AF198" s="22" t="e">
        <f t="shared" si="58"/>
        <v>#REF!</v>
      </c>
      <c r="AG198" s="8">
        <f>IFERROR(VLOOKUP(H198,#REF!,3,FALSE),0)+IFERROR(VLOOKUP(H198,#REF!,3,FALSE),0)</f>
        <v>0</v>
      </c>
      <c r="AH198" s="8">
        <f>IFERROR(VLOOKUP(Tableau5617192223242425262827293031333432353620383961719241822254140424344104746[[#This Row],[Num Projets]],#REF!,2,FALSE),0)</f>
        <v>0</v>
      </c>
      <c r="AI198" s="17">
        <f>+IFERROR(VLOOKUP(H198,#REF!,2,FALSE),0)-Tableau5617192223242425262827293031333432353620383961719241822254140424344104746[[#This Row],[Int Commandé OT
€]]</f>
        <v>0</v>
      </c>
      <c r="AJ198" s="8">
        <f>IFERROR(VLOOKUP(H198,#REF!,11,FALSE),0)-IFERROR(VLOOKUP(H198,#REF!,10,FALSE),0)+Tableau5617192223242425262827293031333432353620383961719241822254140424344104746[[#This Row],[dont FNP à date (€ HT)]]</f>
        <v>0</v>
      </c>
      <c r="AK198" s="15">
        <f t="shared" si="59"/>
        <v>0</v>
      </c>
      <c r="AL19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8" s="19">
        <f>IF(Tableau5617192223242425262827293031333432353620383961719241822254140424344104746[[#This Row],[RAF Achats M-1
€]]=0,0,AN198-AO198)</f>
        <v>0</v>
      </c>
      <c r="AN198" s="8">
        <f>IFERROR(VLOOKUP(H198,#REF!,31,FALSE),0)</f>
        <v>0</v>
      </c>
      <c r="AO198" s="8">
        <f>AI198+-IFERROR(VLOOKUP(H198,#REF!,27,FALSE),0)</f>
        <v>0</v>
      </c>
      <c r="AP198" s="20">
        <f>IFERROR(VLOOKUP(Tableau5617192223242425262827293031333432353620383961719241822254140424344104746[[#This Row],[Num Projets]],#REF!,2,FALSE),0)</f>
        <v>0</v>
      </c>
      <c r="AQ198" s="20">
        <f>_xlfn.XLOOKUP(H198,[2]Synth!$N:$N,[2]Synth!$O:$O,0,FALSE)+_xlfn.XLOOKUP(Tableau5617192223242425262827293031333432353620383961719241822254140424344104746[[#This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8" s="21">
        <v>0</v>
      </c>
      <c r="AS198" s="20">
        <f>+IFERROR(VLOOKUP(H198,#REF!,36,FALSE),0)</f>
        <v>0</v>
      </c>
      <c r="AT19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8" s="22">
        <f>IF(AG198=0,0,1-((AI198+AM198+Tableau5617192223242425262827293031333432353620383961719241822254140424344104746[[#This Row],[Int Commandé OT
€]]+Tableau5617192223242425262827293031333432353620383961719241822254140424344104746[[#This Row],[RAF Int OT
€]])/AG198))</f>
        <v>0</v>
      </c>
      <c r="AV198" s="8">
        <f>IFERROR(VLOOKUP(H198,#REF!,4,FALSE),0)+IFERROR(VLOOKUP(H198,#REF!,4,FALSE),0)</f>
        <v>0</v>
      </c>
      <c r="AW198" s="194">
        <f>IFERROR(VLOOKUP(Tableau5617192223242425262827293031333432353620383961719241822254140424344104746[[#This Row],[Num Projets]],#REF!,3,FALSE),0)</f>
        <v>0</v>
      </c>
      <c r="AX198" s="95">
        <f>IFERROR(VLOOKUP(Tableau5617192223242425262827293031333432353620383961719241822254140424344104746[[#This Row],[Num Projets]],#REF!,10,FALSE),0)</f>
        <v>0</v>
      </c>
      <c r="AY198" s="23">
        <f>Tableau5617192223242425262827293031333432353620383961719241822254140424344104746[[#This Row],[Budget Mission
 €]]/1.2-AX198</f>
        <v>0</v>
      </c>
      <c r="AZ198" s="8">
        <f>IFERROR(VLOOKUP(H198,#REF!,43,FALSE),0)</f>
        <v>0</v>
      </c>
      <c r="BA198" s="8">
        <f>AX198-IFERROR(VLOOKUP(H198,#REF!,42,FALSE),0)</f>
        <v>0</v>
      </c>
      <c r="BB198" s="47">
        <f t="shared" si="60"/>
        <v>0</v>
      </c>
      <c r="BC198" s="24">
        <f>IFERROR(VLOOKUP(H198,#REF!,47,FALSE),IFERROR(VLOOKUP(H198,#REF!,5,FALSE),0)+IFERROR(VLOOKUP(H198,#REF!,5,FALSE),0))</f>
        <v>0</v>
      </c>
      <c r="BD198" s="25">
        <f>IFERROR(VLOOKUP(H198,#REF!,2,FALSE),0)</f>
        <v>0</v>
      </c>
      <c r="BE198" s="25">
        <f>IFERROR(VLOOKUP(H198,#REF!,49,FALSE),0)</f>
        <v>0</v>
      </c>
      <c r="BF198" s="50" t="e">
        <f t="shared" si="61"/>
        <v>#REF!</v>
      </c>
      <c r="BG198" s="50">
        <f t="shared" si="62"/>
        <v>0</v>
      </c>
      <c r="BH198" s="27">
        <f>AE198+ (AI198-AJ198+AM198+Tableau5617192223242425262827293031333432353620383961719241822254140424344104746[[#This Row],[Int Commandé OT
€]]-Tableau5617192223242425262827293031333432353620383961719241822254140424344104746[[#This Row],[Int Réalisé OT
€]]+AR198) +AY198+BC198</f>
        <v>910.47619047619037</v>
      </c>
      <c r="BI198" s="47">
        <f t="shared" si="63"/>
        <v>0</v>
      </c>
      <c r="BJ198" s="47" t="e">
        <f t="shared" si="64"/>
        <v>#REF!</v>
      </c>
      <c r="BK198" s="27" t="e">
        <f t="shared" si="68"/>
        <v>#REF!</v>
      </c>
      <c r="BL198" s="26" t="e">
        <f t="shared" si="69"/>
        <v>#REF!</v>
      </c>
      <c r="BM198" s="96">
        <f>IFERROR(VLOOKUP(H198,'[1]2023sep'!H:CA,54,FALSE),105)</f>
        <v>105</v>
      </c>
      <c r="BN198" s="29">
        <v>1</v>
      </c>
      <c r="BO198" s="30" t="e">
        <f>P198-AC198-AG198-AV198-Tableau5617192223242425262827293031333432353620383961719241822254140424344104746[[#This Row],[Provisions pour risques]]</f>
        <v>#REF!</v>
      </c>
      <c r="BP19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910.47619047619037</v>
      </c>
      <c r="BQ19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8" s="97" t="e">
        <f t="shared" si="65"/>
        <v>#REF!</v>
      </c>
      <c r="BS198" s="34">
        <f>Tableau5617192223242425262827293031333432353620383961719241822254140424344104746[[#This Row],[Consommé global Enregistré à date (€ HT)]]-IFERROR(VLOOKUP(H198,#REF!,50,FALSE),0)</f>
        <v>0</v>
      </c>
      <c r="BT198" s="35" t="e">
        <f t="shared" si="66"/>
        <v>#REF!</v>
      </c>
      <c r="BU198" s="36">
        <f>BD198-IFERROR(VLOOKUP(H198,#REF!,47,FALSE),0)</f>
        <v>0</v>
      </c>
      <c r="BV198" s="37" t="e">
        <f>+BF198+Tableau5617192223242425262827293031333432353620383961719241822254140424344104746[[#This Row],[CA fin N-1]]-IFERROR(VLOOKUP(H198,#REF!,49,FALSE),0)-IFERROR(VLOOKUP(H198,#REF!,50,FALSE),0)</f>
        <v>#REF!</v>
      </c>
      <c r="BW198" s="33">
        <f>BG198-IFERROR(VLOOKUP(H198,#REF!,51,FALSE),0)</f>
        <v>0</v>
      </c>
      <c r="BX198" s="35" t="e">
        <f t="shared" si="67"/>
        <v>#REF!</v>
      </c>
      <c r="BY198" s="36">
        <f>BD198-IFERROR(VLOOKUP(H198,#REF!,48,FALSE),0)</f>
        <v>0</v>
      </c>
      <c r="BZ19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8" s="39" t="e">
        <f>VLOOKUP(Tableau5617192223242425262827293031333432353620383961719241822254140424344104746[[#This Row],[Num Projets]],#REF!,1,FALSE)</f>
        <v>#REF!</v>
      </c>
      <c r="CB198" s="40">
        <v>19</v>
      </c>
      <c r="CC198" s="40">
        <v>4.761904761904745E-2</v>
      </c>
      <c r="CD19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-19</v>
      </c>
    </row>
    <row r="199" spans="1:82" x14ac:dyDescent="0.25">
      <c r="A199" s="311"/>
      <c r="B199" s="1"/>
      <c r="C199" s="2" t="e">
        <f>_xlfn.XLOOKUP(Tableau5617192223242425262827293031333432353620383961719241822254140424344104746[[#This Row],[Num Projets]],#REF!,#REF!,FALSE)</f>
        <v>#REF!</v>
      </c>
      <c r="D199" s="192" t="s">
        <v>6</v>
      </c>
      <c r="E199" s="3" t="e">
        <f>_xlfn.XLOOKUP(Tableau5617192223242425262827293031333432353620383961719241822254140424344104746[[#This Row],[Num Projets]],#REF!,#REF!,FALSE)</f>
        <v>#REF!</v>
      </c>
      <c r="F199" s="3" t="s">
        <v>70</v>
      </c>
      <c r="G199" s="3"/>
      <c r="H199" s="3" t="s">
        <v>355</v>
      </c>
      <c r="I199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199" s="4" t="e">
        <f>VLOOKUP(Tableau5617192223242425262827293031333432353620383961719241822254140424344104746[[#This Row],[Num Projets]],#REF!,36,FALSE)</f>
        <v>#REF!</v>
      </c>
      <c r="K199" s="5" t="s">
        <v>9</v>
      </c>
      <c r="L19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199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199" s="7" t="e">
        <f>VLOOKUP(H199,#REF!,7,FALSE)</f>
        <v>#REF!</v>
      </c>
      <c r="O199" s="7" t="e">
        <f>IF(VLOOKUP(H199,#REF!,27,FALSE)=0,"",VLOOKUP(H199,#REF!,27,FALSE))</f>
        <v>#REF!</v>
      </c>
      <c r="P199" s="8" t="e">
        <f>VLOOKUP(H199,#REF!,2,FALSE)</f>
        <v>#REF!</v>
      </c>
      <c r="Q199" s="9" t="e">
        <f>Tableau5617192223242425262827293031333432353620383961719241822254140424344104746[[#This Row],[Total Budget
€]]-IFERROR(VLOOKUP(H199,#REF!,8,FALSE),0)</f>
        <v>#REF!</v>
      </c>
      <c r="R199" s="10">
        <f>AD199+AI199+Tableau5617192223242425262827293031333432353620383961719241822254140424344104746[[#This Row],[Int Commandé OT
€]]+AX199</f>
        <v>0</v>
      </c>
      <c r="S199" s="10">
        <f>AD199+AJ199+Tableau5617192223242425262827293031333432353620383961719241822254140424344104746[[#This Row],[Int Réalisé OT
€]]+AX199</f>
        <v>0</v>
      </c>
      <c r="T199" s="11" t="e">
        <f t="shared" si="56"/>
        <v>#REF!</v>
      </c>
      <c r="U19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199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199" s="12" t="e">
        <f>Tableau5617192223242425262827293031333432353620383961719241822254140424344104746[[#This Row],[Budget Heures Valorisées
€]]/43</f>
        <v>#REF!</v>
      </c>
      <c r="X199" s="13">
        <f>IFERROR(VLOOKUP(H199,#REF!,2,FALSE),0)</f>
        <v>0</v>
      </c>
      <c r="Y199" s="13">
        <f>IFERROR(VLOOKUP(H199,#REF!,3,FALSE),0)</f>
        <v>0</v>
      </c>
      <c r="Z19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35</v>
      </c>
      <c r="AA199" s="13">
        <f>IFERROR(VLOOKUP(H199,#REF!,18,FALSE),0)</f>
        <v>0</v>
      </c>
      <c r="AB199" s="13">
        <f>SUM(X199:Y199)-IFERROR(VLOOKUP(H199,#REF!,16,FALSE),0)-IFERROR(VLOOKUP(H199,#REF!,17,FALSE),0)</f>
        <v>0</v>
      </c>
      <c r="AC199" s="15" t="e">
        <f>VLOOKUP(Tableau5617192223242425262827293031333432353620383961719241822254140424344104746[[#This Row],[Num Projets]],#REF!,2,FALSE)</f>
        <v>#REF!</v>
      </c>
      <c r="AD199" s="15">
        <f>IFERROR(VLOOKUP(Tableau5617192223242425262827293031333432353620383961719241822254140424344104746[[#This Row],[Num Projets]],#REF!,2,FALSE),0)</f>
        <v>0</v>
      </c>
      <c r="AE199" s="8">
        <f t="shared" si="57"/>
        <v>1673</v>
      </c>
      <c r="AF199" s="22" t="e">
        <f t="shared" si="58"/>
        <v>#REF!</v>
      </c>
      <c r="AG199" s="8">
        <f>IFERROR(VLOOKUP(H199,#REF!,3,FALSE),0)+IFERROR(VLOOKUP(H199,#REF!,3,FALSE),0)</f>
        <v>0</v>
      </c>
      <c r="AH199" s="8">
        <f>IFERROR(VLOOKUP(Tableau5617192223242425262827293031333432353620383961719241822254140424344104746[[#This Row],[Num Projets]],#REF!,2,FALSE),0)</f>
        <v>0</v>
      </c>
      <c r="AI199" s="17">
        <f>+IFERROR(VLOOKUP(H199,#REF!,2,FALSE),0)-Tableau5617192223242425262827293031333432353620383961719241822254140424344104746[[#This Row],[Int Commandé OT
€]]</f>
        <v>0</v>
      </c>
      <c r="AJ199" s="8">
        <f>IFERROR(VLOOKUP(H199,#REF!,11,FALSE),0)-IFERROR(VLOOKUP(H199,#REF!,10,FALSE),0)+Tableau5617192223242425262827293031333432353620383961719241822254140424344104746[[#This Row],[dont FNP à date (€ HT)]]</f>
        <v>0</v>
      </c>
      <c r="AK199" s="15">
        <f t="shared" si="59"/>
        <v>0</v>
      </c>
      <c r="AL19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199" s="19">
        <f>IF(Tableau5617192223242425262827293031333432353620383961719241822254140424344104746[[#This Row],[RAF Achats M-1
€]]=0,0,AN199-AO199)</f>
        <v>0</v>
      </c>
      <c r="AN199" s="8">
        <f>IFERROR(VLOOKUP(H199,#REF!,31,FALSE),0)</f>
        <v>0</v>
      </c>
      <c r="AO199" s="8">
        <f>AI199+-IFERROR(VLOOKUP(H199,#REF!,27,FALSE),0)</f>
        <v>0</v>
      </c>
      <c r="AP199" s="20">
        <f>IFERROR(VLOOKUP(Tableau5617192223242425262827293031333432353620383961719241822254140424344104746[[#This Row],[Num Projets]],#REF!,2,FALSE),0)</f>
        <v>0</v>
      </c>
      <c r="AQ199" s="20">
        <f>_xlfn.XLOOKUP(H199,[2]Synth!$N:$N,[2]Synth!$O:$O,0,FALSE)+_xlfn.XLOOKUP(Tableau5617192223242425262827293031333432353620383961719241822254140424344104746[[#This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199" s="21">
        <v>0</v>
      </c>
      <c r="AS199" s="20">
        <f>+IFERROR(VLOOKUP(H199,#REF!,36,FALSE),0)</f>
        <v>0</v>
      </c>
      <c r="AT19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199" s="22">
        <f>IF(AG199=0,0,1-((AI199+AM199+Tableau5617192223242425262827293031333432353620383961719241822254140424344104746[[#This Row],[Int Commandé OT
€]]+Tableau5617192223242425262827293031333432353620383961719241822254140424344104746[[#This Row],[RAF Int OT
€]])/AG199))</f>
        <v>0</v>
      </c>
      <c r="AV199" s="8">
        <f>IFERROR(VLOOKUP(H199,#REF!,4,FALSE),0)+IFERROR(VLOOKUP(H199,#REF!,4,FALSE),0)</f>
        <v>0</v>
      </c>
      <c r="AW199" s="194">
        <f>IFERROR(VLOOKUP(Tableau5617192223242425262827293031333432353620383961719241822254140424344104746[[#This Row],[Num Projets]],#REF!,3,FALSE),0)</f>
        <v>0</v>
      </c>
      <c r="AX199" s="95">
        <f>IFERROR(VLOOKUP(Tableau5617192223242425262827293031333432353620383961719241822254140424344104746[[#This Row],[Num Projets]],#REF!,10,FALSE),0)</f>
        <v>0</v>
      </c>
      <c r="AY199" s="23">
        <f>Tableau5617192223242425262827293031333432353620383961719241822254140424344104746[[#This Row],[Budget Mission
 €]]/1.2-AX199</f>
        <v>0</v>
      </c>
      <c r="AZ199" s="8">
        <f>IFERROR(VLOOKUP(H199,#REF!,43,FALSE),0)</f>
        <v>0</v>
      </c>
      <c r="BA199" s="8">
        <f>AX199-IFERROR(VLOOKUP(H199,#REF!,42,FALSE),0)</f>
        <v>0</v>
      </c>
      <c r="BB199" s="47">
        <f t="shared" si="60"/>
        <v>0</v>
      </c>
      <c r="BC199" s="24">
        <f>IFERROR(VLOOKUP(H199,#REF!,47,FALSE),IFERROR(VLOOKUP(H199,#REF!,5,FALSE),0)+IFERROR(VLOOKUP(H199,#REF!,5,FALSE),0))</f>
        <v>0</v>
      </c>
      <c r="BD199" s="25">
        <f>IFERROR(VLOOKUP(H199,#REF!,2,FALSE),0)</f>
        <v>0</v>
      </c>
      <c r="BE199" s="25">
        <f>IFERROR(VLOOKUP(H199,#REF!,49,FALSE),0)</f>
        <v>0</v>
      </c>
      <c r="BF199" s="50" t="e">
        <f t="shared" si="61"/>
        <v>#REF!</v>
      </c>
      <c r="BG199" s="50">
        <f t="shared" si="62"/>
        <v>0</v>
      </c>
      <c r="BH199" s="27">
        <f>AE199+ (AI199-AJ199+AM199+Tableau5617192223242425262827293031333432353620383961719241822254140424344104746[[#This Row],[Int Commandé OT
€]]-Tableau5617192223242425262827293031333432353620383961719241822254140424344104746[[#This Row],[Int Réalisé OT
€]]+AR199) +AY199+BC199</f>
        <v>1673</v>
      </c>
      <c r="BI199" s="47">
        <f t="shared" si="63"/>
        <v>0</v>
      </c>
      <c r="BJ199" s="47" t="e">
        <f t="shared" si="64"/>
        <v>#REF!</v>
      </c>
      <c r="BK199" s="27" t="e">
        <f t="shared" si="68"/>
        <v>#REF!</v>
      </c>
      <c r="BL199" s="26" t="e">
        <f t="shared" si="69"/>
        <v>#REF!</v>
      </c>
      <c r="BM199" s="96">
        <f>IFERROR(VLOOKUP(H199,'[1]2023sep'!H:CA,54,FALSE),105)</f>
        <v>105</v>
      </c>
      <c r="BN199" s="29">
        <v>1</v>
      </c>
      <c r="BO199" s="30" t="e">
        <f>P199-AC199-AG199-AV199-Tableau5617192223242425262827293031333432353620383961719241822254140424344104746[[#This Row],[Provisions pour risques]]</f>
        <v>#REF!</v>
      </c>
      <c r="BP19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1673</v>
      </c>
      <c r="BQ19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199" s="97" t="e">
        <f t="shared" si="65"/>
        <v>#REF!</v>
      </c>
      <c r="BS199" s="34">
        <f>Tableau5617192223242425262827293031333432353620383961719241822254140424344104746[[#This Row],[Consommé global Enregistré à date (€ HT)]]-IFERROR(VLOOKUP(H199,#REF!,50,FALSE),0)</f>
        <v>0</v>
      </c>
      <c r="BT199" s="35" t="e">
        <f t="shared" si="66"/>
        <v>#REF!</v>
      </c>
      <c r="BU199" s="36">
        <f>BD199-IFERROR(VLOOKUP(H199,#REF!,47,FALSE),0)</f>
        <v>0</v>
      </c>
      <c r="BV199" s="37" t="e">
        <f>+BF199+Tableau5617192223242425262827293031333432353620383961719241822254140424344104746[[#This Row],[CA fin N-1]]-IFERROR(VLOOKUP(H199,#REF!,49,FALSE),0)-IFERROR(VLOOKUP(H199,#REF!,50,FALSE),0)</f>
        <v>#REF!</v>
      </c>
      <c r="BW199" s="33">
        <f>BG199-IFERROR(VLOOKUP(H199,#REF!,51,FALSE),0)</f>
        <v>0</v>
      </c>
      <c r="BX199" s="35" t="e">
        <f t="shared" si="67"/>
        <v>#REF!</v>
      </c>
      <c r="BY199" s="36">
        <f>BD199-IFERROR(VLOOKUP(H199,#REF!,48,FALSE),0)</f>
        <v>0</v>
      </c>
      <c r="BZ19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199" s="39" t="e">
        <f>VLOOKUP(Tableau5617192223242425262827293031333432353620383961719241822254140424344104746[[#This Row],[Num Projets]],#REF!,1,FALSE)</f>
        <v>#REF!</v>
      </c>
      <c r="CB199" s="40">
        <v>21</v>
      </c>
      <c r="CC199" s="40">
        <v>14</v>
      </c>
      <c r="CD19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-21</v>
      </c>
    </row>
    <row r="200" spans="1:82" x14ac:dyDescent="0.25">
      <c r="A200" s="311"/>
      <c r="B200" s="1"/>
      <c r="C200" s="2" t="e">
        <f>_xlfn.XLOOKUP(Tableau5617192223242425262827293031333432353620383961719241822254140424344104746[[#This Row],[Num Projets]],#REF!,#REF!,FALSE)</f>
        <v>#REF!</v>
      </c>
      <c r="D200" s="192" t="s">
        <v>6</v>
      </c>
      <c r="E200" s="3" t="e">
        <f>_xlfn.XLOOKUP(Tableau5617192223242425262827293031333432353620383961719241822254140424344104746[[#This Row],[Num Projets]],#REF!,#REF!,FALSE)</f>
        <v>#REF!</v>
      </c>
      <c r="F200" s="3" t="s">
        <v>70</v>
      </c>
      <c r="G200" s="3"/>
      <c r="H200" s="3" t="s">
        <v>356</v>
      </c>
      <c r="I200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0" s="4" t="e">
        <f>VLOOKUP(Tableau5617192223242425262827293031333432353620383961719241822254140424344104746[[#This Row],[Num Projets]],#REF!,36,FALSE)</f>
        <v>#REF!</v>
      </c>
      <c r="K200" s="5" t="s">
        <v>9</v>
      </c>
      <c r="L20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0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0" s="7" t="e">
        <f>VLOOKUP(H200,#REF!,7,FALSE)</f>
        <v>#REF!</v>
      </c>
      <c r="O200" s="7" t="e">
        <f>IF(VLOOKUP(H200,#REF!,27,FALSE)=0,"",VLOOKUP(H200,#REF!,27,FALSE))</f>
        <v>#REF!</v>
      </c>
      <c r="P200" s="8" t="e">
        <f>VLOOKUP(H200,#REF!,2,FALSE)</f>
        <v>#REF!</v>
      </c>
      <c r="Q200" s="9" t="e">
        <f>Tableau5617192223242425262827293031333432353620383961719241822254140424344104746[[#This Row],[Total Budget
€]]-IFERROR(VLOOKUP(H200,#REF!,8,FALSE),0)</f>
        <v>#REF!</v>
      </c>
      <c r="R200" s="10">
        <f>AD200+AI200+Tableau5617192223242425262827293031333432353620383961719241822254140424344104746[[#This Row],[Int Commandé OT
€]]+AX200</f>
        <v>0</v>
      </c>
      <c r="S200" s="10">
        <f>AD200+AJ200+Tableau5617192223242425262827293031333432353620383961719241822254140424344104746[[#This Row],[Int Réalisé OT
€]]+AX200</f>
        <v>0</v>
      </c>
      <c r="T200" s="11" t="e">
        <f t="shared" si="56"/>
        <v>#REF!</v>
      </c>
      <c r="U20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0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0" s="12" t="e">
        <f>Tableau5617192223242425262827293031333432353620383961719241822254140424344104746[[#This Row],[Budget Heures Valorisées
€]]/105</f>
        <v>#REF!</v>
      </c>
      <c r="X200" s="13">
        <f>IFERROR(VLOOKUP(H200,#REF!,2,FALSE),0)</f>
        <v>0</v>
      </c>
      <c r="Y200" s="13">
        <f>IFERROR(VLOOKUP(H200,#REF!,3,FALSE),0)</f>
        <v>0</v>
      </c>
      <c r="Z20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33.333333333333336</v>
      </c>
      <c r="AA200" s="13">
        <f>IFERROR(VLOOKUP(H200,#REF!,18,FALSE),0)</f>
        <v>0</v>
      </c>
      <c r="AB200" s="13">
        <f>SUM(X200:Y200)-IFERROR(VLOOKUP(H200,#REF!,16,FALSE),0)-IFERROR(VLOOKUP(H200,#REF!,17,FALSE),0)</f>
        <v>0</v>
      </c>
      <c r="AC200" s="15" t="e">
        <f>VLOOKUP(Tableau5617192223242425262827293031333432353620383961719241822254140424344104746[[#This Row],[Num Projets]],#REF!,2,FALSE)</f>
        <v>#REF!</v>
      </c>
      <c r="AD200" s="15">
        <f>IFERROR(VLOOKUP(Tableau5617192223242425262827293031333432353620383961719241822254140424344104746[[#This Row],[Num Projets]],#REF!,2,FALSE),0)</f>
        <v>0</v>
      </c>
      <c r="AE200" s="8">
        <f t="shared" si="57"/>
        <v>1593.3333333333333</v>
      </c>
      <c r="AF200" s="22" t="e">
        <f t="shared" si="58"/>
        <v>#REF!</v>
      </c>
      <c r="AG200" s="8">
        <f>IFERROR(VLOOKUP(H200,#REF!,3,FALSE),0)+IFERROR(VLOOKUP(H200,#REF!,3,FALSE),0)</f>
        <v>0</v>
      </c>
      <c r="AH200" s="8">
        <f>IFERROR(VLOOKUP(Tableau5617192223242425262827293031333432353620383961719241822254140424344104746[[#This Row],[Num Projets]],#REF!,2,FALSE),0)</f>
        <v>0</v>
      </c>
      <c r="AI200" s="17">
        <f>+IFERROR(VLOOKUP(H200,#REF!,2,FALSE),0)-Tableau5617192223242425262827293031333432353620383961719241822254140424344104746[[#This Row],[Int Commandé OT
€]]</f>
        <v>0</v>
      </c>
      <c r="AJ200" s="8">
        <f>IFERROR(VLOOKUP(H200,#REF!,11,FALSE),0)-IFERROR(VLOOKUP(H200,#REF!,10,FALSE),0)+Tableau5617192223242425262827293031333432353620383961719241822254140424344104746[[#This Row],[dont FNP à date (€ HT)]]</f>
        <v>0</v>
      </c>
      <c r="AK200" s="15">
        <f t="shared" si="59"/>
        <v>0</v>
      </c>
      <c r="AL20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0" s="19">
        <f>IF(Tableau5617192223242425262827293031333432353620383961719241822254140424344104746[[#This Row],[RAF Achats M-1
€]]=0,0,AN200-AO200)</f>
        <v>0</v>
      </c>
      <c r="AN200" s="8">
        <f>IFERROR(VLOOKUP(H200,#REF!,31,FALSE),0)</f>
        <v>0</v>
      </c>
      <c r="AO200" s="8">
        <f>AI200+-IFERROR(VLOOKUP(H200,#REF!,27,FALSE),0)</f>
        <v>0</v>
      </c>
      <c r="AP200" s="20">
        <f>IFERROR(VLOOKUP(Tableau5617192223242425262827293031333432353620383961719241822254140424344104746[[#This Row],[Num Projets]],#REF!,2,FALSE),0)</f>
        <v>0</v>
      </c>
      <c r="AQ200" s="20">
        <f>_xlfn.XLOOKUP(H200,[2]Synth!$N:$N,[2]Synth!$O:$O,0,FALSE)+_xlfn.XLOOKUP(Tableau5617192223242425262827293031333432353620383961719241822254140424344104746[[#This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0" s="21">
        <v>0</v>
      </c>
      <c r="AS200" s="20">
        <f>+IFERROR(VLOOKUP(H200,#REF!,36,FALSE),0)</f>
        <v>0</v>
      </c>
      <c r="AT20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0" s="22">
        <f>IF(AG200=0,0,1-((AI200+AM200+Tableau5617192223242425262827293031333432353620383961719241822254140424344104746[[#This Row],[Int Commandé OT
€]]+Tableau5617192223242425262827293031333432353620383961719241822254140424344104746[[#This Row],[RAF Int OT
€]])/AG200))</f>
        <v>0</v>
      </c>
      <c r="AV200" s="8">
        <f>IFERROR(VLOOKUP(H200,#REF!,4,FALSE),0)+IFERROR(VLOOKUP(H200,#REF!,4,FALSE),0)</f>
        <v>0</v>
      </c>
      <c r="AW200" s="194">
        <f>IFERROR(VLOOKUP(Tableau5617192223242425262827293031333432353620383961719241822254140424344104746[[#This Row],[Num Projets]],#REF!,3,FALSE),0)</f>
        <v>0</v>
      </c>
      <c r="AX200" s="95">
        <f>IFERROR(VLOOKUP(Tableau5617192223242425262827293031333432353620383961719241822254140424344104746[[#This Row],[Num Projets]],#REF!,10,FALSE),0)</f>
        <v>0</v>
      </c>
      <c r="AY200" s="23">
        <f>Tableau5617192223242425262827293031333432353620383961719241822254140424344104746[[#This Row],[Budget Mission
 €]]/1.2-AX200</f>
        <v>0</v>
      </c>
      <c r="AZ200" s="8">
        <f>IFERROR(VLOOKUP(H200,#REF!,43,FALSE),0)</f>
        <v>0</v>
      </c>
      <c r="BA200" s="8">
        <f>AX200-IFERROR(VLOOKUP(H200,#REF!,42,FALSE),0)</f>
        <v>0</v>
      </c>
      <c r="BB200" s="47">
        <f t="shared" si="60"/>
        <v>0</v>
      </c>
      <c r="BC200" s="24">
        <f>IFERROR(VLOOKUP(H200,#REF!,47,FALSE),IFERROR(VLOOKUP(H200,#REF!,5,FALSE),0)+IFERROR(VLOOKUP(H200,#REF!,5,FALSE),0))</f>
        <v>0</v>
      </c>
      <c r="BD200" s="25">
        <f>IFERROR(VLOOKUP(H200,#REF!,2,FALSE),0)</f>
        <v>0</v>
      </c>
      <c r="BE200" s="25">
        <f>IFERROR(VLOOKUP(H200,#REF!,49,FALSE),0)</f>
        <v>0</v>
      </c>
      <c r="BF200" s="50" t="e">
        <f t="shared" si="61"/>
        <v>#REF!</v>
      </c>
      <c r="BG200" s="50">
        <f t="shared" si="62"/>
        <v>0</v>
      </c>
      <c r="BH200" s="27">
        <f>AE200+ (AI200-AJ200+AM200+Tableau5617192223242425262827293031333432353620383961719241822254140424344104746[[#This Row],[Int Commandé OT
€]]-Tableau5617192223242425262827293031333432353620383961719241822254140424344104746[[#This Row],[Int Réalisé OT
€]]+AR200) +AY200+BC200</f>
        <v>1593.3333333333333</v>
      </c>
      <c r="BI200" s="47">
        <f t="shared" si="63"/>
        <v>0</v>
      </c>
      <c r="BJ200" s="47" t="e">
        <f t="shared" si="64"/>
        <v>#REF!</v>
      </c>
      <c r="BK200" s="27" t="e">
        <f t="shared" si="68"/>
        <v>#REF!</v>
      </c>
      <c r="BL200" s="26" t="e">
        <f t="shared" si="69"/>
        <v>#REF!</v>
      </c>
      <c r="BM200" s="96">
        <f>IFERROR(VLOOKUP(H200,'[1]2023sep'!H:CA,54,FALSE),105)</f>
        <v>105</v>
      </c>
      <c r="BN200" s="29">
        <v>1</v>
      </c>
      <c r="BO200" s="30" t="e">
        <f>P200-AC200-AG200-AV200-Tableau5617192223242425262827293031333432353620383961719241822254140424344104746[[#This Row],[Provisions pour risques]]</f>
        <v>#REF!</v>
      </c>
      <c r="BP20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1593.3333333333333</v>
      </c>
      <c r="BQ20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0" s="97" t="e">
        <f t="shared" si="65"/>
        <v>#REF!</v>
      </c>
      <c r="BS200" s="34">
        <f>Tableau5617192223242425262827293031333432353620383961719241822254140424344104746[[#This Row],[Consommé global Enregistré à date (€ HT)]]-IFERROR(VLOOKUP(H200,#REF!,50,FALSE),0)</f>
        <v>0</v>
      </c>
      <c r="BT200" s="35" t="e">
        <f t="shared" si="66"/>
        <v>#REF!</v>
      </c>
      <c r="BU200" s="36">
        <f>BD200-IFERROR(VLOOKUP(H200,#REF!,47,FALSE),0)</f>
        <v>0</v>
      </c>
      <c r="BV200" s="37" t="e">
        <f>+BF200+Tableau5617192223242425262827293031333432353620383961719241822254140424344104746[[#This Row],[CA fin N-1]]-IFERROR(VLOOKUP(H200,#REF!,49,FALSE),0)-IFERROR(VLOOKUP(H200,#REF!,50,FALSE),0)</f>
        <v>#REF!</v>
      </c>
      <c r="BW200" s="33">
        <f>BG200-IFERROR(VLOOKUP(H200,#REF!,51,FALSE),0)</f>
        <v>0</v>
      </c>
      <c r="BX200" s="35" t="e">
        <f t="shared" si="67"/>
        <v>#REF!</v>
      </c>
      <c r="BY200" s="36">
        <f>BD200-IFERROR(VLOOKUP(H200,#REF!,48,FALSE),0)</f>
        <v>0</v>
      </c>
      <c r="BZ20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0" s="39" t="e">
        <f>VLOOKUP(Tableau5617192223242425262827293031333432353620383961719241822254140424344104746[[#This Row],[Num Projets]],#REF!,1,FALSE)</f>
        <v>#REF!</v>
      </c>
      <c r="CB200" s="40">
        <v>25.5</v>
      </c>
      <c r="CC200" s="40">
        <v>7.8333333333333357</v>
      </c>
      <c r="CD20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-25.5</v>
      </c>
    </row>
    <row r="201" spans="1:82" x14ac:dyDescent="0.25">
      <c r="A201" s="311"/>
      <c r="B201" s="1"/>
      <c r="C201" s="2" t="e">
        <f>_xlfn.XLOOKUP(Tableau5617192223242425262827293031333432353620383961719241822254140424344104746[[#This Row],[Num Projets]],#REF!,#REF!,FALSE)</f>
        <v>#REF!</v>
      </c>
      <c r="D201" s="3" t="s">
        <v>1</v>
      </c>
      <c r="E201" s="3" t="e">
        <f>_xlfn.XLOOKUP(Tableau5617192223242425262827293031333432353620383961719241822254140424344104746[[#This Row],[Num Projets]],#REF!,#REF!,FALSE)</f>
        <v>#REF!</v>
      </c>
      <c r="F201" s="3" t="s">
        <v>70</v>
      </c>
      <c r="G201" s="3" t="s">
        <v>2</v>
      </c>
      <c r="H201" s="3" t="s">
        <v>357</v>
      </c>
      <c r="I201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1" s="4" t="e">
        <f>VLOOKUP(Tableau5617192223242425262827293031333432353620383961719241822254140424344104746[[#This Row],[Num Projets]],#REF!,36,FALSE)</f>
        <v>#REF!</v>
      </c>
      <c r="K201" s="5" t="s">
        <v>4</v>
      </c>
      <c r="L20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1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1" s="7" t="e">
        <f>VLOOKUP(H201,#REF!,7,FALSE)</f>
        <v>#REF!</v>
      </c>
      <c r="O201" s="7" t="e">
        <f>IF(VLOOKUP(H201,#REF!,27,FALSE)=0,"",VLOOKUP(H201,#REF!,27,FALSE))</f>
        <v>#REF!</v>
      </c>
      <c r="P201" s="8" t="e">
        <f>VLOOKUP(H201,#REF!,2,FALSE)</f>
        <v>#REF!</v>
      </c>
      <c r="Q201" s="9" t="e">
        <f>Tableau5617192223242425262827293031333432353620383961719241822254140424344104746[[#This Row],[Total Budget
€]]-IFERROR(VLOOKUP(H201,#REF!,8,FALSE),0)</f>
        <v>#REF!</v>
      </c>
      <c r="R201" s="10">
        <f>AD201+AI201+Tableau5617192223242425262827293031333432353620383961719241822254140424344104746[[#This Row],[Int Commandé OT
€]]+AX201</f>
        <v>0</v>
      </c>
      <c r="S201" s="10">
        <f>AD201+AJ201+Tableau5617192223242425262827293031333432353620383961719241822254140424344104746[[#This Row],[Int Réalisé OT
€]]+AX201</f>
        <v>0</v>
      </c>
      <c r="T201" s="11" t="e">
        <f t="shared" si="56"/>
        <v>#REF!</v>
      </c>
      <c r="U20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1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1" s="12" t="e">
        <f>Tableau5617192223242425262827293031333432353620383961719241822254140424344104746[[#This Row],[Budget Heures Valorisées
€]]/105</f>
        <v>#REF!</v>
      </c>
      <c r="X201" s="13">
        <f>IFERROR(VLOOKUP(H201,#REF!,2,FALSE),0)</f>
        <v>0</v>
      </c>
      <c r="Y201" s="13">
        <f>IFERROR(VLOOKUP(H201,#REF!,3,FALSE),0)</f>
        <v>0</v>
      </c>
      <c r="Z20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40</v>
      </c>
      <c r="AA201" s="13">
        <f>IFERROR(VLOOKUP(H201,#REF!,18,FALSE),0)</f>
        <v>0</v>
      </c>
      <c r="AB201" s="13">
        <f>SUM(X201:Y201)-IFERROR(VLOOKUP(H201,#REF!,16,FALSE),0)-IFERROR(VLOOKUP(H201,#REF!,17,FALSE),0)</f>
        <v>0</v>
      </c>
      <c r="AC201" s="15" t="e">
        <f>VLOOKUP(Tableau5617192223242425262827293031333432353620383961719241822254140424344104746[[#This Row],[Num Projets]],#REF!,2,FALSE)</f>
        <v>#REF!</v>
      </c>
      <c r="AD201" s="15">
        <f>IFERROR(VLOOKUP(Tableau5617192223242425262827293031333432353620383961719241822254140424344104746[[#This Row],[Num Projets]],#REF!,2,FALSE),0)</f>
        <v>0</v>
      </c>
      <c r="AE201" s="8">
        <f t="shared" si="57"/>
        <v>1912</v>
      </c>
      <c r="AF201" s="22" t="e">
        <f t="shared" si="58"/>
        <v>#REF!</v>
      </c>
      <c r="AG201" s="41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</f>
        <v>#REF!</v>
      </c>
      <c r="AH201" s="8">
        <f>IFERROR(VLOOKUP(Tableau5617192223242425262827293031333432353620383961719241822254140424344104746[[#This Row],[Num Projets]],#REF!,2,FALSE),0)</f>
        <v>0</v>
      </c>
      <c r="AI201" s="17">
        <f>+IFERROR(VLOOKUP(H201,#REF!,2,FALSE),0)-Tableau5617192223242425262827293031333432353620383961719241822254140424344104746[[#This Row],[Int Commandé OT
€]]</f>
        <v>0</v>
      </c>
      <c r="AJ201" s="8">
        <f>IFERROR(VLOOKUP(H201,#REF!,11,FALSE),0)-IFERROR(VLOOKUP(H201,#REF!,10,FALSE),0)+Tableau5617192223242425262827293031333432353620383961719241822254140424344104746[[#This Row],[dont FNP à date (€ HT)]]</f>
        <v>0</v>
      </c>
      <c r="AK201" s="15">
        <f t="shared" si="59"/>
        <v>0</v>
      </c>
      <c r="AL20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1" s="19">
        <f>IF(Tableau5617192223242425262827293031333432353620383961719241822254140424344104746[[#This Row],[RAF Achats M-1
€]]=0,0,AN201-AO201)</f>
        <v>0</v>
      </c>
      <c r="AN201" s="8">
        <f>IFERROR(VLOOKUP(H201,#REF!,31,FALSE),0)</f>
        <v>0</v>
      </c>
      <c r="AO201" s="8">
        <f>AI201+-IFERROR(VLOOKUP(H201,#REF!,27,FALSE),0)</f>
        <v>0</v>
      </c>
      <c r="AP201" s="20">
        <f>IFERROR(VLOOKUP(Tableau5617192223242425262827293031333432353620383961719241822254140424344104746[[#This Row],[Num Projets]],#REF!,2,FALSE),0)</f>
        <v>0</v>
      </c>
      <c r="AQ201" s="20">
        <f>_xlfn.XLOOKUP(H201,[2]Synth!$N:$N,[2]Synth!$O:$O,0,FALSE)+_xlfn.XLOOKUP(Tableau5617192223242425262827293031333432353620383961719241822254140424344104746[[#This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1" s="21">
        <v>0</v>
      </c>
      <c r="AS201" s="20">
        <f>+IFERROR(VLOOKUP(H201,#REF!,36,FALSE),0)</f>
        <v>0</v>
      </c>
      <c r="AT20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1" s="22" t="e">
        <f>IF(AG201=0,0,1-((AI201+AM201+Tableau5617192223242425262827293031333432353620383961719241822254140424344104746[[#This Row],[Int Commandé OT
€]]+Tableau5617192223242425262827293031333432353620383961719241822254140424344104746[[#This Row],[RAF Int OT
€]])/AG201))</f>
        <v>#REF!</v>
      </c>
      <c r="AV201" s="8">
        <f>IFERROR(VLOOKUP(H201,#REF!,4,FALSE),0)+IFERROR(VLOOKUP(H201,#REF!,4,FALSE),0)</f>
        <v>0</v>
      </c>
      <c r="AW201" s="194">
        <f>IFERROR(VLOOKUP(Tableau5617192223242425262827293031333432353620383961719241822254140424344104746[[#This Row],[Num Projets]],#REF!,3,FALSE),0)</f>
        <v>0</v>
      </c>
      <c r="AX201" s="95">
        <f>IFERROR(VLOOKUP(Tableau5617192223242425262827293031333432353620383961719241822254140424344104746[[#This Row],[Num Projets]],#REF!,10,FALSE),0)</f>
        <v>0</v>
      </c>
      <c r="AY201" s="23">
        <f>Tableau5617192223242425262827293031333432353620383961719241822254140424344104746[[#This Row],[Budget Mission
 €]]/1.2-AX201</f>
        <v>0</v>
      </c>
      <c r="AZ201" s="8">
        <f>IFERROR(VLOOKUP(H201,#REF!,43,FALSE),0)</f>
        <v>0</v>
      </c>
      <c r="BA201" s="8">
        <f>AX201-IFERROR(VLOOKUP(H201,#REF!,42,FALSE),0)</f>
        <v>0</v>
      </c>
      <c r="BB201" s="47">
        <f t="shared" si="60"/>
        <v>0</v>
      </c>
      <c r="BC201" s="24">
        <f>IFERROR(VLOOKUP(H201,#REF!,47,FALSE),IFERROR(VLOOKUP(H201,#REF!,5,FALSE),0)+IFERROR(VLOOKUP(H201,#REF!,5,FALSE),0))</f>
        <v>0</v>
      </c>
      <c r="BD201" s="25">
        <f>IFERROR(VLOOKUP(H201,#REF!,2,FALSE),0)</f>
        <v>0</v>
      </c>
      <c r="BE201" s="25">
        <f>IFERROR(VLOOKUP(H201,#REF!,49,FALSE),0)</f>
        <v>0</v>
      </c>
      <c r="BF201" s="50" t="e">
        <f t="shared" si="61"/>
        <v>#REF!</v>
      </c>
      <c r="BG201" s="50">
        <f t="shared" si="62"/>
        <v>0</v>
      </c>
      <c r="BH201" s="27">
        <f>AE201+ (AI201-AJ201+AM201+Tableau5617192223242425262827293031333432353620383961719241822254140424344104746[[#This Row],[Int Commandé OT
€]]-Tableau5617192223242425262827293031333432353620383961719241822254140424344104746[[#This Row],[Int Réalisé OT
€]]+AR201) +AY201+BC201</f>
        <v>1912</v>
      </c>
      <c r="BI201" s="47">
        <f t="shared" si="63"/>
        <v>0</v>
      </c>
      <c r="BJ201" s="47" t="e">
        <f t="shared" si="64"/>
        <v>#REF!</v>
      </c>
      <c r="BK201" s="27" t="e">
        <f t="shared" si="68"/>
        <v>#REF!</v>
      </c>
      <c r="BL201" s="26" t="e">
        <f t="shared" si="69"/>
        <v>#REF!</v>
      </c>
      <c r="BM201" s="96">
        <f>IFERROR(VLOOKUP(H201,'[1]2023sep'!H:CA,54,FALSE),105)</f>
        <v>105</v>
      </c>
      <c r="BN201" s="29">
        <v>1</v>
      </c>
      <c r="BO201" s="30" t="e">
        <f>P201-AC201-AG201-AV201-Tableau5617192223242425262827293031333432353620383961719241822254140424344104746[[#This Row],[Provisions pour risques]]</f>
        <v>#REF!</v>
      </c>
      <c r="BP20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1912</v>
      </c>
      <c r="BQ20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1" s="97" t="e">
        <f t="shared" si="65"/>
        <v>#REF!</v>
      </c>
      <c r="BS201" s="34">
        <f>Tableau5617192223242425262827293031333432353620383961719241822254140424344104746[[#This Row],[Consommé global Enregistré à date (€ HT)]]-IFERROR(VLOOKUP(H201,#REF!,50,FALSE),0)</f>
        <v>0</v>
      </c>
      <c r="BT201" s="35" t="e">
        <f t="shared" si="66"/>
        <v>#REF!</v>
      </c>
      <c r="BU201" s="36">
        <f>BD201-IFERROR(VLOOKUP(H201,#REF!,47,FALSE),0)</f>
        <v>0</v>
      </c>
      <c r="BV201" s="37" t="e">
        <f>+BF201+Tableau5617192223242425262827293031333432353620383961719241822254140424344104746[[#This Row],[CA fin N-1]]-IFERROR(VLOOKUP(H201,#REF!,49,FALSE),0)-IFERROR(VLOOKUP(H201,#REF!,50,FALSE),0)</f>
        <v>#REF!</v>
      </c>
      <c r="BW201" s="33">
        <f>BG201-IFERROR(VLOOKUP(H201,#REF!,51,FALSE),0)</f>
        <v>0</v>
      </c>
      <c r="BX201" s="35" t="e">
        <f t="shared" si="67"/>
        <v>#REF!</v>
      </c>
      <c r="BY201" s="36">
        <f>BD201-IFERROR(VLOOKUP(H201,#REF!,48,FALSE),0)</f>
        <v>0</v>
      </c>
      <c r="BZ20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1" s="39" t="e">
        <f>VLOOKUP(Tableau5617192223242425262827293031333432353620383961719241822254140424344104746[[#This Row],[Num Projets]],#REF!,1,FALSE)</f>
        <v>#REF!</v>
      </c>
      <c r="CB201" s="40">
        <v>40</v>
      </c>
      <c r="CC201" s="40">
        <v>0</v>
      </c>
      <c r="CD20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-40</v>
      </c>
    </row>
    <row r="202" spans="1:82" x14ac:dyDescent="0.25">
      <c r="A202" s="4"/>
      <c r="B202" s="1"/>
      <c r="C202" s="2" t="e">
        <f>_xlfn.XLOOKUP(Tableau5617192223242425262827293031333432353620383961719241822254140424344104746[[#This Row],[Num Projets]],#REF!,#REF!,FALSE)</f>
        <v>#REF!</v>
      </c>
      <c r="D202" s="224" t="s">
        <v>40</v>
      </c>
      <c r="E202" s="3" t="e">
        <f>_xlfn.XLOOKUP(Tableau5617192223242425262827293031333432353620383961719241822254140424344104746[[#This Row],[Num Projets]],#REF!,#REF!,FALSE)</f>
        <v>#REF!</v>
      </c>
      <c r="F202" s="3" t="s">
        <v>41</v>
      </c>
      <c r="G202" s="224"/>
      <c r="H202" s="3" t="s">
        <v>358</v>
      </c>
      <c r="I202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2" s="225" t="e">
        <f>VLOOKUP(Tableau5617192223242425262827293031333432353620383961719241822254140424344104746[[#This Row],[Num Projets]],#REF!,36,FALSE)</f>
        <v>#REF!</v>
      </c>
      <c r="K202" s="5" t="s">
        <v>21</v>
      </c>
      <c r="L20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2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2" s="7" t="e">
        <f>VLOOKUP(H202,#REF!,7,FALSE)</f>
        <v>#REF!</v>
      </c>
      <c r="O202" s="7" t="e">
        <f>IF(VLOOKUP(H202,#REF!,27,FALSE)=0,"",VLOOKUP(H202,#REF!,27,FALSE))</f>
        <v>#REF!</v>
      </c>
      <c r="P202" s="8" t="e">
        <f>VLOOKUP(H202,#REF!,2,FALSE)</f>
        <v>#REF!</v>
      </c>
      <c r="Q202" s="9" t="e">
        <f>Tableau5617192223242425262827293031333432353620383961719241822254140424344104746[[#This Row],[Total Budget
€]]-IFERROR(VLOOKUP(H202,#REF!,8,FALSE),0)</f>
        <v>#REF!</v>
      </c>
      <c r="R202" s="10">
        <f>AD202+AI202+Tableau5617192223242425262827293031333432353620383961719241822254140424344104746[[#This Row],[Int Commandé OT
€]]+AX202</f>
        <v>0</v>
      </c>
      <c r="S202" s="10">
        <f>AD202+AJ202+Tableau5617192223242425262827293031333432353620383961719241822254140424344104746[[#This Row],[Int Réalisé OT
€]]+AX202</f>
        <v>1177.4015268557634</v>
      </c>
      <c r="T202" s="11" t="e">
        <f t="shared" si="56"/>
        <v>#REF!</v>
      </c>
      <c r="U20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2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2" s="12" t="e">
        <f>Tableau5617192223242425262827293031333432353620383961719241822254140424344104746[[#This Row],[Budget Heures Valorisées
€]]/105</f>
        <v>#REF!</v>
      </c>
      <c r="X202" s="13">
        <f>IFERROR(VLOOKUP(H202,#REF!,2,FALSE),0)</f>
        <v>0</v>
      </c>
      <c r="Y202" s="13">
        <f>IFERROR(VLOOKUP(H202,#REF!,3,FALSE),0)</f>
        <v>0</v>
      </c>
      <c r="Z20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202" s="13">
        <f>IFERROR(VLOOKUP(H202,#REF!,18,FALSE),0)</f>
        <v>0</v>
      </c>
      <c r="AB202" s="13">
        <f>SUM(X202:Y202)-IFERROR(VLOOKUP(H202,#REF!,16,FALSE),0)-IFERROR(VLOOKUP(H202,#REF!,17,FALSE),0)</f>
        <v>0</v>
      </c>
      <c r="AC202" s="15" t="e">
        <f>VLOOKUP(Tableau5617192223242425262827293031333432353620383961719241822254140424344104746[[#This Row],[Num Projets]],#REF!,2,FALSE)</f>
        <v>#REF!</v>
      </c>
      <c r="AD202" s="15">
        <f>IFERROR(VLOOKUP(Tableau5617192223242425262827293031333432353620383961719241822254140424344104746[[#This Row],[Num Projets]],#REF!,2,FALSE),0)</f>
        <v>0</v>
      </c>
      <c r="AE202" s="8">
        <f t="shared" si="57"/>
        <v>0</v>
      </c>
      <c r="AF202" s="22" t="e">
        <f t="shared" si="58"/>
        <v>#REF!</v>
      </c>
      <c r="AG202" s="8">
        <f>IFERROR(VLOOKUP(H202,#REF!,3,FALSE),0)+IFERROR(VLOOKUP(H202,#REF!,3,FALSE),0)</f>
        <v>0</v>
      </c>
      <c r="AH202" s="8">
        <f>IFERROR(VLOOKUP(Tableau5617192223242425262827293031333432353620383961719241822254140424344104746[[#This Row],[Num Projets]],#REF!,2,FALSE),0)</f>
        <v>0</v>
      </c>
      <c r="AI202" s="17">
        <f>+IFERROR(VLOOKUP(H202,#REF!,2,FALSE),0)-Tableau5617192223242425262827293031333432353620383961719241822254140424344104746[[#This Row],[Int Commandé OT
€]]</f>
        <v>0</v>
      </c>
      <c r="AJ202" s="8">
        <f>IFERROR(VLOOKUP(H202,#REF!,11,FALSE),0)-IFERROR(VLOOKUP(H202,#REF!,10,FALSE),0)+Tableau5617192223242425262827293031333432353620383961719241822254140424344104746[[#This Row],[dont FNP à date (€ HT)]]</f>
        <v>0</v>
      </c>
      <c r="AK202" s="15">
        <f t="shared" si="59"/>
        <v>0</v>
      </c>
      <c r="AL20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2" s="19">
        <v>0</v>
      </c>
      <c r="AN202" s="8">
        <f>IFERROR(VLOOKUP(H202,#REF!,31,FALSE),0)</f>
        <v>0</v>
      </c>
      <c r="AO202" s="8">
        <f>AI202+-IFERROR(VLOOKUP(H202,#REF!,27,FALSE),0)</f>
        <v>0</v>
      </c>
      <c r="AP202" s="20">
        <f>IFERROR(VLOOKUP(Tableau5617192223242425262827293031333432353620383961719241822254140424344104746[[#This Row],[Num Projets]],#REF!,2,FALSE),0)</f>
        <v>0</v>
      </c>
      <c r="AQ202" s="20">
        <f>_xlfn.XLOOKUP(H202,[2]Synth!$N:$N,[2]Synth!$O:$O,0,FALSE)+_xlfn.XLOOKUP(Tableau5617192223242425262827293031333432353620383961719241822254140424344104746[[#This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1177.4015268557634</v>
      </c>
      <c r="AR202" s="21">
        <v>0</v>
      </c>
      <c r="AS202" s="20">
        <f>+IFERROR(VLOOKUP(H202,#REF!,36,FALSE),0)</f>
        <v>0</v>
      </c>
      <c r="AT20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2" s="22">
        <f>IF(AG202=0,0,1-((AI202+AM202+Tableau5617192223242425262827293031333432353620383961719241822254140424344104746[[#This Row],[Int Commandé OT
€]]+Tableau5617192223242425262827293031333432353620383961719241822254140424344104746[[#This Row],[RAF Int OT
€]])/AG202))</f>
        <v>0</v>
      </c>
      <c r="AV202" s="8">
        <f>IFERROR(VLOOKUP(H202,#REF!,4,FALSE),0)+IFERROR(VLOOKUP(H202,#REF!,4,FALSE),0)</f>
        <v>0</v>
      </c>
      <c r="AW202" s="194">
        <f>IFERROR(VLOOKUP(Tableau5617192223242425262827293031333432353620383961719241822254140424344104746[[#This Row],[Num Projets]],#REF!,3,FALSE),0)</f>
        <v>0</v>
      </c>
      <c r="AX202" s="95">
        <f>IFERROR(VLOOKUP(Tableau5617192223242425262827293031333432353620383961719241822254140424344104746[[#This Row],[Num Projets]],#REF!,10,FALSE),0)</f>
        <v>0</v>
      </c>
      <c r="AY202" s="23">
        <f>Tableau5617192223242425262827293031333432353620383961719241822254140424344104746[[#This Row],[Budget Mission
 €]]/1.2-AX202</f>
        <v>0</v>
      </c>
      <c r="AZ202" s="8">
        <f>IFERROR(VLOOKUP(H202,#REF!,43,FALSE),0)</f>
        <v>0</v>
      </c>
      <c r="BA202" s="8">
        <f>AX202-IFERROR(VLOOKUP(H202,#REF!,42,FALSE),0)</f>
        <v>0</v>
      </c>
      <c r="BB202" s="47">
        <f t="shared" si="60"/>
        <v>0</v>
      </c>
      <c r="BC202" s="24">
        <f>IFERROR(VLOOKUP(H202,#REF!,47,FALSE),IFERROR(VLOOKUP(H202,#REF!,5,FALSE),0)+IFERROR(VLOOKUP(H202,#REF!,5,FALSE),0))</f>
        <v>0</v>
      </c>
      <c r="BD202" s="25">
        <f>IFERROR(VLOOKUP(H202,#REF!,2,FALSE),0)</f>
        <v>0</v>
      </c>
      <c r="BE202" s="25">
        <f>IFERROR(VLOOKUP(H202,#REF!,49,FALSE),0)</f>
        <v>0</v>
      </c>
      <c r="BF202" s="50" t="e">
        <f t="shared" si="61"/>
        <v>#REF!</v>
      </c>
      <c r="BG202" s="50">
        <f t="shared" si="62"/>
        <v>1177.4015268557634</v>
      </c>
      <c r="BH202" s="27">
        <f>AE202+ (AI202-AJ202+AM202+Tableau5617192223242425262827293031333432353620383961719241822254140424344104746[[#This Row],[Int Commandé OT
€]]-Tableau5617192223242425262827293031333432353620383961719241822254140424344104746[[#This Row],[Int Réalisé OT
€]]+AR202) +AY202+BC202</f>
        <v>-1177.4015268557634</v>
      </c>
      <c r="BI202" s="47">
        <f t="shared" si="63"/>
        <v>1</v>
      </c>
      <c r="BJ202" s="47" t="e">
        <f t="shared" si="64"/>
        <v>#REF!</v>
      </c>
      <c r="BK202" s="27" t="e">
        <f t="shared" si="68"/>
        <v>#REF!</v>
      </c>
      <c r="BL202" s="26" t="e">
        <f t="shared" si="69"/>
        <v>#REF!</v>
      </c>
      <c r="BM202" s="96">
        <f>IFERROR(VLOOKUP(H202,'[1]2023sep'!H:CA,54,FALSE),105)</f>
        <v>105</v>
      </c>
      <c r="BN202" s="29">
        <v>1</v>
      </c>
      <c r="BO202" s="30" t="e">
        <f>P202-AC202-AG202-AV202-Tableau5617192223242425262827293031333432353620383961719241822254140424344104746[[#This Row],[Provisions pour risques]]</f>
        <v>#REF!</v>
      </c>
      <c r="BP20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20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202" s="97" t="e">
        <f t="shared" si="65"/>
        <v>#REF!</v>
      </c>
      <c r="BS202" s="34">
        <f>Tableau5617192223242425262827293031333432353620383961719241822254140424344104746[[#This Row],[Consommé global Enregistré à date (€ HT)]]-IFERROR(VLOOKUP(H202,#REF!,50,FALSE),0)</f>
        <v>1177.4015268557634</v>
      </c>
      <c r="BT202" s="35" t="e">
        <f t="shared" si="66"/>
        <v>#REF!</v>
      </c>
      <c r="BU202" s="36">
        <f>BD202-IFERROR(VLOOKUP(H202,#REF!,47,FALSE),0)</f>
        <v>0</v>
      </c>
      <c r="BV202" s="37" t="e">
        <f>+BF202+Tableau5617192223242425262827293031333432353620383961719241822254140424344104746[[#This Row],[CA fin N-1]]-IFERROR(VLOOKUP(H202,#REF!,49,FALSE),0)-IFERROR(VLOOKUP(H202,#REF!,50,FALSE),0)</f>
        <v>#REF!</v>
      </c>
      <c r="BW202" s="33">
        <f>BG202-IFERROR(VLOOKUP(H202,#REF!,51,FALSE),0)</f>
        <v>1177.4015268557634</v>
      </c>
      <c r="BX202" s="35" t="e">
        <f t="shared" si="67"/>
        <v>#REF!</v>
      </c>
      <c r="BY202" s="36">
        <f>BD202-IFERROR(VLOOKUP(H202,#REF!,48,FALSE),0)</f>
        <v>0</v>
      </c>
      <c r="BZ20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2" s="39" t="e">
        <f>VLOOKUP(Tableau5617192223242425262827293031333432353620383961719241822254140424344104746[[#This Row],[Num Projets]],#REF!,1,FALSE)</f>
        <v>#REF!</v>
      </c>
      <c r="CB202" s="40">
        <v>0</v>
      </c>
      <c r="CC202" s="40">
        <v>0</v>
      </c>
      <c r="CD20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03" spans="1:82" x14ac:dyDescent="0.25">
      <c r="A203" s="322"/>
      <c r="B203" s="1"/>
      <c r="C203" s="2" t="e">
        <f>_xlfn.XLOOKUP(Tableau5617192223242425262827293031333432353620383961719241822254140424344104746[[#This Row],[Num Projets]],#REF!,#REF!,FALSE)</f>
        <v>#REF!</v>
      </c>
      <c r="D203" s="192" t="s">
        <v>6</v>
      </c>
      <c r="E203" s="196" t="e">
        <f>_xlfn.XLOOKUP(Tableau5617192223242425262827293031333432353620383961719241822254140424344104746[[#This Row],[Num Projets]],#REF!,#REF!,FALSE)</f>
        <v>#REF!</v>
      </c>
      <c r="F203" s="196" t="s">
        <v>70</v>
      </c>
      <c r="G203" s="3"/>
      <c r="H203" s="196" t="s">
        <v>359</v>
      </c>
      <c r="I203" s="226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3" s="4" t="e">
        <f>VLOOKUP(Tableau5617192223242425262827293031333432353620383961719241822254140424344104746[[#This Row],[Num Projets]],#REF!,36,FALSE)</f>
        <v>#REF!</v>
      </c>
      <c r="K203" s="227" t="s">
        <v>9</v>
      </c>
      <c r="L203" s="228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3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3" s="7" t="e">
        <f>VLOOKUP(H203,#REF!,7,FALSE)</f>
        <v>#REF!</v>
      </c>
      <c r="O203" s="7" t="e">
        <f>IF(VLOOKUP(H203,#REF!,27,FALSE)=0,"",VLOOKUP(H203,#REF!,27,FALSE))</f>
        <v>#REF!</v>
      </c>
      <c r="P203" s="8" t="e">
        <f>VLOOKUP(H203,#REF!,2,FALSE)</f>
        <v>#REF!</v>
      </c>
      <c r="Q203" s="9" t="e">
        <f>Tableau5617192223242425262827293031333432353620383961719241822254140424344104746[[#This Row],[Total Budget
€]]-IFERROR(VLOOKUP(H203,#REF!,8,FALSE),0)</f>
        <v>#REF!</v>
      </c>
      <c r="R203" s="10">
        <f>AD203+AI203+Tableau5617192223242425262827293031333432353620383961719241822254140424344104746[[#This Row],[Int Commandé OT
€]]+AX203</f>
        <v>0</v>
      </c>
      <c r="S203" s="10">
        <f>AD203+AJ203+Tableau5617192223242425262827293031333432353620383961719241822254140424344104746[[#This Row],[Int Réalisé OT
€]]+AX203</f>
        <v>0</v>
      </c>
      <c r="T203" s="11" t="e">
        <f t="shared" si="56"/>
        <v>#REF!</v>
      </c>
      <c r="U20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3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3" s="12" t="e">
        <f>Tableau5617192223242425262827293031333432353620383961719241822254140424344104746[[#This Row],[Budget Heures Valorisées
€]]/105</f>
        <v>#REF!</v>
      </c>
      <c r="X203" s="13">
        <f>IFERROR(VLOOKUP(H203,#REF!,2,FALSE),0)</f>
        <v>0</v>
      </c>
      <c r="Y203" s="13">
        <f>IFERROR(VLOOKUP(H203,#REF!,3,FALSE),0)</f>
        <v>0</v>
      </c>
      <c r="Z20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24.61904761904762</v>
      </c>
      <c r="AA203" s="13">
        <f>IFERROR(VLOOKUP(H203,#REF!,18,FALSE),0)</f>
        <v>0</v>
      </c>
      <c r="AB203" s="13">
        <f>SUM(X203:Y203)-IFERROR(VLOOKUP(H203,#REF!,16,FALSE),0)-IFERROR(VLOOKUP(H203,#REF!,17,FALSE),0)</f>
        <v>0</v>
      </c>
      <c r="AC203" s="15" t="e">
        <f>VLOOKUP(Tableau5617192223242425262827293031333432353620383961719241822254140424344104746[[#This Row],[Num Projets]],#REF!,2,FALSE)</f>
        <v>#REF!</v>
      </c>
      <c r="AD203" s="15">
        <f>IFERROR(VLOOKUP(Tableau5617192223242425262827293031333432353620383961719241822254140424344104746[[#This Row],[Num Projets]],#REF!,2,FALSE),0)</f>
        <v>0</v>
      </c>
      <c r="AE203" s="8">
        <f t="shared" si="57"/>
        <v>1176.7904761904763</v>
      </c>
      <c r="AF203" s="22" t="e">
        <f t="shared" si="58"/>
        <v>#REF!</v>
      </c>
      <c r="AG203" s="8">
        <f>IFERROR(VLOOKUP(H203,#REF!,3,FALSE),0)+IFERROR(VLOOKUP(H203,#REF!,3,FALSE),0)</f>
        <v>0</v>
      </c>
      <c r="AH203" s="8">
        <f>IFERROR(VLOOKUP(Tableau5617192223242425262827293031333432353620383961719241822254140424344104746[[#This Row],[Num Projets]],#REF!,2,FALSE),0)</f>
        <v>0</v>
      </c>
      <c r="AI203" s="17">
        <f>+IFERROR(VLOOKUP(H203,#REF!,2,FALSE),0)-Tableau5617192223242425262827293031333432353620383961719241822254140424344104746[[#This Row],[Int Commandé OT
€]]</f>
        <v>0</v>
      </c>
      <c r="AJ203" s="8">
        <f>IFERROR(VLOOKUP(H203,#REF!,11,FALSE),0)-IFERROR(VLOOKUP(H203,#REF!,10,FALSE),0)+Tableau5617192223242425262827293031333432353620383961719241822254140424344104746[[#This Row],[dont FNP à date (€ HT)]]</f>
        <v>0</v>
      </c>
      <c r="AK203" s="15">
        <f t="shared" si="59"/>
        <v>0</v>
      </c>
      <c r="AL203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3" s="19">
        <f>IF(Tableau5617192223242425262827293031333432353620383961719241822254140424344104746[[#This Row],[RAF Achats M-1
€]]=0,0,AN203-AO203)</f>
        <v>0</v>
      </c>
      <c r="AN203" s="8">
        <f>IFERROR(VLOOKUP(H203,#REF!,31,FALSE),0)</f>
        <v>0</v>
      </c>
      <c r="AO203" s="8">
        <f>AI203+-IFERROR(VLOOKUP(H203,#REF!,27,FALSE),0)</f>
        <v>0</v>
      </c>
      <c r="AP203" s="20">
        <f>IFERROR(VLOOKUP(Tableau5617192223242425262827293031333432353620383961719241822254140424344104746[[#This Row],[Num Projets]],#REF!,2,FALSE),0)</f>
        <v>0</v>
      </c>
      <c r="AQ203" s="20">
        <f>_xlfn.XLOOKUP(H203,[2]Synth!$N:$N,[2]Synth!$O:$O,0,FALSE)+_xlfn.XLOOKUP(Tableau5617192223242425262827293031333432353620383961719241822254140424344104746[[#This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3" s="21">
        <v>0</v>
      </c>
      <c r="AS203" s="20">
        <f>+IFERROR(VLOOKUP(H203,#REF!,36,FALSE),0)</f>
        <v>0</v>
      </c>
      <c r="AT20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3" s="22">
        <f>IF(AG203=0,0,1-((AI203+AM203+Tableau5617192223242425262827293031333432353620383961719241822254140424344104746[[#This Row],[Int Commandé OT
€]]+Tableau5617192223242425262827293031333432353620383961719241822254140424344104746[[#This Row],[RAF Int OT
€]])/AG203))</f>
        <v>0</v>
      </c>
      <c r="AV203" s="8">
        <f>IFERROR(VLOOKUP(H203,#REF!,4,FALSE),0)+IFERROR(VLOOKUP(H203,#REF!,4,FALSE),0)</f>
        <v>0</v>
      </c>
      <c r="AW203" s="194">
        <f>IFERROR(VLOOKUP(Tableau5617192223242425262827293031333432353620383961719241822254140424344104746[[#This Row],[Num Projets]],#REF!,3,FALSE),0)</f>
        <v>0</v>
      </c>
      <c r="AX203" s="95">
        <f>IFERROR(VLOOKUP(Tableau5617192223242425262827293031333432353620383961719241822254140424344104746[[#This Row],[Num Projets]],#REF!,10,FALSE),0)</f>
        <v>0</v>
      </c>
      <c r="AY203" s="23">
        <f>Tableau5617192223242425262827293031333432353620383961719241822254140424344104746[[#This Row],[Budget Mission
 €]]/1.2-AX203</f>
        <v>0</v>
      </c>
      <c r="AZ203" s="8">
        <f>IFERROR(VLOOKUP(H203,#REF!,43,FALSE),0)</f>
        <v>0</v>
      </c>
      <c r="BA203" s="8">
        <f>AX203-IFERROR(VLOOKUP(H203,#REF!,42,FALSE),0)</f>
        <v>0</v>
      </c>
      <c r="BB203" s="47">
        <f t="shared" si="60"/>
        <v>0</v>
      </c>
      <c r="BC203" s="24">
        <f>IFERROR(VLOOKUP(H203,#REF!,47,FALSE),IFERROR(VLOOKUP(H203,#REF!,5,FALSE),0)+IFERROR(VLOOKUP(H203,#REF!,5,FALSE),0))</f>
        <v>0</v>
      </c>
      <c r="BD203" s="25">
        <f>IFERROR(VLOOKUP(H203,#REF!,2,FALSE),0)</f>
        <v>0</v>
      </c>
      <c r="BE203" s="25">
        <f>IFERROR(VLOOKUP(H203,#REF!,49,FALSE),0)</f>
        <v>0</v>
      </c>
      <c r="BF203" s="50" t="e">
        <f t="shared" si="61"/>
        <v>#REF!</v>
      </c>
      <c r="BG203" s="50">
        <f t="shared" si="62"/>
        <v>0</v>
      </c>
      <c r="BH203" s="27">
        <f>AE203+ (AI203-AJ203+AM203+Tableau5617192223242425262827293031333432353620383961719241822254140424344104746[[#This Row],[Int Commandé OT
€]]-Tableau5617192223242425262827293031333432353620383961719241822254140424344104746[[#This Row],[Int Réalisé OT
€]]+AR203) +AY203+BC203</f>
        <v>1176.7904761904763</v>
      </c>
      <c r="BI203" s="47">
        <f t="shared" si="63"/>
        <v>0</v>
      </c>
      <c r="BJ203" s="47" t="e">
        <f t="shared" si="64"/>
        <v>#REF!</v>
      </c>
      <c r="BK203" s="27" t="e">
        <f t="shared" si="68"/>
        <v>#REF!</v>
      </c>
      <c r="BL203" s="26" t="e">
        <f t="shared" si="69"/>
        <v>#REF!</v>
      </c>
      <c r="BM203" s="96">
        <f>IFERROR(VLOOKUP(H203,'[1]2023sep'!H:CA,54,FALSE),105)</f>
        <v>105</v>
      </c>
      <c r="BN203" s="29">
        <v>1</v>
      </c>
      <c r="BO203" s="30" t="e">
        <f>P203-AC203-AG203-AV203-Tableau5617192223242425262827293031333432353620383961719241822254140424344104746[[#This Row],[Provisions pour risques]]</f>
        <v>#REF!</v>
      </c>
      <c r="BP203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1176.7904761904763</v>
      </c>
      <c r="BQ203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3" s="97" t="e">
        <f t="shared" si="65"/>
        <v>#REF!</v>
      </c>
      <c r="BS203" s="34">
        <f>Tableau5617192223242425262827293031333432353620383961719241822254140424344104746[[#This Row],[Consommé global Enregistré à date (€ HT)]]-IFERROR(VLOOKUP(H203,#REF!,50,FALSE),0)</f>
        <v>0</v>
      </c>
      <c r="BT203" s="35" t="e">
        <f t="shared" si="66"/>
        <v>#REF!</v>
      </c>
      <c r="BU203" s="36">
        <f>BD203-IFERROR(VLOOKUP(H203,#REF!,47,FALSE),0)</f>
        <v>0</v>
      </c>
      <c r="BV203" s="37" t="e">
        <f>+BF203+Tableau5617192223242425262827293031333432353620383961719241822254140424344104746[[#This Row],[CA fin N-1]]-IFERROR(VLOOKUP(H203,#REF!,49,FALSE),0)-IFERROR(VLOOKUP(H203,#REF!,50,FALSE),0)</f>
        <v>#REF!</v>
      </c>
      <c r="BW203" s="33">
        <f>BG203-IFERROR(VLOOKUP(H203,#REF!,51,FALSE),0)</f>
        <v>0</v>
      </c>
      <c r="BX203" s="35" t="e">
        <f t="shared" si="67"/>
        <v>#REF!</v>
      </c>
      <c r="BY203" s="36">
        <f>BD203-IFERROR(VLOOKUP(H203,#REF!,48,FALSE),0)</f>
        <v>0</v>
      </c>
      <c r="BZ203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3" s="39" t="e">
        <f>VLOOKUP(Tableau5617192223242425262827293031333432353620383961719241822254140424344104746[[#This Row],[Num Projets]],#REF!,1,FALSE)</f>
        <v>#REF!</v>
      </c>
      <c r="CB203" s="40">
        <v>5.5</v>
      </c>
      <c r="CC203" s="40">
        <v>19.11904761904762</v>
      </c>
      <c r="CD20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-5.5</v>
      </c>
    </row>
    <row r="204" spans="1:82" x14ac:dyDescent="0.25">
      <c r="A204" s="311"/>
      <c r="B204" s="1"/>
      <c r="C204" s="2" t="e">
        <f>_xlfn.XLOOKUP(Tableau5617192223242425262827293031333432353620383961719241822254140424344104746[[#This Row],[Num Projets]],#REF!,#REF!,FALSE)</f>
        <v>#REF!</v>
      </c>
      <c r="D204" s="192" t="s">
        <v>6</v>
      </c>
      <c r="E204" s="3" t="e">
        <f>_xlfn.XLOOKUP(Tableau5617192223242425262827293031333432353620383961719241822254140424344104746[[#This Row],[Num Projets]],#REF!,#REF!,FALSE)</f>
        <v>#REF!</v>
      </c>
      <c r="F204" s="3" t="s">
        <v>70</v>
      </c>
      <c r="G204" s="3"/>
      <c r="H204" s="3" t="s">
        <v>360</v>
      </c>
      <c r="I204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4" s="4" t="e">
        <f>VLOOKUP(Tableau5617192223242425262827293031333432353620383961719241822254140424344104746[[#This Row],[Num Projets]],#REF!,36,FALSE)</f>
        <v>#REF!</v>
      </c>
      <c r="K204" s="5" t="s">
        <v>9</v>
      </c>
      <c r="L20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4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4" s="7" t="e">
        <f>VLOOKUP(H204,#REF!,7,FALSE)</f>
        <v>#REF!</v>
      </c>
      <c r="O204" s="7" t="e">
        <f>IF(VLOOKUP(H204,#REF!,27,FALSE)=0,"",VLOOKUP(H204,#REF!,27,FALSE))</f>
        <v>#REF!</v>
      </c>
      <c r="P204" s="8" t="e">
        <f>VLOOKUP(H204,#REF!,2,FALSE)</f>
        <v>#REF!</v>
      </c>
      <c r="Q204" s="9" t="e">
        <f>Tableau5617192223242425262827293031333432353620383961719241822254140424344104746[[#This Row],[Total Budget
€]]-IFERROR(VLOOKUP(H204,#REF!,8,FALSE),0)</f>
        <v>#REF!</v>
      </c>
      <c r="R204" s="10">
        <f>AD204+AI204+Tableau5617192223242425262827293031333432353620383961719241822254140424344104746[[#This Row],[Int Commandé OT
€]]+AX204</f>
        <v>0</v>
      </c>
      <c r="S204" s="10">
        <f>AD204+AJ204+Tableau5617192223242425262827293031333432353620383961719241822254140424344104746[[#This Row],[Int Réalisé OT
€]]+AX204</f>
        <v>0</v>
      </c>
      <c r="T204" s="11" t="e">
        <f t="shared" si="56"/>
        <v>#REF!</v>
      </c>
      <c r="U20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4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4" s="12" t="e">
        <f>Tableau5617192223242425262827293031333432353620383961719241822254140424344104746[[#This Row],[Budget Heures Valorisées
€]]/105</f>
        <v>#REF!</v>
      </c>
      <c r="X204" s="13">
        <f>IFERROR(VLOOKUP(H204,#REF!,2,FALSE),0)</f>
        <v>0</v>
      </c>
      <c r="Y204" s="13">
        <f>IFERROR(VLOOKUP(H204,#REF!,3,FALSE),0)</f>
        <v>0</v>
      </c>
      <c r="Z20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46.152380952380952</v>
      </c>
      <c r="AA204" s="13">
        <f>IFERROR(VLOOKUP(H204,#REF!,18,FALSE),0)</f>
        <v>0</v>
      </c>
      <c r="AB204" s="13">
        <f>SUM(X204:Y204)-IFERROR(VLOOKUP(H204,#REF!,16,FALSE),0)-IFERROR(VLOOKUP(H204,#REF!,17,FALSE),0)</f>
        <v>0</v>
      </c>
      <c r="AC204" s="15" t="e">
        <f>VLOOKUP(Tableau5617192223242425262827293031333432353620383961719241822254140424344104746[[#This Row],[Num Projets]],#REF!,2,FALSE)</f>
        <v>#REF!</v>
      </c>
      <c r="AD204" s="15">
        <f>IFERROR(VLOOKUP(Tableau5617192223242425262827293031333432353620383961719241822254140424344104746[[#This Row],[Num Projets]],#REF!,2,FALSE),0)</f>
        <v>0</v>
      </c>
      <c r="AE204" s="8">
        <f t="shared" si="57"/>
        <v>2206.0838095238096</v>
      </c>
      <c r="AF204" s="22" t="e">
        <f t="shared" si="58"/>
        <v>#REF!</v>
      </c>
      <c r="AG204" s="8">
        <f>IFERROR(VLOOKUP(H204,#REF!,3,FALSE),0)+IFERROR(VLOOKUP(H204,#REF!,3,FALSE),0)</f>
        <v>0</v>
      </c>
      <c r="AH204" s="8">
        <f>IFERROR(VLOOKUP(Tableau5617192223242425262827293031333432353620383961719241822254140424344104746[[#This Row],[Num Projets]],#REF!,2,FALSE),0)</f>
        <v>0</v>
      </c>
      <c r="AI204" s="17">
        <f>+IFERROR(VLOOKUP(H204,#REF!,2,FALSE),0)-Tableau5617192223242425262827293031333432353620383961719241822254140424344104746[[#This Row],[Int Commandé OT
€]]</f>
        <v>0</v>
      </c>
      <c r="AJ204" s="8">
        <f>IFERROR(VLOOKUP(H204,#REF!,11,FALSE),0)-IFERROR(VLOOKUP(H204,#REF!,10,FALSE),0)+Tableau5617192223242425262827293031333432353620383961719241822254140424344104746[[#This Row],[dont FNP à date (€ HT)]]</f>
        <v>0</v>
      </c>
      <c r="AK204" s="15">
        <f t="shared" si="59"/>
        <v>0</v>
      </c>
      <c r="AL204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4" s="19">
        <f>IF(Tableau5617192223242425262827293031333432353620383961719241822254140424344104746[[#This Row],[RAF Achats M-1
€]]=0,0,AN204-AO204)</f>
        <v>0</v>
      </c>
      <c r="AN204" s="8">
        <f>IFERROR(VLOOKUP(H204,#REF!,31,FALSE),0)</f>
        <v>0</v>
      </c>
      <c r="AO204" s="8">
        <f>AI204+-IFERROR(VLOOKUP(H204,#REF!,27,FALSE),0)</f>
        <v>0</v>
      </c>
      <c r="AP204" s="20">
        <f>IFERROR(VLOOKUP(Tableau5617192223242425262827293031333432353620383961719241822254140424344104746[[#This Row],[Num Projets]],#REF!,2,FALSE),0)</f>
        <v>0</v>
      </c>
      <c r="AQ204" s="20">
        <f>_xlfn.XLOOKUP(H204,[2]Synth!$N:$N,[2]Synth!$O:$O,0,FALSE)+_xlfn.XLOOKUP(Tableau5617192223242425262827293031333432353620383961719241822254140424344104746[[#This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4" s="21">
        <v>0</v>
      </c>
      <c r="AS204" s="20">
        <f>+IFERROR(VLOOKUP(H204,#REF!,36,FALSE),0)</f>
        <v>0</v>
      </c>
      <c r="AT20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4" s="22">
        <f>IF(AG204=0,0,1-((AI204+AM204+Tableau5617192223242425262827293031333432353620383961719241822254140424344104746[[#This Row],[Int Commandé OT
€]]+Tableau5617192223242425262827293031333432353620383961719241822254140424344104746[[#This Row],[RAF Int OT
€]])/AG204))</f>
        <v>0</v>
      </c>
      <c r="AV204" s="8">
        <f>IFERROR(VLOOKUP(H204,#REF!,4,FALSE),0)+IFERROR(VLOOKUP(H204,#REF!,4,FALSE),0)</f>
        <v>0</v>
      </c>
      <c r="AW204" s="194">
        <f>IFERROR(VLOOKUP(Tableau5617192223242425262827293031333432353620383961719241822254140424344104746[[#This Row],[Num Projets]],#REF!,3,FALSE),0)</f>
        <v>0</v>
      </c>
      <c r="AX204" s="95">
        <f>IFERROR(VLOOKUP(Tableau5617192223242425262827293031333432353620383961719241822254140424344104746[[#This Row],[Num Projets]],#REF!,10,FALSE),0)</f>
        <v>0</v>
      </c>
      <c r="AY204" s="23">
        <f>Tableau5617192223242425262827293031333432353620383961719241822254140424344104746[[#This Row],[Budget Mission
 €]]/1.2-AX204</f>
        <v>0</v>
      </c>
      <c r="AZ204" s="8">
        <f>IFERROR(VLOOKUP(H204,#REF!,43,FALSE),0)</f>
        <v>0</v>
      </c>
      <c r="BA204" s="8">
        <f>AX204-IFERROR(VLOOKUP(H204,#REF!,42,FALSE),0)</f>
        <v>0</v>
      </c>
      <c r="BB204" s="47">
        <f t="shared" si="60"/>
        <v>0</v>
      </c>
      <c r="BC204" s="24">
        <f>IFERROR(VLOOKUP(H204,#REF!,47,FALSE),IFERROR(VLOOKUP(H204,#REF!,5,FALSE),0)+IFERROR(VLOOKUP(H204,#REF!,5,FALSE),0))</f>
        <v>0</v>
      </c>
      <c r="BD204" s="25">
        <f>IFERROR(VLOOKUP(H204,#REF!,2,FALSE),0)</f>
        <v>0</v>
      </c>
      <c r="BE204" s="25">
        <f>IFERROR(VLOOKUP(H204,#REF!,49,FALSE),0)</f>
        <v>0</v>
      </c>
      <c r="BF204" s="50" t="e">
        <f t="shared" si="61"/>
        <v>#REF!</v>
      </c>
      <c r="BG204" s="50">
        <f t="shared" si="62"/>
        <v>0</v>
      </c>
      <c r="BH204" s="27">
        <f>AE204+ (AI204-AJ204+AM204+Tableau5617192223242425262827293031333432353620383961719241822254140424344104746[[#This Row],[Int Commandé OT
€]]-Tableau5617192223242425262827293031333432353620383961719241822254140424344104746[[#This Row],[Int Réalisé OT
€]]+AR204) +AY204+BC204</f>
        <v>2206.0838095238096</v>
      </c>
      <c r="BI204" s="47">
        <f t="shared" si="63"/>
        <v>0</v>
      </c>
      <c r="BJ204" s="47" t="e">
        <f t="shared" si="64"/>
        <v>#REF!</v>
      </c>
      <c r="BK204" s="27" t="e">
        <f t="shared" si="68"/>
        <v>#REF!</v>
      </c>
      <c r="BL204" s="26" t="e">
        <f t="shared" si="69"/>
        <v>#REF!</v>
      </c>
      <c r="BM204" s="96">
        <f>IFERROR(VLOOKUP(H204,'[1]2023sep'!H:CA,54,FALSE),105)</f>
        <v>105</v>
      </c>
      <c r="BN204" s="29">
        <v>1</v>
      </c>
      <c r="BO204" s="30" t="e">
        <f>P204-AC204-AG204-AV204-Tableau5617192223242425262827293031333432353620383961719241822254140424344104746[[#This Row],[Provisions pour risques]]</f>
        <v>#REF!</v>
      </c>
      <c r="BP204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2206.0838095238096</v>
      </c>
      <c r="BQ204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4" s="97" t="e">
        <f t="shared" si="65"/>
        <v>#REF!</v>
      </c>
      <c r="BS204" s="34">
        <f>Tableau5617192223242425262827293031333432353620383961719241822254140424344104746[[#This Row],[Consommé global Enregistré à date (€ HT)]]-IFERROR(VLOOKUP(H204,#REF!,50,FALSE),0)</f>
        <v>0</v>
      </c>
      <c r="BT204" s="35" t="e">
        <f t="shared" si="66"/>
        <v>#REF!</v>
      </c>
      <c r="BU204" s="36">
        <f>BD204-IFERROR(VLOOKUP(H204,#REF!,47,FALSE),0)</f>
        <v>0</v>
      </c>
      <c r="BV204" s="37" t="e">
        <f>+BF204+Tableau5617192223242425262827293031333432353620383961719241822254140424344104746[[#This Row],[CA fin N-1]]-IFERROR(VLOOKUP(H204,#REF!,49,FALSE),0)-IFERROR(VLOOKUP(H204,#REF!,50,FALSE),0)</f>
        <v>#REF!</v>
      </c>
      <c r="BW204" s="33">
        <f>BG204-IFERROR(VLOOKUP(H204,#REF!,51,FALSE),0)</f>
        <v>0</v>
      </c>
      <c r="BX204" s="35" t="e">
        <f t="shared" si="67"/>
        <v>#REF!</v>
      </c>
      <c r="BY204" s="36">
        <f>BD204-IFERROR(VLOOKUP(H204,#REF!,48,FALSE),0)</f>
        <v>0</v>
      </c>
      <c r="BZ204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4" s="39" t="e">
        <f>VLOOKUP(Tableau5617192223242425262827293031333432353620383961719241822254140424344104746[[#This Row],[Num Projets]],#REF!,1,FALSE)</f>
        <v>#REF!</v>
      </c>
      <c r="CB204" s="40">
        <v>7</v>
      </c>
      <c r="CC204" s="40">
        <v>39.152380952380952</v>
      </c>
      <c r="CD20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-7</v>
      </c>
    </row>
    <row r="205" spans="1:82" x14ac:dyDescent="0.25">
      <c r="A205" s="311"/>
      <c r="B205" s="1"/>
      <c r="C205" s="2" t="e">
        <f>_xlfn.XLOOKUP(Tableau5617192223242425262827293031333432353620383961719241822254140424344104746[[#This Row],[Num Projets]],#REF!,#REF!,FALSE)</f>
        <v>#REF!</v>
      </c>
      <c r="D205" s="3" t="s">
        <v>6</v>
      </c>
      <c r="E205" s="3" t="e">
        <f>_xlfn.XLOOKUP(Tableau5617192223242425262827293031333432353620383961719241822254140424344104746[[#This Row],[Num Projets]],#REF!,#REF!,FALSE)</f>
        <v>#REF!</v>
      </c>
      <c r="F205" s="3" t="s">
        <v>70</v>
      </c>
      <c r="G205" s="3"/>
      <c r="H205" s="3" t="s">
        <v>361</v>
      </c>
      <c r="I205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5" s="4" t="e">
        <f>VLOOKUP(Tableau5617192223242425262827293031333432353620383961719241822254140424344104746[[#This Row],[Num Projets]],#REF!,36,FALSE)</f>
        <v>#REF!</v>
      </c>
      <c r="K205" s="5" t="s">
        <v>276</v>
      </c>
      <c r="L20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5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5" s="7" t="e">
        <f>VLOOKUP(H205,#REF!,7,FALSE)</f>
        <v>#REF!</v>
      </c>
      <c r="O205" s="7" t="e">
        <f>IF(VLOOKUP(H205,#REF!,27,FALSE)=0,"",VLOOKUP(H205,#REF!,27,FALSE))</f>
        <v>#REF!</v>
      </c>
      <c r="P205" s="8" t="e">
        <f>VLOOKUP(H205,#REF!,2,FALSE)</f>
        <v>#REF!</v>
      </c>
      <c r="Q205" s="9" t="e">
        <f>Tableau5617192223242425262827293031333432353620383961719241822254140424344104746[[#This Row],[Total Budget
€]]-IFERROR(VLOOKUP(H205,#REF!,8,FALSE),0)</f>
        <v>#REF!</v>
      </c>
      <c r="R205" s="10">
        <f>AD205+AI205+Tableau5617192223242425262827293031333432353620383961719241822254140424344104746[[#This Row],[Int Commandé OT
€]]+AX205</f>
        <v>0</v>
      </c>
      <c r="S205" s="10">
        <f>AD205+AJ205+Tableau5617192223242425262827293031333432353620383961719241822254140424344104746[[#This Row],[Int Réalisé OT
€]]+AX205</f>
        <v>0</v>
      </c>
      <c r="T205" s="11" t="e">
        <f t="shared" si="56"/>
        <v>#REF!</v>
      </c>
      <c r="U20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5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5" s="12" t="e">
        <f>Tableau5617192223242425262827293031333432353620383961719241822254140424344104746[[#This Row],[Budget Heures Valorisées
€]]/105</f>
        <v>#REF!</v>
      </c>
      <c r="X205" s="13">
        <f>IFERROR(VLOOKUP(H205,#REF!,2,FALSE),0)</f>
        <v>0</v>
      </c>
      <c r="Y205" s="13">
        <f>IFERROR(VLOOKUP(H205,#REF!,3,FALSE),0)</f>
        <v>0</v>
      </c>
      <c r="Z20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48</v>
      </c>
      <c r="AA205" s="13">
        <f>IFERROR(VLOOKUP(H205,#REF!,18,FALSE),0)</f>
        <v>0</v>
      </c>
      <c r="AB205" s="13">
        <f>SUM(X205:Y205)-IFERROR(VLOOKUP(H205,#REF!,16,FALSE),0)-IFERROR(VLOOKUP(H205,#REF!,17,FALSE),0)</f>
        <v>0</v>
      </c>
      <c r="AC205" s="62" t="e">
        <f>Tableau5617192223242425262827293031333432353620383961719241822254140424344104746[[#This Row],[Total Budget
€]]</f>
        <v>#REF!</v>
      </c>
      <c r="AD205" s="15">
        <f>IFERROR(VLOOKUP(Tableau5617192223242425262827293031333432353620383961719241822254140424344104746[[#This Row],[Num Projets]],#REF!,2,FALSE),0)</f>
        <v>0</v>
      </c>
      <c r="AE205" s="8">
        <f>Z205*47.8</f>
        <v>2294.3999999999996</v>
      </c>
      <c r="AF205" s="22" t="e">
        <f>IF(AC205=0,0,1-((AD205+AE205)/AC205))</f>
        <v>#REF!</v>
      </c>
      <c r="AG205" s="8">
        <f>IFERROR(VLOOKUP(H205,#REF!,3,FALSE),0)+IFERROR(VLOOKUP(H205,#REF!,3,FALSE),0)</f>
        <v>0</v>
      </c>
      <c r="AH205" s="8">
        <f>IFERROR(VLOOKUP(Tableau5617192223242425262827293031333432353620383961719241822254140424344104746[[#This Row],[Num Projets]],#REF!,2,FALSE),0)</f>
        <v>0</v>
      </c>
      <c r="AI205" s="17">
        <f>+IFERROR(VLOOKUP(H205,#REF!,2,FALSE),0)-Tableau5617192223242425262827293031333432353620383961719241822254140424344104746[[#This Row],[Int Commandé OT
€]]</f>
        <v>0</v>
      </c>
      <c r="AJ205" s="8">
        <f>IFERROR(VLOOKUP(H205,#REF!,11,FALSE),0)-IFERROR(VLOOKUP(H205,#REF!,10,FALSE),0)+Tableau5617192223242425262827293031333432353620383961719241822254140424344104746[[#This Row],[dont FNP à date (€ HT)]]</f>
        <v>0</v>
      </c>
      <c r="AK205" s="15">
        <f t="shared" si="59"/>
        <v>0</v>
      </c>
      <c r="AL205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5" s="19">
        <f>IF(Tableau5617192223242425262827293031333432353620383961719241822254140424344104746[[#This Row],[RAF Achats M-1
€]]=0,0,AN205-AO205)</f>
        <v>0</v>
      </c>
      <c r="AN205" s="8">
        <f>IFERROR(VLOOKUP(H205,#REF!,31,FALSE),0)</f>
        <v>0</v>
      </c>
      <c r="AO205" s="8">
        <f>AI205+-IFERROR(VLOOKUP(H205,#REF!,27,FALSE),0)</f>
        <v>0</v>
      </c>
      <c r="AP205" s="20">
        <f>IFERROR(VLOOKUP(Tableau5617192223242425262827293031333432353620383961719241822254140424344104746[[#This Row],[Num Projets]],#REF!,2,FALSE),0)</f>
        <v>0</v>
      </c>
      <c r="AQ205" s="20">
        <f>_xlfn.XLOOKUP(H205,[2]Synth!$N:$N,[2]Synth!$O:$O,0,FALSE)+_xlfn.XLOOKUP(Tableau5617192223242425262827293031333432353620383961719241822254140424344104746[[#This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5" s="21">
        <v>0</v>
      </c>
      <c r="AS205" s="20">
        <f>+IFERROR(VLOOKUP(H205,#REF!,36,FALSE),0)</f>
        <v>0</v>
      </c>
      <c r="AT20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5" s="22">
        <f>IF(AG205=0,0,1-((AI205+AM205+Tableau5617192223242425262827293031333432353620383961719241822254140424344104746[[#This Row],[Int Commandé OT
€]]+Tableau5617192223242425262827293031333432353620383961719241822254140424344104746[[#This Row],[RAF Int OT
€]])/AG205))</f>
        <v>0</v>
      </c>
      <c r="AV205" s="8">
        <f>IFERROR(VLOOKUP(H205,#REF!,4,FALSE),0)+IFERROR(VLOOKUP(H205,#REF!,4,FALSE),0)</f>
        <v>0</v>
      </c>
      <c r="AW205" s="194">
        <f>IFERROR(VLOOKUP(Tableau5617192223242425262827293031333432353620383961719241822254140424344104746[[#This Row],[Num Projets]],#REF!,3,FALSE),0)</f>
        <v>0</v>
      </c>
      <c r="AX205" s="95">
        <f>IFERROR(VLOOKUP(Tableau5617192223242425262827293031333432353620383961719241822254140424344104746[[#This Row],[Num Projets]],#REF!,10,FALSE),0)</f>
        <v>0</v>
      </c>
      <c r="AY205" s="23">
        <f>Tableau5617192223242425262827293031333432353620383961719241822254140424344104746[[#This Row],[Budget Mission
 €]]/1.2-AX205</f>
        <v>0</v>
      </c>
      <c r="AZ205" s="8">
        <f>IFERROR(VLOOKUP(H205,#REF!,43,FALSE),0)</f>
        <v>0</v>
      </c>
      <c r="BA205" s="8">
        <f>AX205-IFERROR(VLOOKUP(H205,#REF!,42,FALSE),0)</f>
        <v>0</v>
      </c>
      <c r="BB205" s="47">
        <f t="shared" si="60"/>
        <v>0</v>
      </c>
      <c r="BC205" s="24">
        <f>IFERROR(VLOOKUP(H205,#REF!,47,FALSE),IFERROR(VLOOKUP(H205,#REF!,5,FALSE),0)+IFERROR(VLOOKUP(H205,#REF!,5,FALSE),0))</f>
        <v>0</v>
      </c>
      <c r="BD205" s="25">
        <f>IFERROR(VLOOKUP(H205,#REF!,2,FALSE),0)</f>
        <v>0</v>
      </c>
      <c r="BE205" s="25">
        <f>IFERROR(VLOOKUP(H205,#REF!,49,FALSE),0)</f>
        <v>0</v>
      </c>
      <c r="BF205" s="50" t="e">
        <f t="shared" si="61"/>
        <v>#REF!</v>
      </c>
      <c r="BG205" s="50">
        <f>S205</f>
        <v>0</v>
      </c>
      <c r="BH205" s="27">
        <f>AE205+ (AI205-AJ205+AM205+Tableau5617192223242425262827293031333432353620383961719241822254140424344104746[[#This Row],[Int Commandé OT
€]]-Tableau5617192223242425262827293031333432353620383961719241822254140424344104746[[#This Row],[Int Réalisé OT
€]]+AR205) +AY205+BC205</f>
        <v>2294.3999999999996</v>
      </c>
      <c r="BI205" s="47">
        <f>IF(BG205+BH205=0,100%,BG205/(BG205+BH205))</f>
        <v>0</v>
      </c>
      <c r="BJ205" s="47" t="e">
        <f t="shared" si="64"/>
        <v>#REF!</v>
      </c>
      <c r="BK205" s="27" t="e">
        <f t="shared" si="68"/>
        <v>#REF!</v>
      </c>
      <c r="BL205" s="26" t="e">
        <f>IF((BI205-BJ205)&gt;0,(BI205-BJ205)*P205,0)</f>
        <v>#REF!</v>
      </c>
      <c r="BM205" s="96">
        <f>IFERROR(VLOOKUP(H205,'[1]2023sep'!H:CA,54,FALSE),105)</f>
        <v>105</v>
      </c>
      <c r="BN205" s="29">
        <v>1</v>
      </c>
      <c r="BO205" s="30" t="e">
        <f>P205-AC205-AG205-AV205-Tableau5617192223242425262827293031333432353620383961719241822254140424344104746[[#This Row],[Provisions pour risques]]</f>
        <v>#REF!</v>
      </c>
      <c r="BP205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2294.3999999999996</v>
      </c>
      <c r="BQ205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5" s="97" t="e">
        <f t="shared" si="65"/>
        <v>#REF!</v>
      </c>
      <c r="BS205" s="34">
        <f>Tableau5617192223242425262827293031333432353620383961719241822254140424344104746[[#This Row],[Consommé global Enregistré à date (€ HT)]]-IFERROR(VLOOKUP(H205,#REF!,50,FALSE),0)</f>
        <v>0</v>
      </c>
      <c r="BT205" s="35" t="e">
        <f t="shared" si="66"/>
        <v>#REF!</v>
      </c>
      <c r="BU205" s="36">
        <f>BD205-IFERROR(VLOOKUP(H205,#REF!,47,FALSE),0)</f>
        <v>0</v>
      </c>
      <c r="BV205" s="37" t="e">
        <f>+BF205+Tableau5617192223242425262827293031333432353620383961719241822254140424344104746[[#This Row],[CA fin N-1]]-IFERROR(VLOOKUP(H205,#REF!,49,FALSE),0)-IFERROR(VLOOKUP(H205,#REF!,50,FALSE),0)</f>
        <v>#REF!</v>
      </c>
      <c r="BW205" s="33">
        <f>BG205-IFERROR(VLOOKUP(H205,#REF!,51,FALSE),0)</f>
        <v>0</v>
      </c>
      <c r="BX205" s="35" t="e">
        <f t="shared" si="67"/>
        <v>#REF!</v>
      </c>
      <c r="BY205" s="36">
        <f>BD205-IFERROR(VLOOKUP(H205,#REF!,48,FALSE),0)</f>
        <v>0</v>
      </c>
      <c r="BZ205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5" s="39" t="e">
        <f>VLOOKUP(Tableau5617192223242425262827293031333432353620383961719241822254140424344104746[[#This Row],[Num Projets]],#REF!,1,FALSE)</f>
        <v>#REF!</v>
      </c>
      <c r="CB205" s="40">
        <v>12</v>
      </c>
      <c r="CC205" s="40">
        <v>36</v>
      </c>
      <c r="CD20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-12</v>
      </c>
    </row>
    <row r="206" spans="1:82" x14ac:dyDescent="0.25">
      <c r="A206" s="311"/>
      <c r="B206" s="1"/>
      <c r="C206" s="2" t="e">
        <f>_xlfn.XLOOKUP(Tableau5617192223242425262827293031333432353620383961719241822254140424344104746[[#This Row],[Num Projets]],#REF!,#REF!,FALSE)</f>
        <v>#REF!</v>
      </c>
      <c r="D206" s="3" t="s">
        <v>362</v>
      </c>
      <c r="E206" s="3" t="e">
        <f>_xlfn.XLOOKUP(Tableau5617192223242425262827293031333432353620383961719241822254140424344104746[[#This Row],[Num Projets]],#REF!,#REF!,FALSE)</f>
        <v>#REF!</v>
      </c>
      <c r="F206" s="3" t="s">
        <v>70</v>
      </c>
      <c r="G206" s="3"/>
      <c r="H206" s="3" t="s">
        <v>363</v>
      </c>
      <c r="I206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6" s="4" t="e">
        <f>VLOOKUP(Tableau5617192223242425262827293031333432353620383961719241822254140424344104746[[#This Row],[Num Projets]],#REF!,36,FALSE)</f>
        <v>#REF!</v>
      </c>
      <c r="K206" s="5" t="s">
        <v>364</v>
      </c>
      <c r="L20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6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6" s="7" t="e">
        <f>VLOOKUP(H206,#REF!,7,FALSE)</f>
        <v>#REF!</v>
      </c>
      <c r="O206" s="7" t="e">
        <f>IF(VLOOKUP(H206,#REF!,27,FALSE)=0,"",VLOOKUP(H206,#REF!,27,FALSE))</f>
        <v>#REF!</v>
      </c>
      <c r="P206" s="8" t="e">
        <f>VLOOKUP(H206,#REF!,2,FALSE)</f>
        <v>#REF!</v>
      </c>
      <c r="Q206" s="9" t="e">
        <f>Tableau5617192223242425262827293031333432353620383961719241822254140424344104746[[#This Row],[Total Budget
€]]-IFERROR(VLOOKUP(H206,#REF!,8,FALSE),0)</f>
        <v>#REF!</v>
      </c>
      <c r="R206" s="10">
        <f>AD206+AI206+Tableau5617192223242425262827293031333432353620383961719241822254140424344104746[[#This Row],[Int Commandé OT
€]]+AX206</f>
        <v>0</v>
      </c>
      <c r="S206" s="10">
        <f>AD206+AJ206+Tableau5617192223242425262827293031333432353620383961719241822254140424344104746[[#This Row],[Int Réalisé OT
€]]+AX206</f>
        <v>0</v>
      </c>
      <c r="T206" s="11" t="e">
        <f>IF(P206=0,0,1-(((AD206+AI206+AX206+AP206)+(AE206+AM206+AY206+BC206+AR206))/P206))</f>
        <v>#REF!</v>
      </c>
      <c r="U20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6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6" s="12">
        <v>170</v>
      </c>
      <c r="X206" s="13">
        <f>IFERROR(VLOOKUP(H206,#REF!,2,FALSE),0)</f>
        <v>0</v>
      </c>
      <c r="Y206" s="13">
        <f>IFERROR(VLOOKUP(H206,#REF!,3,FALSE),0)</f>
        <v>0</v>
      </c>
      <c r="Z20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170</v>
      </c>
      <c r="AA206" s="13">
        <f>IFERROR(VLOOKUP(H206,#REF!,18,FALSE),0)</f>
        <v>0</v>
      </c>
      <c r="AB206" s="13">
        <f>SUM(X206:Y206)-IFERROR(VLOOKUP(H206,#REF!,16,FALSE),0)-IFERROR(VLOOKUP(H206,#REF!,17,FALSE),0)</f>
        <v>0</v>
      </c>
      <c r="AC206" s="15" t="e">
        <f>VLOOKUP(Tableau5617192223242425262827293031333432353620383961719241822254140424344104746[[#This Row],[Num Projets]],#REF!,2,FALSE)</f>
        <v>#REF!</v>
      </c>
      <c r="AD206" s="15">
        <f>IFERROR(VLOOKUP(Tableau5617192223242425262827293031333432353620383961719241822254140424344104746[[#This Row],[Num Projets]],#REF!,2,FALSE),0)</f>
        <v>0</v>
      </c>
      <c r="AE206" s="8">
        <f>Z206*47.8</f>
        <v>8125.9999999999991</v>
      </c>
      <c r="AF206" s="22" t="e">
        <f t="shared" si="58"/>
        <v>#REF!</v>
      </c>
      <c r="AG206" s="8">
        <f>IFERROR(VLOOKUP(H206,#REF!,3,FALSE),0)+IFERROR(VLOOKUP(H206,#REF!,3,FALSE),0)</f>
        <v>0</v>
      </c>
      <c r="AH206" s="8">
        <f>IFERROR(VLOOKUP(Tableau5617192223242425262827293031333432353620383961719241822254140424344104746[[#This Row],[Num Projets]],#REF!,2,FALSE),0)</f>
        <v>0</v>
      </c>
      <c r="AI206" s="17">
        <f>+IFERROR(VLOOKUP(H206,#REF!,2,FALSE),0)-Tableau5617192223242425262827293031333432353620383961719241822254140424344104746[[#This Row],[Int Commandé OT
€]]</f>
        <v>0</v>
      </c>
      <c r="AJ206" s="8">
        <f>IFERROR(VLOOKUP(H206,#REF!,11,FALSE),0)-IFERROR(VLOOKUP(H206,#REF!,10,FALSE),0)+Tableau5617192223242425262827293031333432353620383961719241822254140424344104746[[#This Row],[dont FNP à date (€ HT)]]</f>
        <v>0</v>
      </c>
      <c r="AK206" s="15">
        <f t="shared" si="59"/>
        <v>0</v>
      </c>
      <c r="AL206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6" s="19">
        <f>IF(Tableau5617192223242425262827293031333432353620383961719241822254140424344104746[[#This Row],[RAF Achats M-1
€]]=0,0,AN206-AO206)</f>
        <v>0</v>
      </c>
      <c r="AN206" s="8">
        <f>IFERROR(VLOOKUP(H206,#REF!,31,FALSE),0)</f>
        <v>0</v>
      </c>
      <c r="AO206" s="8">
        <f>AI206+-IFERROR(VLOOKUP(H206,#REF!,27,FALSE),0)</f>
        <v>0</v>
      </c>
      <c r="AP206" s="20">
        <f>IFERROR(VLOOKUP(Tableau5617192223242425262827293031333432353620383961719241822254140424344104746[[#This Row],[Num Projets]],#REF!,2,FALSE),0)</f>
        <v>0</v>
      </c>
      <c r="AQ206" s="20">
        <f>_xlfn.XLOOKUP(H206,[2]Synth!$N:$N,[2]Synth!$O:$O,0,FALSE)+_xlfn.XLOOKUP(Tableau5617192223242425262827293031333432353620383961719241822254140424344104746[[#This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6" s="21">
        <v>0</v>
      </c>
      <c r="AS206" s="20">
        <f>+IFERROR(VLOOKUP(H206,#REF!,36,FALSE),0)</f>
        <v>0</v>
      </c>
      <c r="AT20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6" s="22">
        <f>IF(AG206=0,0,1-((AI206+AM206+Tableau5617192223242425262827293031333432353620383961719241822254140424344104746[[#This Row],[Int Commandé OT
€]]+Tableau5617192223242425262827293031333432353620383961719241822254140424344104746[[#This Row],[RAF Int OT
€]])/AG206))</f>
        <v>0</v>
      </c>
      <c r="AV206" s="8">
        <f>IFERROR(VLOOKUP(H206,#REF!,4,FALSE),0)+IFERROR(VLOOKUP(H206,#REF!,4,FALSE),0)</f>
        <v>0</v>
      </c>
      <c r="AW206" s="194">
        <f>IFERROR(VLOOKUP(Tableau5617192223242425262827293031333432353620383961719241822254140424344104746[[#This Row],[Num Projets]],#REF!,3,FALSE),0)</f>
        <v>0</v>
      </c>
      <c r="AX206" s="95">
        <f>IFERROR(VLOOKUP(Tableau5617192223242425262827293031333432353620383961719241822254140424344104746[[#This Row],[Num Projets]],#REF!,10,FALSE),0)</f>
        <v>0</v>
      </c>
      <c r="AY206" s="23">
        <f>Tableau5617192223242425262827293031333432353620383961719241822254140424344104746[[#This Row],[Budget Mission
 €]]/1.2-AX206</f>
        <v>0</v>
      </c>
      <c r="AZ206" s="8">
        <f>IFERROR(VLOOKUP(H206,#REF!,43,FALSE),0)</f>
        <v>0</v>
      </c>
      <c r="BA206" s="8">
        <f>AX206-IFERROR(VLOOKUP(H206,#REF!,42,FALSE),0)</f>
        <v>0</v>
      </c>
      <c r="BB206" s="47">
        <f t="shared" si="60"/>
        <v>0</v>
      </c>
      <c r="BC206" s="24">
        <f>IFERROR(VLOOKUP(H206,#REF!,47,FALSE),IFERROR(VLOOKUP(H206,#REF!,5,FALSE),0)+IFERROR(VLOOKUP(H206,#REF!,5,FALSE),0))</f>
        <v>0</v>
      </c>
      <c r="BD206" s="25">
        <f>IFERROR(VLOOKUP(H206,#REF!,2,FALSE),0)</f>
        <v>0</v>
      </c>
      <c r="BE206" s="25">
        <f>IFERROR(VLOOKUP(H206,#REF!,49,FALSE),0)</f>
        <v>0</v>
      </c>
      <c r="BF206" s="50" t="e">
        <f t="shared" si="61"/>
        <v>#REF!</v>
      </c>
      <c r="BG206" s="50">
        <f t="shared" si="62"/>
        <v>0</v>
      </c>
      <c r="BH206" s="27">
        <f>AE206+ (AI206-AJ206+AM206+Tableau5617192223242425262827293031333432353620383961719241822254140424344104746[[#This Row],[Int Commandé OT
€]]-Tableau5617192223242425262827293031333432353620383961719241822254140424344104746[[#This Row],[Int Réalisé OT
€]]+AR206) +AY206+BC206</f>
        <v>8125.9999999999991</v>
      </c>
      <c r="BI206" s="47">
        <f t="shared" si="63"/>
        <v>0</v>
      </c>
      <c r="BJ206" s="47" t="e">
        <f t="shared" si="64"/>
        <v>#REF!</v>
      </c>
      <c r="BK206" s="27" t="e">
        <f t="shared" si="68"/>
        <v>#REF!</v>
      </c>
      <c r="BL206" s="26" t="e">
        <f t="shared" si="69"/>
        <v>#REF!</v>
      </c>
      <c r="BM206" s="96">
        <f>IFERROR(VLOOKUP(H206,'[1]2023sep'!H:CA,54,FALSE),105)</f>
        <v>105</v>
      </c>
      <c r="BN206" s="29">
        <v>1</v>
      </c>
      <c r="BO206" s="30" t="e">
        <f>P206-AC206-AG206-AV206-Tableau5617192223242425262827293031333432353620383961719241822254140424344104746[[#This Row],[Provisions pour risques]]</f>
        <v>#REF!</v>
      </c>
      <c r="BP206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8125.9999999999991</v>
      </c>
      <c r="BQ206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6" s="97" t="e">
        <f t="shared" si="65"/>
        <v>#REF!</v>
      </c>
      <c r="BS206" s="34">
        <f>Tableau5617192223242425262827293031333432353620383961719241822254140424344104746[[#This Row],[Consommé global Enregistré à date (€ HT)]]-IFERROR(VLOOKUP(H206,#REF!,50,FALSE),0)</f>
        <v>0</v>
      </c>
      <c r="BT206" s="35" t="e">
        <f t="shared" si="66"/>
        <v>#REF!</v>
      </c>
      <c r="BU206" s="36">
        <f>BD206-IFERROR(VLOOKUP(H206,#REF!,47,FALSE),0)</f>
        <v>0</v>
      </c>
      <c r="BV206" s="37" t="e">
        <f>+BF206+Tableau5617192223242425262827293031333432353620383961719241822254140424344104746[[#This Row],[CA fin N-1]]-IFERROR(VLOOKUP(H206,#REF!,49,FALSE),0)-IFERROR(VLOOKUP(H206,#REF!,50,FALSE),0)</f>
        <v>#REF!</v>
      </c>
      <c r="BW206" s="33">
        <f>BG206-IFERROR(VLOOKUP(H206,#REF!,51,FALSE),0)</f>
        <v>0</v>
      </c>
      <c r="BX206" s="35" t="e">
        <f t="shared" si="67"/>
        <v>#REF!</v>
      </c>
      <c r="BY206" s="36">
        <f>BD206-IFERROR(VLOOKUP(H206,#REF!,48,FALSE),0)</f>
        <v>0</v>
      </c>
      <c r="BZ206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6" s="39" t="e">
        <f>VLOOKUP(Tableau5617192223242425262827293031333432353620383961719241822254140424344104746[[#This Row],[Num Projets]],#REF!,1,FALSE)</f>
        <v>#REF!</v>
      </c>
      <c r="CB206" s="40">
        <v>20</v>
      </c>
      <c r="CC206" s="40">
        <v>150</v>
      </c>
      <c r="CD20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-20</v>
      </c>
    </row>
    <row r="207" spans="1:82" x14ac:dyDescent="0.25">
      <c r="A207" s="311"/>
      <c r="B207" s="1"/>
      <c r="C207" s="2" t="e">
        <f>_xlfn.XLOOKUP(Tableau5617192223242425262827293031333432353620383961719241822254140424344104746[[#This Row],[Num Projets]],#REF!,#REF!,FALSE)</f>
        <v>#REF!</v>
      </c>
      <c r="D207" s="3" t="s">
        <v>6</v>
      </c>
      <c r="E207" s="3" t="e">
        <f>_xlfn.XLOOKUP(Tableau5617192223242425262827293031333432353620383961719241822254140424344104746[[#This Row],[Num Projets]],#REF!,#REF!,FALSE)</f>
        <v>#REF!</v>
      </c>
      <c r="F207" s="3" t="s">
        <v>70</v>
      </c>
      <c r="G207" s="3"/>
      <c r="H207" s="3" t="s">
        <v>365</v>
      </c>
      <c r="I207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7" s="4" t="e">
        <f>VLOOKUP(Tableau5617192223242425262827293031333432353620383961719241822254140424344104746[[#This Row],[Num Projets]],#REF!,36,FALSE)</f>
        <v>#REF!</v>
      </c>
      <c r="K207" s="5" t="s">
        <v>366</v>
      </c>
      <c r="L20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7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7" s="7" t="e">
        <f>VLOOKUP(H207,#REF!,7,FALSE)</f>
        <v>#REF!</v>
      </c>
      <c r="O207" s="7" t="e">
        <f>IF(VLOOKUP(H207,#REF!,27,FALSE)=0,"",VLOOKUP(H207,#REF!,27,FALSE))</f>
        <v>#REF!</v>
      </c>
      <c r="P207" s="8" t="e">
        <f>VLOOKUP(H207,#REF!,2,FALSE)</f>
        <v>#REF!</v>
      </c>
      <c r="Q207" s="9" t="e">
        <f>Tableau5617192223242425262827293031333432353620383961719241822254140424344104746[[#This Row],[Total Budget
€]]-IFERROR(VLOOKUP(H207,#REF!,8,FALSE),0)</f>
        <v>#REF!</v>
      </c>
      <c r="R207" s="10">
        <f>AD207+AI207+Tableau5617192223242425262827293031333432353620383961719241822254140424344104746[[#This Row],[Int Commandé OT
€]]+AX207</f>
        <v>0</v>
      </c>
      <c r="S207" s="10">
        <f>AD207+AJ207+Tableau5617192223242425262827293031333432353620383961719241822254140424344104746[[#This Row],[Int Réalisé OT
€]]+AX207</f>
        <v>0</v>
      </c>
      <c r="T207" s="11" t="e">
        <f t="shared" si="56"/>
        <v>#REF!</v>
      </c>
      <c r="U20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7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7" s="12" t="e">
        <f>Tableau5617192223242425262827293031333432353620383961719241822254140424344104746[[#This Row],[Budget Heures Valorisées
€]]/105</f>
        <v>#REF!</v>
      </c>
      <c r="X207" s="13">
        <f>IFERROR(VLOOKUP(H207,#REF!,2,FALSE),0)</f>
        <v>0</v>
      </c>
      <c r="Y207" s="13">
        <f>IFERROR(VLOOKUP(H207,#REF!,3,FALSE),0)</f>
        <v>0</v>
      </c>
      <c r="Z20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365.85111486666665</v>
      </c>
      <c r="AA207" s="13">
        <f>IFERROR(VLOOKUP(H207,#REF!,18,FALSE),0)</f>
        <v>0</v>
      </c>
      <c r="AB207" s="13">
        <f>SUM(X207:Y207)-IFERROR(VLOOKUP(H207,#REF!,16,FALSE),0)-IFERROR(VLOOKUP(H207,#REF!,17,FALSE),0)</f>
        <v>0</v>
      </c>
      <c r="AC207" s="15" t="e">
        <f>Tableau5617192223242425262827293031333432353620383961719241822254140424344104746[[#This Row],[Total Budget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07" s="15">
        <f>IFERROR(VLOOKUP(Tableau5617192223242425262827293031333432353620383961719241822254140424344104746[[#This Row],[Num Projets]],#REF!,2,FALSE),0)</f>
        <v>0</v>
      </c>
      <c r="AE207" s="8">
        <f t="shared" si="57"/>
        <v>17487.683290626665</v>
      </c>
      <c r="AF207" s="22" t="e">
        <f t="shared" si="58"/>
        <v>#REF!</v>
      </c>
      <c r="AG207" s="8">
        <f>IFERROR(VLOOKUP(H207,#REF!,3,FALSE),0)+IFERROR(VLOOKUP(H207,#REF!,3,FALSE),0)</f>
        <v>0</v>
      </c>
      <c r="AH207" s="8">
        <f>IFERROR(VLOOKUP(Tableau5617192223242425262827293031333432353620383961719241822254140424344104746[[#This Row],[Num Projets]],#REF!,2,FALSE),0)</f>
        <v>0</v>
      </c>
      <c r="AI207" s="17">
        <f>+IFERROR(VLOOKUP(H207,#REF!,2,FALSE),0)-Tableau5617192223242425262827293031333432353620383961719241822254140424344104746[[#This Row],[Int Commandé OT
€]]</f>
        <v>0</v>
      </c>
      <c r="AJ207" s="8">
        <f>IFERROR(VLOOKUP(H207,#REF!,11,FALSE),0)-IFERROR(VLOOKUP(H207,#REF!,10,FALSE),0)+Tableau5617192223242425262827293031333432353620383961719241822254140424344104746[[#This Row],[dont FNP à date (€ HT)]]</f>
        <v>0</v>
      </c>
      <c r="AK207" s="15">
        <f t="shared" si="59"/>
        <v>0</v>
      </c>
      <c r="AL207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7" s="19">
        <f>IF(Tableau5617192223242425262827293031333432353620383961719241822254140424344104746[[#This Row],[RAF Achats M-1
€]]=0,0,AN207-AO207)</f>
        <v>0</v>
      </c>
      <c r="AN207" s="8">
        <f>IFERROR(VLOOKUP(H207,#REF!,31,FALSE),0)</f>
        <v>0</v>
      </c>
      <c r="AO207" s="8">
        <f>AI207+-IFERROR(VLOOKUP(H207,#REF!,27,FALSE),0)</f>
        <v>0</v>
      </c>
      <c r="AP207" s="20">
        <f>IFERROR(VLOOKUP(Tableau5617192223242425262827293031333432353620383961719241822254140424344104746[[#This Row],[Num Projets]],#REF!,2,FALSE),0)</f>
        <v>0</v>
      </c>
      <c r="AQ207" s="20">
        <f>_xlfn.XLOOKUP(H207,[2]Synth!$N:$N,[2]Synth!$O:$O,0,FALSE)+_xlfn.XLOOKUP(Tableau5617192223242425262827293031333432353620383961719241822254140424344104746[[#This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7" s="21">
        <v>0</v>
      </c>
      <c r="AS207" s="20">
        <f>+IFERROR(VLOOKUP(H207,#REF!,36,FALSE),0)</f>
        <v>0</v>
      </c>
      <c r="AT20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7" s="22">
        <f>IF(AG207=0,0,1-((AI207+AM207+Tableau5617192223242425262827293031333432353620383961719241822254140424344104746[[#This Row],[Int Commandé OT
€]]+Tableau5617192223242425262827293031333432353620383961719241822254140424344104746[[#This Row],[RAF Int OT
€]])/AG207))</f>
        <v>0</v>
      </c>
      <c r="AV207" s="8">
        <f>IFERROR(VLOOKUP(H207,#REF!,4,FALSE),0)+IFERROR(VLOOKUP(H207,#REF!,4,FALSE),0)</f>
        <v>0</v>
      </c>
      <c r="AW207" s="194">
        <f>IFERROR(VLOOKUP(Tableau5617192223242425262827293031333432353620383961719241822254140424344104746[[#This Row],[Num Projets]],#REF!,3,FALSE),0)</f>
        <v>0</v>
      </c>
      <c r="AX207" s="95">
        <f>IFERROR(VLOOKUP(Tableau5617192223242425262827293031333432353620383961719241822254140424344104746[[#This Row],[Num Projets]],#REF!,10,FALSE),0)</f>
        <v>0</v>
      </c>
      <c r="AY207" s="23">
        <f>Tableau5617192223242425262827293031333432353620383961719241822254140424344104746[[#This Row],[Budget Mission
 €]]/1.2-AX207</f>
        <v>0</v>
      </c>
      <c r="AZ207" s="8">
        <f>IFERROR(VLOOKUP(H207,#REF!,43,FALSE),0)</f>
        <v>0</v>
      </c>
      <c r="BA207" s="8">
        <f>AX207-IFERROR(VLOOKUP(H207,#REF!,42,FALSE),0)</f>
        <v>0</v>
      </c>
      <c r="BB207" s="47">
        <f t="shared" si="60"/>
        <v>0</v>
      </c>
      <c r="BC207" s="24">
        <f>IFERROR(VLOOKUP(H207,#REF!,47,FALSE),IFERROR(VLOOKUP(H207,#REF!,5,FALSE),0)+IFERROR(VLOOKUP(H207,#REF!,5,FALSE),0))</f>
        <v>0</v>
      </c>
      <c r="BD207" s="25">
        <f>IFERROR(VLOOKUP(H207,#REF!,2,FALSE),0)</f>
        <v>0</v>
      </c>
      <c r="BE207" s="25">
        <f>IFERROR(VLOOKUP(H207,#REF!,49,FALSE),0)</f>
        <v>0</v>
      </c>
      <c r="BF207" s="50" t="e">
        <f t="shared" si="61"/>
        <v>#REF!</v>
      </c>
      <c r="BG207" s="50">
        <f t="shared" si="62"/>
        <v>0</v>
      </c>
      <c r="BH207" s="27">
        <f>AE207+ (AI207-AJ207+AM207+Tableau5617192223242425262827293031333432353620383961719241822254140424344104746[[#This Row],[Int Commandé OT
€]]-Tableau5617192223242425262827293031333432353620383961719241822254140424344104746[[#This Row],[Int Réalisé OT
€]]+AR207) +AY207+BC207</f>
        <v>17487.683290626665</v>
      </c>
      <c r="BI207" s="47">
        <f t="shared" si="63"/>
        <v>0</v>
      </c>
      <c r="BJ207" s="47" t="e">
        <f t="shared" si="64"/>
        <v>#REF!</v>
      </c>
      <c r="BK207" s="27" t="e">
        <f t="shared" si="68"/>
        <v>#REF!</v>
      </c>
      <c r="BL207" s="26" t="e">
        <f t="shared" si="69"/>
        <v>#REF!</v>
      </c>
      <c r="BM207" s="96">
        <f>IFERROR(VLOOKUP(H207,'[1]2023sep'!H:CA,54,FALSE),105)</f>
        <v>105</v>
      </c>
      <c r="BN207" s="29">
        <v>1</v>
      </c>
      <c r="BO207" s="30" t="e">
        <f>P207-AC207-AG207-AV207-Tableau5617192223242425262827293031333432353620383961719241822254140424344104746[[#This Row],[Provisions pour risques]]</f>
        <v>#REF!</v>
      </c>
      <c r="BP207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17487.683290626665</v>
      </c>
      <c r="BQ207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7" s="97" t="e">
        <f t="shared" si="65"/>
        <v>#REF!</v>
      </c>
      <c r="BS207" s="34">
        <f>Tableau5617192223242425262827293031333432353620383961719241822254140424344104746[[#This Row],[Consommé global Enregistré à date (€ HT)]]-IFERROR(VLOOKUP(H207,#REF!,50,FALSE),0)</f>
        <v>0</v>
      </c>
      <c r="BT207" s="35" t="e">
        <f t="shared" si="66"/>
        <v>#REF!</v>
      </c>
      <c r="BU207" s="36">
        <f>BD207-IFERROR(VLOOKUP(H207,#REF!,47,FALSE),0)</f>
        <v>0</v>
      </c>
      <c r="BV207" s="37" t="e">
        <f>+BF207+Tableau5617192223242425262827293031333432353620383961719241822254140424344104746[[#This Row],[CA fin N-1]]-IFERROR(VLOOKUP(H207,#REF!,49,FALSE),0)-IFERROR(VLOOKUP(H207,#REF!,50,FALSE),0)</f>
        <v>#REF!</v>
      </c>
      <c r="BW207" s="33">
        <f>BG207-IFERROR(VLOOKUP(H207,#REF!,51,FALSE),0)</f>
        <v>0</v>
      </c>
      <c r="BX207" s="35" t="e">
        <f t="shared" si="67"/>
        <v>#REF!</v>
      </c>
      <c r="BY207" s="36">
        <f>BD207-IFERROR(VLOOKUP(H207,#REF!,48,FALSE),0)</f>
        <v>0</v>
      </c>
      <c r="BZ207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7" s="39" t="e">
        <f>VLOOKUP(Tableau5617192223242425262827293031333432353620383961719241822254140424344104746[[#This Row],[Num Projets]],#REF!,1,FALSE)</f>
        <v>#REF!</v>
      </c>
      <c r="CB207" s="40">
        <v>33</v>
      </c>
      <c r="CC207" s="40">
        <v>332.85111486666665</v>
      </c>
      <c r="CD20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-33</v>
      </c>
    </row>
    <row r="208" spans="1:82" x14ac:dyDescent="0.25">
      <c r="A208" s="311" t="s">
        <v>367</v>
      </c>
      <c r="B208" s="1"/>
      <c r="C208" s="2" t="e">
        <f>_xlfn.XLOOKUP(Tableau5617192223242425262827293031333432353620383961719241822254140424344104746[[#This Row],[Num Projets]],#REF!,#REF!,FALSE)</f>
        <v>#REF!</v>
      </c>
      <c r="D208" s="192" t="s">
        <v>6</v>
      </c>
      <c r="E208" s="3" t="e">
        <f>_xlfn.XLOOKUP(Tableau5617192223242425262827293031333432353620383961719241822254140424344104746[[#This Row],[Num Projets]],#REF!,#REF!,FALSE)</f>
        <v>#REF!</v>
      </c>
      <c r="F208" s="3" t="s">
        <v>214</v>
      </c>
      <c r="G208" s="3"/>
      <c r="H208" s="3" t="s">
        <v>368</v>
      </c>
      <c r="I208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8" s="4" t="e">
        <f>VLOOKUP(Tableau5617192223242425262827293031333432353620383961719241822254140424344104746[[#This Row],[Num Projets]],#REF!,36,FALSE)</f>
        <v>#REF!</v>
      </c>
      <c r="K208" s="5" t="s">
        <v>9</v>
      </c>
      <c r="L20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8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8" s="7" t="e">
        <f>VLOOKUP(H208,#REF!,7,FALSE)</f>
        <v>#REF!</v>
      </c>
      <c r="O208" s="7" t="e">
        <f>IF(VLOOKUP(H208,#REF!,27,FALSE)=0,"",VLOOKUP(H208,#REF!,27,FALSE))</f>
        <v>#REF!</v>
      </c>
      <c r="P208" s="8" t="e">
        <f>VLOOKUP(H208,#REF!,2,FALSE)</f>
        <v>#REF!</v>
      </c>
      <c r="Q208" s="9" t="e">
        <f>Tableau5617192223242425262827293031333432353620383961719241822254140424344104746[[#This Row],[Total Budget
€]]-IFERROR(VLOOKUP(H208,#REF!,8,FALSE),0)</f>
        <v>#REF!</v>
      </c>
      <c r="R208" s="10">
        <f>AD208+AI208+Tableau5617192223242425262827293031333432353620383961719241822254140424344104746[[#This Row],[Int Commandé OT
€]]+AX208</f>
        <v>0</v>
      </c>
      <c r="S208" s="10">
        <f>AD208+AJ208+Tableau5617192223242425262827293031333432353620383961719241822254140424344104746[[#This Row],[Int Réalisé OT
€]]+AX208</f>
        <v>0</v>
      </c>
      <c r="T208" s="11" t="e">
        <f t="shared" si="56"/>
        <v>#REF!</v>
      </c>
      <c r="U20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8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8" s="12" t="e">
        <f>Tableau5617192223242425262827293031333432353620383961719241822254140424344104746[[#This Row],[Budget Heures Valorisées
€]]/105</f>
        <v>#REF!</v>
      </c>
      <c r="X208" s="13">
        <f>IFERROR(VLOOKUP(H208,#REF!,2,FALSE),0)</f>
        <v>0</v>
      </c>
      <c r="Y208" s="13">
        <f>IFERROR(VLOOKUP(H208,#REF!,3,FALSE),0)</f>
        <v>0</v>
      </c>
      <c r="Z20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</v>
      </c>
      <c r="AA208" s="13">
        <f>IFERROR(VLOOKUP(H208,#REF!,18,FALSE),0)</f>
        <v>0</v>
      </c>
      <c r="AB208" s="13">
        <f>SUM(X208:Y208)-IFERROR(VLOOKUP(H208,#REF!,16,FALSE),0)-IFERROR(VLOOKUP(H208,#REF!,17,FALSE),0)</f>
        <v>0</v>
      </c>
      <c r="AC208" s="15" t="e">
        <f>VLOOKUP(Tableau5617192223242425262827293031333432353620383961719241822254140424344104746[[#This Row],[Num Projets]],#REF!,2,FALSE)</f>
        <v>#REF!</v>
      </c>
      <c r="AD208" s="15">
        <f>IFERROR(VLOOKUP(Tableau5617192223242425262827293031333432353620383961719241822254140424344104746[[#This Row],[Num Projets]],#REF!,2,FALSE),0)</f>
        <v>0</v>
      </c>
      <c r="AE208" s="8">
        <f t="shared" si="57"/>
        <v>47.8</v>
      </c>
      <c r="AF208" s="22" t="e">
        <f t="shared" si="58"/>
        <v>#REF!</v>
      </c>
      <c r="AG208" s="8">
        <f>IFERROR(VLOOKUP(H208,#REF!,3,FALSE),0)+IFERROR(VLOOKUP(H208,#REF!,3,FALSE),0)</f>
        <v>0</v>
      </c>
      <c r="AH208" s="8">
        <f>IFERROR(VLOOKUP(Tableau5617192223242425262827293031333432353620383961719241822254140424344104746[[#This Row],[Num Projets]],#REF!,2,FALSE),0)</f>
        <v>0</v>
      </c>
      <c r="AI208" s="17">
        <f>+IFERROR(VLOOKUP(H208,#REF!,2,FALSE),0)-Tableau5617192223242425262827293031333432353620383961719241822254140424344104746[[#This Row],[Int Commandé OT
€]]</f>
        <v>0</v>
      </c>
      <c r="AJ208" s="8">
        <f>IFERROR(VLOOKUP(H208,#REF!,11,FALSE),0)-IFERROR(VLOOKUP(H208,#REF!,10,FALSE),0)+Tableau5617192223242425262827293031333432353620383961719241822254140424344104746[[#This Row],[dont FNP à date (€ HT)]]</f>
        <v>0</v>
      </c>
      <c r="AK208" s="15">
        <f t="shared" si="59"/>
        <v>0</v>
      </c>
      <c r="AL208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8" s="19">
        <f>IF(Tableau5617192223242425262827293031333432353620383961719241822254140424344104746[[#This Row],[RAF Achats M-1
€]]=0,0,AN208-AO208)</f>
        <v>0</v>
      </c>
      <c r="AN208" s="8">
        <f>IFERROR(VLOOKUP(H208,#REF!,31,FALSE),0)</f>
        <v>0</v>
      </c>
      <c r="AO208" s="8">
        <f>AI208+-IFERROR(VLOOKUP(H208,#REF!,27,FALSE),0)</f>
        <v>0</v>
      </c>
      <c r="AP208" s="20">
        <f>IFERROR(VLOOKUP(Tableau5617192223242425262827293031333432353620383961719241822254140424344104746[[#This Row],[Num Projets]],#REF!,2,FALSE),0)</f>
        <v>0</v>
      </c>
      <c r="AQ208" s="20">
        <f>_xlfn.XLOOKUP(H208,[2]Synth!$N:$N,[2]Synth!$O:$O,0,FALSE)+_xlfn.XLOOKUP(Tableau5617192223242425262827293031333432353620383961719241822254140424344104746[[#This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8" s="21">
        <v>0</v>
      </c>
      <c r="AS208" s="20">
        <f>+IFERROR(VLOOKUP(H208,#REF!,36,FALSE),0)</f>
        <v>0</v>
      </c>
      <c r="AT20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8" s="22">
        <f>IF(AG208=0,0,1-((AI208+AM208+Tableau5617192223242425262827293031333432353620383961719241822254140424344104746[[#This Row],[Int Commandé OT
€]]+Tableau5617192223242425262827293031333432353620383961719241822254140424344104746[[#This Row],[RAF Int OT
€]])/AG208))</f>
        <v>0</v>
      </c>
      <c r="AV208" s="8">
        <f>IFERROR(VLOOKUP(H208,#REF!,4,FALSE),0)+IFERROR(VLOOKUP(H208,#REF!,4,FALSE),0)</f>
        <v>0</v>
      </c>
      <c r="AW208" s="194">
        <f>IFERROR(VLOOKUP(Tableau5617192223242425262827293031333432353620383961719241822254140424344104746[[#This Row],[Num Projets]],#REF!,3,FALSE),0)</f>
        <v>0</v>
      </c>
      <c r="AX208" s="95">
        <f>IFERROR(VLOOKUP(Tableau5617192223242425262827293031333432353620383961719241822254140424344104746[[#This Row],[Num Projets]],#REF!,10,FALSE),0)</f>
        <v>0</v>
      </c>
      <c r="AY208" s="23">
        <f>Tableau5617192223242425262827293031333432353620383961719241822254140424344104746[[#This Row],[Budget Mission
 €]]/1.2-AX208</f>
        <v>0</v>
      </c>
      <c r="AZ208" s="8">
        <f>IFERROR(VLOOKUP(H208,#REF!,43,FALSE),0)</f>
        <v>0</v>
      </c>
      <c r="BA208" s="8">
        <f>AX208-IFERROR(VLOOKUP(H208,#REF!,42,FALSE),0)</f>
        <v>0</v>
      </c>
      <c r="BB208" s="47">
        <f t="shared" si="60"/>
        <v>0</v>
      </c>
      <c r="BC208" s="24">
        <f>IFERROR(VLOOKUP(H208,#REF!,47,FALSE),IFERROR(VLOOKUP(H208,#REF!,5,FALSE),0)+IFERROR(VLOOKUP(H208,#REF!,5,FALSE),0))</f>
        <v>0</v>
      </c>
      <c r="BD208" s="25">
        <f>IFERROR(VLOOKUP(H208,#REF!,2,FALSE),0)</f>
        <v>0</v>
      </c>
      <c r="BE208" s="25">
        <f>IFERROR(VLOOKUP(H208,#REF!,49,FALSE),0)</f>
        <v>0</v>
      </c>
      <c r="BF208" s="50" t="e">
        <f t="shared" si="61"/>
        <v>#REF!</v>
      </c>
      <c r="BG208" s="50">
        <f t="shared" si="62"/>
        <v>0</v>
      </c>
      <c r="BH208" s="27">
        <f>AE208+ (AI208-AJ208+AM208+Tableau5617192223242425262827293031333432353620383961719241822254140424344104746[[#This Row],[Int Commandé OT
€]]-Tableau5617192223242425262827293031333432353620383961719241822254140424344104746[[#This Row],[Int Réalisé OT
€]]+AR208) +AY208+BC208</f>
        <v>47.8</v>
      </c>
      <c r="BI208" s="47">
        <f t="shared" si="63"/>
        <v>0</v>
      </c>
      <c r="BJ208" s="47" t="e">
        <f t="shared" si="64"/>
        <v>#REF!</v>
      </c>
      <c r="BK208" s="27" t="e">
        <f t="shared" si="68"/>
        <v>#REF!</v>
      </c>
      <c r="BL208" s="26" t="e">
        <f t="shared" si="69"/>
        <v>#REF!</v>
      </c>
      <c r="BM208" s="96">
        <f>IFERROR(VLOOKUP(H208,'[1]2023sep'!H:CA,54,FALSE),105)</f>
        <v>105</v>
      </c>
      <c r="BN208" s="29">
        <v>1</v>
      </c>
      <c r="BO208" s="30" t="e">
        <f>P208-AC208-AG208-AV208-Tableau5617192223242425262827293031333432353620383961719241822254140424344104746[[#This Row],[Provisions pour risques]]</f>
        <v>#REF!</v>
      </c>
      <c r="BP208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47.8</v>
      </c>
      <c r="BQ208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8" s="97" t="e">
        <f t="shared" si="65"/>
        <v>#REF!</v>
      </c>
      <c r="BS208" s="34">
        <f>Tableau5617192223242425262827293031333432353620383961719241822254140424344104746[[#This Row],[Consommé global Enregistré à date (€ HT)]]-IFERROR(VLOOKUP(H208,#REF!,50,FALSE),0)</f>
        <v>0</v>
      </c>
      <c r="BT208" s="35" t="e">
        <f t="shared" si="66"/>
        <v>#REF!</v>
      </c>
      <c r="BU208" s="36">
        <f>BD208-IFERROR(VLOOKUP(H208,#REF!,47,FALSE),0)</f>
        <v>0</v>
      </c>
      <c r="BV208" s="37" t="e">
        <f>+BF208+Tableau5617192223242425262827293031333432353620383961719241822254140424344104746[[#This Row],[CA fin N-1]]-IFERROR(VLOOKUP(H208,#REF!,49,FALSE),0)-IFERROR(VLOOKUP(H208,#REF!,50,FALSE),0)</f>
        <v>#REF!</v>
      </c>
      <c r="BW208" s="33">
        <f>BG208-IFERROR(VLOOKUP(H208,#REF!,51,FALSE),0)</f>
        <v>0</v>
      </c>
      <c r="BX208" s="35" t="e">
        <f t="shared" si="67"/>
        <v>#REF!</v>
      </c>
      <c r="BY208" s="36">
        <f>BD208-IFERROR(VLOOKUP(H208,#REF!,48,FALSE),0)</f>
        <v>0</v>
      </c>
      <c r="BZ208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8" s="39" t="e">
        <f>VLOOKUP(Tableau5617192223242425262827293031333432353620383961719241822254140424344104746[[#This Row],[Num Projets]],#REF!,1,FALSE)</f>
        <v>#REF!</v>
      </c>
      <c r="CB208" s="40">
        <v>1</v>
      </c>
      <c r="CC208" s="40">
        <v>0</v>
      </c>
      <c r="CD20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</v>
      </c>
    </row>
    <row r="209" spans="1:82" x14ac:dyDescent="0.25">
      <c r="A209" s="323"/>
      <c r="B209" s="195"/>
      <c r="C209" s="229" t="e">
        <f>_xlfn.XLOOKUP(Tableau5617192223242425262827293031333432353620383961719241822254140424344104746[[#This Row],[Num Projets]],#REF!,#REF!,FALSE)</f>
        <v>#REF!</v>
      </c>
      <c r="D209" s="3" t="s">
        <v>362</v>
      </c>
      <c r="E209" s="166" t="e">
        <f>_xlfn.XLOOKUP(Tableau5617192223242425262827293031333432353620383961719241822254140424344104746[[#This Row],[Num Projets]],#REF!,#REF!,FALSE)</f>
        <v>#REF!</v>
      </c>
      <c r="F209" s="3" t="s">
        <v>70</v>
      </c>
      <c r="G209" s="3"/>
      <c r="H209" s="166" t="s">
        <v>369</v>
      </c>
      <c r="I209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09" s="4" t="e">
        <f>VLOOKUP(Tableau5617192223242425262827293031333432353620383961719241822254140424344104746[[#This Row],[Num Projets]],#REF!,36,FALSE)</f>
        <v>#REF!</v>
      </c>
      <c r="K209" s="5" t="s">
        <v>364</v>
      </c>
      <c r="L20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09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09" s="7" t="e">
        <f>VLOOKUP(H209,#REF!,7,FALSE)</f>
        <v>#REF!</v>
      </c>
      <c r="O209" s="7" t="e">
        <f>IF(VLOOKUP(H209,#REF!,27,FALSE)=0,"",VLOOKUP(H209,#REF!,27,FALSE))</f>
        <v>#REF!</v>
      </c>
      <c r="P209" s="8" t="e">
        <f>VLOOKUP(H209,#REF!,2,FALSE)</f>
        <v>#REF!</v>
      </c>
      <c r="Q209" s="9" t="e">
        <f>Tableau5617192223242425262827293031333432353620383961719241822254140424344104746[[#This Row],[Total Budget
€]]-IFERROR(VLOOKUP(H209,#REF!,8,FALSE),0)</f>
        <v>#REF!</v>
      </c>
      <c r="R209" s="10">
        <f>AD209+AI209+Tableau5617192223242425262827293031333432353620383961719241822254140424344104746[[#This Row],[Int Commandé OT
€]]+AX209</f>
        <v>0</v>
      </c>
      <c r="S209" s="10">
        <f>AD209+AJ209+Tableau5617192223242425262827293031333432353620383961719241822254140424344104746[[#This Row],[Int Réalisé OT
€]]+AX209</f>
        <v>0</v>
      </c>
      <c r="T209" s="11" t="e">
        <f t="shared" si="56"/>
        <v>#REF!</v>
      </c>
      <c r="U20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09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09" s="12">
        <v>120</v>
      </c>
      <c r="X209" s="13">
        <f>IFERROR(VLOOKUP(H209,#REF!,2,FALSE),0)</f>
        <v>0</v>
      </c>
      <c r="Y209" s="13">
        <f>IFERROR(VLOOKUP(H209,#REF!,3,FALSE),0)</f>
        <v>0</v>
      </c>
      <c r="Z20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120</v>
      </c>
      <c r="AA209" s="13">
        <f>IFERROR(VLOOKUP(H209,#REF!,18,FALSE),0)</f>
        <v>0</v>
      </c>
      <c r="AB209" s="13">
        <f>SUM(X209:Y209)-IFERROR(VLOOKUP(H209,#REF!,16,FALSE),0)-IFERROR(VLOOKUP(H209,#REF!,17,FALSE),0)</f>
        <v>0</v>
      </c>
      <c r="AC209" s="15" t="e">
        <f>VLOOKUP(Tableau5617192223242425262827293031333432353620383961719241822254140424344104746[[#This Row],[Num Projets]],#REF!,2,FALSE)</f>
        <v>#REF!</v>
      </c>
      <c r="AD209" s="15">
        <f>IFERROR(VLOOKUP(Tableau5617192223242425262827293031333432353620383961719241822254140424344104746[[#This Row],[Num Projets]],#REF!,2,FALSE),0)</f>
        <v>0</v>
      </c>
      <c r="AE209" s="8">
        <f t="shared" si="57"/>
        <v>5736</v>
      </c>
      <c r="AF209" s="22" t="e">
        <f t="shared" si="58"/>
        <v>#REF!</v>
      </c>
      <c r="AG209" s="8">
        <f>IFERROR(VLOOKUP(H209,#REF!,3,FALSE),0)+IFERROR(VLOOKUP(H209,#REF!,3,FALSE),0)</f>
        <v>0</v>
      </c>
      <c r="AH209" s="8">
        <f>IFERROR(VLOOKUP(Tableau5617192223242425262827293031333432353620383961719241822254140424344104746[[#This Row],[Num Projets]],#REF!,2,FALSE),0)</f>
        <v>0</v>
      </c>
      <c r="AI209" s="17">
        <f>+IFERROR(VLOOKUP(H209,#REF!,2,FALSE),0)-Tableau5617192223242425262827293031333432353620383961719241822254140424344104746[[#This Row],[Int Commandé OT
€]]</f>
        <v>0</v>
      </c>
      <c r="AJ209" s="8">
        <f>IFERROR(VLOOKUP(H209,#REF!,11,FALSE),0)-IFERROR(VLOOKUP(H209,#REF!,10,FALSE),0)+Tableau5617192223242425262827293031333432353620383961719241822254140424344104746[[#This Row],[dont FNP à date (€ HT)]]</f>
        <v>0</v>
      </c>
      <c r="AK209" s="15">
        <f t="shared" si="59"/>
        <v>0</v>
      </c>
      <c r="AL209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09" s="19">
        <f>IF(Tableau5617192223242425262827293031333432353620383961719241822254140424344104746[[#This Row],[RAF Achats M-1
€]]=0,0,AN209-AO209)</f>
        <v>0</v>
      </c>
      <c r="AN209" s="8">
        <f>IFERROR(VLOOKUP(H209,#REF!,31,FALSE),0)</f>
        <v>0</v>
      </c>
      <c r="AO209" s="8">
        <f>AI209+-IFERROR(VLOOKUP(H209,#REF!,27,FALSE),0)</f>
        <v>0</v>
      </c>
      <c r="AP209" s="20">
        <f>IFERROR(VLOOKUP(Tableau5617192223242425262827293031333432353620383961719241822254140424344104746[[#This Row],[Num Projets]],#REF!,2,FALSE),0)</f>
        <v>0</v>
      </c>
      <c r="AQ209" s="20">
        <f>_xlfn.XLOOKUP(H209,[2]Synth!$N:$N,[2]Synth!$O:$O,0,FALSE)+_xlfn.XLOOKUP(Tableau5617192223242425262827293031333432353620383961719241822254140424344104746[[#This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09" s="21">
        <v>0</v>
      </c>
      <c r="AS209" s="20">
        <f>+IFERROR(VLOOKUP(H209,#REF!,36,FALSE),0)</f>
        <v>0</v>
      </c>
      <c r="AT20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09" s="22">
        <f>IF(AG209=0,0,1-((AI209+AM209+Tableau5617192223242425262827293031333432353620383961719241822254140424344104746[[#This Row],[Int Commandé OT
€]]+Tableau5617192223242425262827293031333432353620383961719241822254140424344104746[[#This Row],[RAF Int OT
€]])/AG209))</f>
        <v>0</v>
      </c>
      <c r="AV209" s="8">
        <f>IFERROR(VLOOKUP(H209,#REF!,4,FALSE),0)+IFERROR(VLOOKUP(H209,#REF!,4,FALSE),0)</f>
        <v>0</v>
      </c>
      <c r="AW209" s="194">
        <f>IFERROR(VLOOKUP(Tableau5617192223242425262827293031333432353620383961719241822254140424344104746[[#This Row],[Num Projets]],#REF!,3,FALSE),0)</f>
        <v>0</v>
      </c>
      <c r="AX209" s="95">
        <f>IFERROR(VLOOKUP(Tableau5617192223242425262827293031333432353620383961719241822254140424344104746[[#This Row],[Num Projets]],#REF!,10,FALSE),0)</f>
        <v>0</v>
      </c>
      <c r="AY209" s="23">
        <f>Tableau5617192223242425262827293031333432353620383961719241822254140424344104746[[#This Row],[Budget Mission
 €]]/1.2-AX209</f>
        <v>0</v>
      </c>
      <c r="AZ209" s="8">
        <f>IFERROR(VLOOKUP(H209,#REF!,43,FALSE),0)</f>
        <v>0</v>
      </c>
      <c r="BA209" s="8">
        <f>AX209-IFERROR(VLOOKUP(H209,#REF!,42,FALSE),0)</f>
        <v>0</v>
      </c>
      <c r="BB209" s="47">
        <f t="shared" si="60"/>
        <v>0</v>
      </c>
      <c r="BC209" s="24">
        <f>IFERROR(VLOOKUP(H209,#REF!,47,FALSE),IFERROR(VLOOKUP(H209,#REF!,5,FALSE),0)+IFERROR(VLOOKUP(H209,#REF!,5,FALSE),0))</f>
        <v>0</v>
      </c>
      <c r="BD209" s="25">
        <f>IFERROR(VLOOKUP(H209,#REF!,2,FALSE),0)</f>
        <v>0</v>
      </c>
      <c r="BE209" s="25">
        <f>IFERROR(VLOOKUP(H209,#REF!,49,FALSE),0)</f>
        <v>0</v>
      </c>
      <c r="BF209" s="50" t="e">
        <f t="shared" si="61"/>
        <v>#REF!</v>
      </c>
      <c r="BG209" s="50">
        <f t="shared" si="62"/>
        <v>0</v>
      </c>
      <c r="BH209" s="27">
        <f>AE209+ (AI209-AJ209+AM209+Tableau5617192223242425262827293031333432353620383961719241822254140424344104746[[#This Row],[Int Commandé OT
€]]-Tableau5617192223242425262827293031333432353620383961719241822254140424344104746[[#This Row],[Int Réalisé OT
€]]+AR209) +AY209+BC209</f>
        <v>5736</v>
      </c>
      <c r="BI209" s="47">
        <f t="shared" si="63"/>
        <v>0</v>
      </c>
      <c r="BJ209" s="47" t="e">
        <f t="shared" si="64"/>
        <v>#REF!</v>
      </c>
      <c r="BK209" s="27" t="e">
        <f t="shared" si="68"/>
        <v>#REF!</v>
      </c>
      <c r="BL209" s="26" t="e">
        <f t="shared" si="69"/>
        <v>#REF!</v>
      </c>
      <c r="BM209" s="96">
        <f>IFERROR(VLOOKUP(H209,'[1]2023sep'!H:CA,54,FALSE),105)</f>
        <v>105</v>
      </c>
      <c r="BN209" s="29">
        <v>1</v>
      </c>
      <c r="BO209" s="30" t="e">
        <f>P209-AC209-AG209-AV209-Tableau5617192223242425262827293031333432353620383961719241822254140424344104746[[#This Row],[Provisions pour risques]]</f>
        <v>#REF!</v>
      </c>
      <c r="BP209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5736</v>
      </c>
      <c r="BQ209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09" s="97" t="e">
        <f t="shared" si="65"/>
        <v>#REF!</v>
      </c>
      <c r="BS209" s="34">
        <f>Tableau5617192223242425262827293031333432353620383961719241822254140424344104746[[#This Row],[Consommé global Enregistré à date (€ HT)]]-IFERROR(VLOOKUP(H209,#REF!,50,FALSE),0)</f>
        <v>0</v>
      </c>
      <c r="BT209" s="35" t="e">
        <f t="shared" si="66"/>
        <v>#REF!</v>
      </c>
      <c r="BU209" s="36">
        <f>BD209-IFERROR(VLOOKUP(H209,#REF!,47,FALSE),0)</f>
        <v>0</v>
      </c>
      <c r="BV209" s="37" t="e">
        <f>+BF209+Tableau5617192223242425262827293031333432353620383961719241822254140424344104746[[#This Row],[CA fin N-1]]-IFERROR(VLOOKUP(H209,#REF!,49,FALSE),0)-IFERROR(VLOOKUP(H209,#REF!,50,FALSE),0)</f>
        <v>#REF!</v>
      </c>
      <c r="BW209" s="33">
        <f>BG209-IFERROR(VLOOKUP(H209,#REF!,51,FALSE),0)</f>
        <v>0</v>
      </c>
      <c r="BX209" s="35" t="e">
        <f t="shared" si="67"/>
        <v>#REF!</v>
      </c>
      <c r="BY209" s="36">
        <f>BD209-IFERROR(VLOOKUP(H209,#REF!,48,FALSE),0)</f>
        <v>0</v>
      </c>
      <c r="BZ209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09" s="39" t="e">
        <f>VLOOKUP(Tableau5617192223242425262827293031333432353620383961719241822254140424344104746[[#This Row],[Num Projets]],#REF!,1,FALSE)</f>
        <v>#REF!</v>
      </c>
      <c r="CB209" s="40">
        <v>0</v>
      </c>
      <c r="CC209" s="40">
        <v>120</v>
      </c>
      <c r="CD20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0" spans="1:82" x14ac:dyDescent="0.25">
      <c r="A210" s="311"/>
      <c r="B210" s="1"/>
      <c r="C210" s="2" t="e">
        <f>_xlfn.XLOOKUP(Tableau5617192223242425262827293031333432353620383961719241822254140424344104746[[#This Row],[Num Projets]],#REF!,#REF!,FALSE)</f>
        <v>#REF!</v>
      </c>
      <c r="D210" s="3" t="s">
        <v>362</v>
      </c>
      <c r="E210" s="3" t="e">
        <f>_xlfn.XLOOKUP(Tableau5617192223242425262827293031333432353620383961719241822254140424344104746[[#This Row],[Num Projets]],#REF!,#REF!,FALSE)</f>
        <v>#REF!</v>
      </c>
      <c r="F210" s="3" t="s">
        <v>70</v>
      </c>
      <c r="G210" s="3"/>
      <c r="H210" s="15" t="s">
        <v>370</v>
      </c>
      <c r="I210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0" s="4" t="e">
        <f>VLOOKUP(Tableau5617192223242425262827293031333432353620383961719241822254140424344104746[[#This Row],[Num Projets]],#REF!,36,FALSE)</f>
        <v>#REF!</v>
      </c>
      <c r="K210" s="5" t="s">
        <v>364</v>
      </c>
      <c r="L21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0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0" s="7" t="e">
        <f>VLOOKUP(H210,#REF!,7,FALSE)</f>
        <v>#REF!</v>
      </c>
      <c r="O210" s="7" t="e">
        <f>IF(VLOOKUP(H210,#REF!,27,FALSE)=0,"",VLOOKUP(H210,#REF!,27,FALSE))</f>
        <v>#REF!</v>
      </c>
      <c r="P210" s="8" t="e">
        <f>VLOOKUP(H210,#REF!,2,FALSE)</f>
        <v>#REF!</v>
      </c>
      <c r="Q210" s="9" t="e">
        <f>Tableau5617192223242425262827293031333432353620383961719241822254140424344104746[[#This Row],[Total Budget
€]]-IFERROR(VLOOKUP(H210,#REF!,8,FALSE),0)</f>
        <v>#REF!</v>
      </c>
      <c r="R210" s="10">
        <f>AD210+AI210+Tableau5617192223242425262827293031333432353620383961719241822254140424344104746[[#This Row],[Int Commandé OT
€]]+AX210</f>
        <v>0</v>
      </c>
      <c r="S210" s="10">
        <f>AD210+AJ210+Tableau5617192223242425262827293031333432353620383961719241822254140424344104746[[#This Row],[Int Réalisé OT
€]]+AX210</f>
        <v>0</v>
      </c>
      <c r="T210" s="11" t="e">
        <f>IF(P210=0,0,1-(((AD210+AI210+AX210+AP210)+(AE210+AM210+AY210+BC210+AR210))/P210))</f>
        <v>#REF!</v>
      </c>
      <c r="U21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0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0" s="12">
        <v>80</v>
      </c>
      <c r="X210" s="13">
        <f>IFERROR(VLOOKUP(H210,#REF!,2,FALSE),0)</f>
        <v>0</v>
      </c>
      <c r="Y210" s="13">
        <f>IFERROR(VLOOKUP(H210,#REF!,3,FALSE),0)</f>
        <v>0</v>
      </c>
      <c r="Z21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80</v>
      </c>
      <c r="AA210" s="13">
        <f>IFERROR(VLOOKUP(H210,#REF!,18,FALSE),0)</f>
        <v>0</v>
      </c>
      <c r="AB210" s="13">
        <f>SUM(X210:Y210)-IFERROR(VLOOKUP(H210,#REF!,16,FALSE),0)-IFERROR(VLOOKUP(H210,#REF!,17,FALSE),0)</f>
        <v>0</v>
      </c>
      <c r="AC210" s="15" t="e">
        <f>VLOOKUP(Tableau5617192223242425262827293031333432353620383961719241822254140424344104746[[#This Row],[Num Projets]],#REF!,2,FALSE)</f>
        <v>#REF!</v>
      </c>
      <c r="AD210" s="15">
        <f>IFERROR(VLOOKUP(Tableau5617192223242425262827293031333432353620383961719241822254140424344104746[[#This Row],[Num Projets]],#REF!,2,FALSE),0)</f>
        <v>0</v>
      </c>
      <c r="AE210" s="8">
        <f>Z210*47.8</f>
        <v>3824</v>
      </c>
      <c r="AF210" s="22" t="e">
        <f>IF(AC210=0,0,1-((AD210+AE210)/AC210))</f>
        <v>#REF!</v>
      </c>
      <c r="AG210" s="8">
        <f>IFERROR(VLOOKUP(H210,#REF!,3,FALSE),0)+IFERROR(VLOOKUP(H210,#REF!,3,FALSE),0)</f>
        <v>0</v>
      </c>
      <c r="AH210" s="8">
        <f>IFERROR(VLOOKUP(Tableau5617192223242425262827293031333432353620383961719241822254140424344104746[[#This Row],[Num Projets]],#REF!,2,FALSE),0)</f>
        <v>0</v>
      </c>
      <c r="AI210" s="17">
        <f>+IFERROR(VLOOKUP(H210,#REF!,2,FALSE),0)-Tableau5617192223242425262827293031333432353620383961719241822254140424344104746[[#This Row],[Int Commandé OT
€]]</f>
        <v>0</v>
      </c>
      <c r="AJ210" s="8">
        <f>IFERROR(VLOOKUP(H210,#REF!,11,FALSE),0)-IFERROR(VLOOKUP(H210,#REF!,10,FALSE),0)+Tableau5617192223242425262827293031333432353620383961719241822254140424344104746[[#This Row],[dont FNP à date (€ HT)]]</f>
        <v>0</v>
      </c>
      <c r="AK210" s="15">
        <f>AI210-AJ210</f>
        <v>0</v>
      </c>
      <c r="AL210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0" s="19">
        <f>IF(Tableau5617192223242425262827293031333432353620383961719241822254140424344104746[[#This Row],[RAF Achats M-1
€]]=0,0,AN210-AO210)</f>
        <v>0</v>
      </c>
      <c r="AN210" s="8">
        <f>IFERROR(VLOOKUP(H210,#REF!,31,FALSE),0)</f>
        <v>0</v>
      </c>
      <c r="AO210" s="8">
        <f>AI210+-IFERROR(VLOOKUP(H210,#REF!,27,FALSE),0)</f>
        <v>0</v>
      </c>
      <c r="AP210" s="20">
        <f>IFERROR(VLOOKUP(Tableau5617192223242425262827293031333432353620383961719241822254140424344104746[[#This Row],[Num Projets]],#REF!,2,FALSE),0)</f>
        <v>0</v>
      </c>
      <c r="AQ210" s="20">
        <f>_xlfn.XLOOKUP(H210,[2]Synth!$N:$N,[2]Synth!$O:$O,0,FALSE)+_xlfn.XLOOKUP(Tableau5617192223242425262827293031333432353620383961719241822254140424344104746[[#This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0" s="21">
        <v>0</v>
      </c>
      <c r="AS210" s="20">
        <f>+IFERROR(VLOOKUP(H210,#REF!,36,FALSE),0)</f>
        <v>0</v>
      </c>
      <c r="AT21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0" s="22">
        <f>IF(AG210=0,0,1-((AI210+AM210+Tableau5617192223242425262827293031333432353620383961719241822254140424344104746[[#This Row],[Int Commandé OT
€]]+Tableau5617192223242425262827293031333432353620383961719241822254140424344104746[[#This Row],[RAF Int OT
€]])/AG210))</f>
        <v>0</v>
      </c>
      <c r="AV210" s="8">
        <f>IFERROR(VLOOKUP(H210,#REF!,4,FALSE),0)+IFERROR(VLOOKUP(H210,#REF!,4,FALSE),0)</f>
        <v>0</v>
      </c>
      <c r="AW210" s="194">
        <f>IFERROR(VLOOKUP(Tableau5617192223242425262827293031333432353620383961719241822254140424344104746[[#This Row],[Num Projets]],#REF!,3,FALSE),0)</f>
        <v>0</v>
      </c>
      <c r="AX210" s="95">
        <f>IFERROR(VLOOKUP(Tableau5617192223242425262827293031333432353620383961719241822254140424344104746[[#This Row],[Num Projets]],#REF!,10,FALSE),0)</f>
        <v>0</v>
      </c>
      <c r="AY210" s="23">
        <f>Tableau5617192223242425262827293031333432353620383961719241822254140424344104746[[#This Row],[Budget Mission
 €]]/1.2-AX210</f>
        <v>0</v>
      </c>
      <c r="AZ210" s="8">
        <f>IFERROR(VLOOKUP(H210,#REF!,43,FALSE),0)</f>
        <v>0</v>
      </c>
      <c r="BA210" s="8">
        <f>AX210-IFERROR(VLOOKUP(H210,#REF!,42,FALSE),0)</f>
        <v>0</v>
      </c>
      <c r="BB210" s="47">
        <f>IF(AV210=0,0,(1-((AX210+AY210)/AV210)))</f>
        <v>0</v>
      </c>
      <c r="BC210" s="24">
        <f>IFERROR(VLOOKUP(H210,#REF!,47,FALSE),IFERROR(VLOOKUP(H210,#REF!,5,FALSE),0)+IFERROR(VLOOKUP(H210,#REF!,5,FALSE),0))</f>
        <v>0</v>
      </c>
      <c r="BD210" s="25">
        <f>IFERROR(VLOOKUP(H210,#REF!,2,FALSE),0)</f>
        <v>0</v>
      </c>
      <c r="BE210" s="25">
        <f>IFERROR(VLOOKUP(H210,#REF!,49,FALSE),0)</f>
        <v>0</v>
      </c>
      <c r="BF210" s="50" t="e">
        <f>BI210*P210-BE210</f>
        <v>#REF!</v>
      </c>
      <c r="BG210" s="50">
        <f>S210</f>
        <v>0</v>
      </c>
      <c r="BH210" s="27">
        <f>AE210+ (AI210-AJ210+AM210+Tableau5617192223242425262827293031333432353620383961719241822254140424344104746[[#This Row],[Int Commandé OT
€]]-Tableau5617192223242425262827293031333432353620383961719241822254140424344104746[[#This Row],[Int Réalisé OT
€]]+AR210) +AY210+BC210</f>
        <v>3824</v>
      </c>
      <c r="BI210" s="47">
        <f>IF(BG210+BH210=0,100%,BG210/(BG210+BH210))</f>
        <v>0</v>
      </c>
      <c r="BJ210" s="47" t="e">
        <f>IF(P210=0, 0, BD210/P210)</f>
        <v>#REF!</v>
      </c>
      <c r="BK210" s="27" t="e">
        <f>IF((BI210-BJ210)&gt;0,0,(BI210-BJ210)*P210)</f>
        <v>#REF!</v>
      </c>
      <c r="BL210" s="26" t="e">
        <f>IF((BI210-BJ210)&gt;0,(BI210-BJ210)*P210,0)</f>
        <v>#REF!</v>
      </c>
      <c r="BM210" s="96">
        <f>IFERROR(VLOOKUP(H210,'[1]2023sep'!H:CA,54,FALSE),105)</f>
        <v>105</v>
      </c>
      <c r="BN210" s="29">
        <v>1</v>
      </c>
      <c r="BO210" s="30" t="e">
        <f>P210-AC210-AG210-AV210-Tableau5617192223242425262827293031333432353620383961719241822254140424344104746[[#This Row],[Provisions pour risques]]</f>
        <v>#REF!</v>
      </c>
      <c r="BP210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3824</v>
      </c>
      <c r="BQ210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0" s="97" t="e">
        <f>BF210</f>
        <v>#REF!</v>
      </c>
      <c r="BS210" s="34">
        <f>Tableau5617192223242425262827293031333432353620383961719241822254140424344104746[[#This Row],[Consommé global Enregistré à date (€ HT)]]-IFERROR(VLOOKUP(H210,#REF!,50,FALSE),0)</f>
        <v>0</v>
      </c>
      <c r="BT210" s="35" t="e">
        <f>BR210-BS210</f>
        <v>#REF!</v>
      </c>
      <c r="BU210" s="36">
        <f>BD210-IFERROR(VLOOKUP(H210,#REF!,47,FALSE),0)</f>
        <v>0</v>
      </c>
      <c r="BV210" s="37" t="e">
        <f>+BF210+Tableau5617192223242425262827293031333432353620383961719241822254140424344104746[[#This Row],[CA fin N-1]]-IFERROR(VLOOKUP(H210,#REF!,49,FALSE),0)-IFERROR(VLOOKUP(H210,#REF!,50,FALSE),0)</f>
        <v>#REF!</v>
      </c>
      <c r="BW210" s="33">
        <f>BG210-IFERROR(VLOOKUP(H210,#REF!,51,FALSE),0)</f>
        <v>0</v>
      </c>
      <c r="BX210" s="35" t="e">
        <f>BV210-BW210</f>
        <v>#REF!</v>
      </c>
      <c r="BY210" s="36">
        <f>BD210-IFERROR(VLOOKUP(H210,#REF!,48,FALSE),0)</f>
        <v>0</v>
      </c>
      <c r="BZ210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0" s="39" t="e">
        <f>VLOOKUP(Tableau5617192223242425262827293031333432353620383961719241822254140424344104746[[#This Row],[Num Projets]],#REF!,1,FALSE)</f>
        <v>#REF!</v>
      </c>
      <c r="CB210" s="40">
        <v>0</v>
      </c>
      <c r="CC210" s="40">
        <v>80</v>
      </c>
      <c r="CD21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1" spans="1:82" x14ac:dyDescent="0.25">
      <c r="A211" s="311"/>
      <c r="B211" s="1"/>
      <c r="C211" s="2" t="e">
        <f>_xlfn.XLOOKUP(Tableau5617192223242425262827293031333432353620383961719241822254140424344104746[[#This Row],[Num Projets]],#REF!,#REF!,FALSE)</f>
        <v>#REF!</v>
      </c>
      <c r="D211" s="3" t="s">
        <v>362</v>
      </c>
      <c r="E211" s="3" t="e">
        <f>_xlfn.XLOOKUP(Tableau5617192223242425262827293031333432353620383961719241822254140424344104746[[#This Row],[Num Projets]],#REF!,#REF!,FALSE)</f>
        <v>#REF!</v>
      </c>
      <c r="F211" s="3" t="s">
        <v>70</v>
      </c>
      <c r="G211" s="3"/>
      <c r="H211" s="15" t="s">
        <v>371</v>
      </c>
      <c r="I211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1" s="4" t="e">
        <f>VLOOKUP(Tableau5617192223242425262827293031333432353620383961719241822254140424344104746[[#This Row],[Num Projets]],#REF!,36,FALSE)</f>
        <v>#REF!</v>
      </c>
      <c r="K211" s="5" t="s">
        <v>364</v>
      </c>
      <c r="L21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1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1" s="7" t="e">
        <f>VLOOKUP(H211,#REF!,7,FALSE)</f>
        <v>#REF!</v>
      </c>
      <c r="O211" s="7" t="e">
        <f>IF(VLOOKUP(H211,#REF!,27,FALSE)=0,"",VLOOKUP(H211,#REF!,27,FALSE))</f>
        <v>#REF!</v>
      </c>
      <c r="P211" s="8" t="e">
        <f>VLOOKUP(H211,#REF!,2,FALSE)</f>
        <v>#REF!</v>
      </c>
      <c r="Q211" s="9" t="e">
        <f>Tableau5617192223242425262827293031333432353620383961719241822254140424344104746[[#This Row],[Total Budget
€]]-IFERROR(VLOOKUP(H211,#REF!,8,FALSE),0)</f>
        <v>#REF!</v>
      </c>
      <c r="R211" s="10">
        <f>AD211+AI211+Tableau5617192223242425262827293031333432353620383961719241822254140424344104746[[#This Row],[Int Commandé OT
€]]+AX211</f>
        <v>0</v>
      </c>
      <c r="S211" s="10">
        <f>AD211+AJ211+Tableau5617192223242425262827293031333432353620383961719241822254140424344104746[[#This Row],[Int Réalisé OT
€]]+AX211</f>
        <v>0</v>
      </c>
      <c r="T211" s="11" t="e">
        <f>IF(P211=0,0,1-(((AD211+AI211+AX211+AP211)+(AE211+AM211+AY211+BC211+AR211))/P211))</f>
        <v>#REF!</v>
      </c>
      <c r="U21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1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1" s="12">
        <v>80</v>
      </c>
      <c r="X211" s="13">
        <f>IFERROR(VLOOKUP(H211,#REF!,2,FALSE),0)</f>
        <v>0</v>
      </c>
      <c r="Y211" s="13">
        <f>IFERROR(VLOOKUP(H211,#REF!,3,FALSE),0)</f>
        <v>0</v>
      </c>
      <c r="Z21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80</v>
      </c>
      <c r="AA211" s="13">
        <f>IFERROR(VLOOKUP(H211,#REF!,18,FALSE),0)</f>
        <v>0</v>
      </c>
      <c r="AB211" s="13">
        <f>SUM(X211:Y211)-IFERROR(VLOOKUP(H211,#REF!,16,FALSE),0)-IFERROR(VLOOKUP(H211,#REF!,17,FALSE),0)</f>
        <v>0</v>
      </c>
      <c r="AC211" s="15" t="e">
        <f>VLOOKUP(Tableau5617192223242425262827293031333432353620383961719241822254140424344104746[[#This Row],[Num Projets]],#REF!,2,FALSE)</f>
        <v>#REF!</v>
      </c>
      <c r="AD211" s="15">
        <f>IFERROR(VLOOKUP(Tableau5617192223242425262827293031333432353620383961719241822254140424344104746[[#This Row],[Num Projets]],#REF!,2,FALSE),0)</f>
        <v>0</v>
      </c>
      <c r="AE211" s="8">
        <f>Z211*47.8</f>
        <v>3824</v>
      </c>
      <c r="AF211" s="22" t="e">
        <f>IF(AC211=0,0,1-((AD211+AE211)/AC211))</f>
        <v>#REF!</v>
      </c>
      <c r="AG211" s="8">
        <f>IFERROR(VLOOKUP(H211,#REF!,3,FALSE),0)+IFERROR(VLOOKUP(H211,#REF!,3,FALSE),0)</f>
        <v>0</v>
      </c>
      <c r="AH211" s="8">
        <f>IFERROR(VLOOKUP(Tableau5617192223242425262827293031333432353620383961719241822254140424344104746[[#This Row],[Num Projets]],#REF!,2,FALSE),0)</f>
        <v>0</v>
      </c>
      <c r="AI211" s="17">
        <f>+IFERROR(VLOOKUP(H211,#REF!,2,FALSE),0)-Tableau5617192223242425262827293031333432353620383961719241822254140424344104746[[#This Row],[Int Commandé OT
€]]</f>
        <v>0</v>
      </c>
      <c r="AJ211" s="8">
        <f>IFERROR(VLOOKUP(H211,#REF!,11,FALSE),0)-IFERROR(VLOOKUP(H211,#REF!,10,FALSE),0)+Tableau5617192223242425262827293031333432353620383961719241822254140424344104746[[#This Row],[dont FNP à date (€ HT)]]</f>
        <v>0</v>
      </c>
      <c r="AK211" s="15">
        <f>AI211-AJ211</f>
        <v>0</v>
      </c>
      <c r="AL211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1" s="19">
        <f>IF(Tableau5617192223242425262827293031333432353620383961719241822254140424344104746[[#This Row],[RAF Achats M-1
€]]=0,0,AN211-AO211)</f>
        <v>0</v>
      </c>
      <c r="AN211" s="8">
        <f>IFERROR(VLOOKUP(H211,#REF!,31,FALSE),0)</f>
        <v>0</v>
      </c>
      <c r="AO211" s="8">
        <f>AI211+-IFERROR(VLOOKUP(H211,#REF!,27,FALSE),0)</f>
        <v>0</v>
      </c>
      <c r="AP211" s="20">
        <f>IFERROR(VLOOKUP(Tableau5617192223242425262827293031333432353620383961719241822254140424344104746[[#This Row],[Num Projets]],#REF!,2,FALSE),0)</f>
        <v>0</v>
      </c>
      <c r="AQ211" s="20">
        <f>_xlfn.XLOOKUP(H211,[2]Synth!$N:$N,[2]Synth!$O:$O,0,FALSE)+_xlfn.XLOOKUP(Tableau5617192223242425262827293031333432353620383961719241822254140424344104746[[#This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1" s="21">
        <v>0</v>
      </c>
      <c r="AS211" s="20">
        <f>+IFERROR(VLOOKUP(H211,#REF!,36,FALSE),0)</f>
        <v>0</v>
      </c>
      <c r="AT21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1" s="22">
        <f>IF(AG211=0,0,1-((AI211+AM211+Tableau5617192223242425262827293031333432353620383961719241822254140424344104746[[#This Row],[Int Commandé OT
€]]+Tableau5617192223242425262827293031333432353620383961719241822254140424344104746[[#This Row],[RAF Int OT
€]])/AG211))</f>
        <v>0</v>
      </c>
      <c r="AV211" s="8">
        <f>IFERROR(VLOOKUP(H211,#REF!,4,FALSE),0)+IFERROR(VLOOKUP(H211,#REF!,4,FALSE),0)</f>
        <v>0</v>
      </c>
      <c r="AW211" s="194">
        <f>IFERROR(VLOOKUP(Tableau5617192223242425262827293031333432353620383961719241822254140424344104746[[#This Row],[Num Projets]],#REF!,3,FALSE),0)</f>
        <v>0</v>
      </c>
      <c r="AX211" s="95">
        <f>IFERROR(VLOOKUP(Tableau5617192223242425262827293031333432353620383961719241822254140424344104746[[#This Row],[Num Projets]],#REF!,10,FALSE),0)</f>
        <v>0</v>
      </c>
      <c r="AY211" s="23">
        <f>Tableau5617192223242425262827293031333432353620383961719241822254140424344104746[[#This Row],[Budget Mission
 €]]/1.2-AX211</f>
        <v>0</v>
      </c>
      <c r="AZ211" s="8">
        <f>IFERROR(VLOOKUP(H211,#REF!,43,FALSE),0)</f>
        <v>0</v>
      </c>
      <c r="BA211" s="8">
        <f>AX211-IFERROR(VLOOKUP(H211,#REF!,42,FALSE),0)</f>
        <v>0</v>
      </c>
      <c r="BB211" s="47">
        <f>IF(AV211=0,0,(1-((AX211+AY211)/AV211)))</f>
        <v>0</v>
      </c>
      <c r="BC211" s="24">
        <f>IFERROR(VLOOKUP(H211,#REF!,47,FALSE),IFERROR(VLOOKUP(H211,#REF!,5,FALSE),0)+IFERROR(VLOOKUP(H211,#REF!,5,FALSE),0))</f>
        <v>0</v>
      </c>
      <c r="BD211" s="25">
        <f>IFERROR(VLOOKUP(H211,#REF!,2,FALSE),0)</f>
        <v>0</v>
      </c>
      <c r="BE211" s="25">
        <f>IFERROR(VLOOKUP(H211,#REF!,49,FALSE),0)</f>
        <v>0</v>
      </c>
      <c r="BF211" s="50" t="e">
        <f>BI211*P211-BE211</f>
        <v>#REF!</v>
      </c>
      <c r="BG211" s="50">
        <f>S211</f>
        <v>0</v>
      </c>
      <c r="BH211" s="27">
        <f>AE211+ (AI211-AJ211+AM211+Tableau5617192223242425262827293031333432353620383961719241822254140424344104746[[#This Row],[Int Commandé OT
€]]-Tableau5617192223242425262827293031333432353620383961719241822254140424344104746[[#This Row],[Int Réalisé OT
€]]+AR211) +AY211+BC211</f>
        <v>3824</v>
      </c>
      <c r="BI211" s="47">
        <f>IF(BG211+BH211=0,100%,BG211/(BG211+BH211))</f>
        <v>0</v>
      </c>
      <c r="BJ211" s="47" t="e">
        <f>IF(P211=0, 0, BD211/P211)</f>
        <v>#REF!</v>
      </c>
      <c r="BK211" s="27" t="e">
        <f>IF((BI211-BJ211)&gt;0,0,(BI211-BJ211)*P211)</f>
        <v>#REF!</v>
      </c>
      <c r="BL211" s="26" t="e">
        <f>IF((BI211-BJ211)&gt;0,(BI211-BJ211)*P211,0)</f>
        <v>#REF!</v>
      </c>
      <c r="BM211" s="96">
        <f>IFERROR(VLOOKUP(H211,'[1]2023sep'!H:CA,54,FALSE),105)</f>
        <v>105</v>
      </c>
      <c r="BN211" s="29">
        <v>1</v>
      </c>
      <c r="BO211" s="30" t="e">
        <f>P211-AC211-AG211-AV211-Tableau5617192223242425262827293031333432353620383961719241822254140424344104746[[#This Row],[Provisions pour risques]]</f>
        <v>#REF!</v>
      </c>
      <c r="BP211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3824</v>
      </c>
      <c r="BQ211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1" s="97" t="e">
        <f>BF211</f>
        <v>#REF!</v>
      </c>
      <c r="BS211" s="34">
        <f>Tableau5617192223242425262827293031333432353620383961719241822254140424344104746[[#This Row],[Consommé global Enregistré à date (€ HT)]]-IFERROR(VLOOKUP(H211,#REF!,50,FALSE),0)</f>
        <v>0</v>
      </c>
      <c r="BT211" s="35" t="e">
        <f>BR211-BS211</f>
        <v>#REF!</v>
      </c>
      <c r="BU211" s="36">
        <f>BD211-IFERROR(VLOOKUP(H211,#REF!,47,FALSE),0)</f>
        <v>0</v>
      </c>
      <c r="BV211" s="37" t="e">
        <f>+BF211+Tableau5617192223242425262827293031333432353620383961719241822254140424344104746[[#This Row],[CA fin N-1]]-IFERROR(VLOOKUP(H211,#REF!,49,FALSE),0)-IFERROR(VLOOKUP(H211,#REF!,50,FALSE),0)</f>
        <v>#REF!</v>
      </c>
      <c r="BW211" s="33">
        <f>BG211-IFERROR(VLOOKUP(H211,#REF!,51,FALSE),0)</f>
        <v>0</v>
      </c>
      <c r="BX211" s="35" t="e">
        <f>BV211-BW211</f>
        <v>#REF!</v>
      </c>
      <c r="BY211" s="36">
        <f>BD211-IFERROR(VLOOKUP(H211,#REF!,48,FALSE),0)</f>
        <v>0</v>
      </c>
      <c r="BZ211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1" s="39" t="e">
        <f>VLOOKUP(Tableau5617192223242425262827293031333432353620383961719241822254140424344104746[[#This Row],[Num Projets]],#REF!,1,FALSE)</f>
        <v>#REF!</v>
      </c>
      <c r="CB211" s="40">
        <v>0</v>
      </c>
      <c r="CC211" s="40">
        <v>80</v>
      </c>
      <c r="CD21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2" spans="1:82" x14ac:dyDescent="0.25">
      <c r="A212" s="311"/>
      <c r="B212" s="1"/>
      <c r="C212" s="2" t="e">
        <f>_xlfn.XLOOKUP(Tableau5617192223242425262827293031333432353620383961719241822254140424344104746[[#This Row],[Num Projets]],#REF!,#REF!,FALSE)</f>
        <v>#REF!</v>
      </c>
      <c r="D212" s="3" t="s">
        <v>362</v>
      </c>
      <c r="E212" s="3" t="e">
        <f>_xlfn.XLOOKUP(Tableau5617192223242425262827293031333432353620383961719241822254140424344104746[[#This Row],[Num Projets]],#REF!,#REF!,FALSE)</f>
        <v>#REF!</v>
      </c>
      <c r="F212" s="3" t="s">
        <v>70</v>
      </c>
      <c r="G212" s="3"/>
      <c r="H212" s="15" t="s">
        <v>372</v>
      </c>
      <c r="I212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2" s="4" t="e">
        <f>VLOOKUP(Tableau5617192223242425262827293031333432353620383961719241822254140424344104746[[#This Row],[Num Projets]],#REF!,36,FALSE)</f>
        <v>#REF!</v>
      </c>
      <c r="K212" s="5" t="s">
        <v>364</v>
      </c>
      <c r="L21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2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2" s="7" t="e">
        <f>VLOOKUP(H212,#REF!,7,FALSE)</f>
        <v>#REF!</v>
      </c>
      <c r="O212" s="7" t="e">
        <f>IF(VLOOKUP(H212,#REF!,27,FALSE)=0,"",VLOOKUP(H212,#REF!,27,FALSE))</f>
        <v>#REF!</v>
      </c>
      <c r="P212" s="8" t="e">
        <f>VLOOKUP(H212,#REF!,2,FALSE)</f>
        <v>#REF!</v>
      </c>
      <c r="Q212" s="9" t="e">
        <f>Tableau5617192223242425262827293031333432353620383961719241822254140424344104746[[#This Row],[Total Budget
€]]-IFERROR(VLOOKUP(H212,#REF!,8,FALSE),0)</f>
        <v>#REF!</v>
      </c>
      <c r="R212" s="10">
        <f>AD212+AI212+Tableau5617192223242425262827293031333432353620383961719241822254140424344104746[[#This Row],[Int Commandé OT
€]]+AX212</f>
        <v>0</v>
      </c>
      <c r="S212" s="10">
        <f>AD212+AJ212+Tableau5617192223242425262827293031333432353620383961719241822254140424344104746[[#This Row],[Int Réalisé OT
€]]+AX212</f>
        <v>0</v>
      </c>
      <c r="T212" s="11" t="e">
        <f>IF(P212=0,0,1-(((AD212+AI212+AX212+AP212)+(AE212+AM212+AY212+BC212+AR212))/P212))</f>
        <v>#REF!</v>
      </c>
      <c r="U21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2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2" s="12">
        <v>60</v>
      </c>
      <c r="X212" s="13">
        <f>IFERROR(VLOOKUP(H212,#REF!,2,FALSE),0)</f>
        <v>0</v>
      </c>
      <c r="Y212" s="13">
        <f>IFERROR(VLOOKUP(H212,#REF!,3,FALSE),0)</f>
        <v>0</v>
      </c>
      <c r="Z21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60</v>
      </c>
      <c r="AA212" s="13">
        <f>IFERROR(VLOOKUP(H212,#REF!,18,FALSE),0)</f>
        <v>0</v>
      </c>
      <c r="AB212" s="13">
        <f>SUM(X212:Y212)-IFERROR(VLOOKUP(H212,#REF!,16,FALSE),0)-IFERROR(VLOOKUP(H212,#REF!,17,FALSE),0)</f>
        <v>0</v>
      </c>
      <c r="AC212" s="15" t="e">
        <f>VLOOKUP(Tableau5617192223242425262827293031333432353620383961719241822254140424344104746[[#This Row],[Num Projets]],#REF!,2,FALSE)</f>
        <v>#REF!</v>
      </c>
      <c r="AD212" s="15">
        <f>IFERROR(VLOOKUP(Tableau5617192223242425262827293031333432353620383961719241822254140424344104746[[#This Row],[Num Projets]],#REF!,2,FALSE),0)</f>
        <v>0</v>
      </c>
      <c r="AE212" s="8">
        <f>Z212*47.8</f>
        <v>2868</v>
      </c>
      <c r="AF212" s="22" t="e">
        <f>IF(AC212=0,0,1-((AD212+AE212)/AC212))</f>
        <v>#REF!</v>
      </c>
      <c r="AG212" s="8">
        <f>IFERROR(VLOOKUP(H212,#REF!,3,FALSE),0)+IFERROR(VLOOKUP(H212,#REF!,3,FALSE),0)</f>
        <v>0</v>
      </c>
      <c r="AH212" s="8">
        <f>IFERROR(VLOOKUP(Tableau5617192223242425262827293031333432353620383961719241822254140424344104746[[#This Row],[Num Projets]],#REF!,2,FALSE),0)</f>
        <v>0</v>
      </c>
      <c r="AI212" s="17">
        <f>+IFERROR(VLOOKUP(H212,#REF!,2,FALSE),0)-Tableau5617192223242425262827293031333432353620383961719241822254140424344104746[[#This Row],[Int Commandé OT
€]]</f>
        <v>0</v>
      </c>
      <c r="AJ212" s="8">
        <f>IFERROR(VLOOKUP(H212,#REF!,11,FALSE),0)-IFERROR(VLOOKUP(H212,#REF!,10,FALSE),0)+Tableau5617192223242425262827293031333432353620383961719241822254140424344104746[[#This Row],[dont FNP à date (€ HT)]]</f>
        <v>0</v>
      </c>
      <c r="AK212" s="15">
        <f>AI212-AJ212</f>
        <v>0</v>
      </c>
      <c r="AL212" s="1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2" s="19">
        <f>IF(Tableau5617192223242425262827293031333432353620383961719241822254140424344104746[[#This Row],[RAF Achats M-1
€]]=0,0,AN212-AO212)</f>
        <v>0</v>
      </c>
      <c r="AN212" s="8">
        <f>IFERROR(VLOOKUP(H212,#REF!,31,FALSE),0)</f>
        <v>0</v>
      </c>
      <c r="AO212" s="8">
        <f>AI212+-IFERROR(VLOOKUP(H212,#REF!,27,FALSE),0)</f>
        <v>0</v>
      </c>
      <c r="AP212" s="20">
        <f>IFERROR(VLOOKUP(Tableau5617192223242425262827293031333432353620383961719241822254140424344104746[[#This Row],[Num Projets]],#REF!,2,FALSE),0)</f>
        <v>0</v>
      </c>
      <c r="AQ212" s="20">
        <f>_xlfn.XLOOKUP(H212,[2]Synth!$N:$N,[2]Synth!$O:$O,0,FALSE)+_xlfn.XLOOKUP(Tableau5617192223242425262827293031333432353620383961719241822254140424344104746[[#This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2" s="21">
        <v>0</v>
      </c>
      <c r="AS212" s="20">
        <f>+IFERROR(VLOOKUP(H212,#REF!,36,FALSE),0)</f>
        <v>0</v>
      </c>
      <c r="AT21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2" s="22">
        <f>IF(AG212=0,0,1-((AI212+AM212+Tableau5617192223242425262827293031333432353620383961719241822254140424344104746[[#This Row],[Int Commandé OT
€]]+Tableau5617192223242425262827293031333432353620383961719241822254140424344104746[[#This Row],[RAF Int OT
€]])/AG212))</f>
        <v>0</v>
      </c>
      <c r="AV212" s="8">
        <f>IFERROR(VLOOKUP(H212,#REF!,4,FALSE),0)+IFERROR(VLOOKUP(H212,#REF!,4,FALSE),0)</f>
        <v>0</v>
      </c>
      <c r="AW212" s="194">
        <f>IFERROR(VLOOKUP(Tableau5617192223242425262827293031333432353620383961719241822254140424344104746[[#This Row],[Num Projets]],#REF!,3,FALSE),0)</f>
        <v>0</v>
      </c>
      <c r="AX212" s="95">
        <f>IFERROR(VLOOKUP(Tableau5617192223242425262827293031333432353620383961719241822254140424344104746[[#This Row],[Num Projets]],#REF!,10,FALSE),0)</f>
        <v>0</v>
      </c>
      <c r="AY212" s="23">
        <f>Tableau5617192223242425262827293031333432353620383961719241822254140424344104746[[#This Row],[Budget Mission
 €]]/1.2-AX212</f>
        <v>0</v>
      </c>
      <c r="AZ212" s="8">
        <f>IFERROR(VLOOKUP(H212,#REF!,43,FALSE),0)</f>
        <v>0</v>
      </c>
      <c r="BA212" s="8">
        <f>AX212-IFERROR(VLOOKUP(H212,#REF!,42,FALSE),0)</f>
        <v>0</v>
      </c>
      <c r="BB212" s="47">
        <f>IF(AV212=0,0,(1-((AX212+AY212)/AV212)))</f>
        <v>0</v>
      </c>
      <c r="BC212" s="24">
        <f>IFERROR(VLOOKUP(H212,#REF!,47,FALSE),IFERROR(VLOOKUP(H212,#REF!,5,FALSE),0)+IFERROR(VLOOKUP(H212,#REF!,5,FALSE),0))</f>
        <v>0</v>
      </c>
      <c r="BD212" s="25">
        <f>IFERROR(VLOOKUP(H212,#REF!,2,FALSE),0)</f>
        <v>0</v>
      </c>
      <c r="BE212" s="25">
        <f>IFERROR(VLOOKUP(H212,#REF!,49,FALSE),0)</f>
        <v>0</v>
      </c>
      <c r="BF212" s="50" t="e">
        <f>BI212*P212-BE212</f>
        <v>#REF!</v>
      </c>
      <c r="BG212" s="50">
        <f>S212</f>
        <v>0</v>
      </c>
      <c r="BH212" s="27">
        <f>AE212+ (AI212-AJ212+AM212+Tableau5617192223242425262827293031333432353620383961719241822254140424344104746[[#This Row],[Int Commandé OT
€]]-Tableau5617192223242425262827293031333432353620383961719241822254140424344104746[[#This Row],[Int Réalisé OT
€]]+AR212) +AY212+BC212</f>
        <v>2868</v>
      </c>
      <c r="BI212" s="47">
        <f>IF(BG212+BH212=0,100%,BG212/(BG212+BH212))</f>
        <v>0</v>
      </c>
      <c r="BJ212" s="47" t="e">
        <f>IF(P212=0, 0, BD212/P212)</f>
        <v>#REF!</v>
      </c>
      <c r="BK212" s="27" t="e">
        <f>IF((BI212-BJ212)&gt;0,0,(BI212-BJ212)*P212)</f>
        <v>#REF!</v>
      </c>
      <c r="BL212" s="26" t="e">
        <f>IF((BI212-BJ212)&gt;0,(BI212-BJ212)*P212,0)</f>
        <v>#REF!</v>
      </c>
      <c r="BM212" s="96">
        <f>IFERROR(VLOOKUP(H212,'[1]2023sep'!H:CA,54,FALSE),105)</f>
        <v>105</v>
      </c>
      <c r="BN212" s="29">
        <v>1</v>
      </c>
      <c r="BO212" s="30" t="e">
        <f>P212-AC212-AG212-AV212-Tableau5617192223242425262827293031333432353620383961719241822254140424344104746[[#This Row],[Provisions pour risques]]</f>
        <v>#REF!</v>
      </c>
      <c r="BP212" s="31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2868</v>
      </c>
      <c r="BQ212" s="32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2" s="97" t="e">
        <f>BF212</f>
        <v>#REF!</v>
      </c>
      <c r="BS212" s="34">
        <f>Tableau5617192223242425262827293031333432353620383961719241822254140424344104746[[#This Row],[Consommé global Enregistré à date (€ HT)]]-IFERROR(VLOOKUP(H212,#REF!,50,FALSE),0)</f>
        <v>0</v>
      </c>
      <c r="BT212" s="35" t="e">
        <f>BR212-BS212</f>
        <v>#REF!</v>
      </c>
      <c r="BU212" s="36">
        <f>BD212-IFERROR(VLOOKUP(H212,#REF!,47,FALSE),0)</f>
        <v>0</v>
      </c>
      <c r="BV212" s="37" t="e">
        <f>+BF212+Tableau5617192223242425262827293031333432353620383961719241822254140424344104746[[#This Row],[CA fin N-1]]-IFERROR(VLOOKUP(H212,#REF!,49,FALSE),0)-IFERROR(VLOOKUP(H212,#REF!,50,FALSE),0)</f>
        <v>#REF!</v>
      </c>
      <c r="BW212" s="33">
        <f>BG212-IFERROR(VLOOKUP(H212,#REF!,51,FALSE),0)</f>
        <v>0</v>
      </c>
      <c r="BX212" s="35" t="e">
        <f>BV212-BW212</f>
        <v>#REF!</v>
      </c>
      <c r="BY212" s="36">
        <f>BD212-IFERROR(VLOOKUP(H212,#REF!,48,FALSE),0)</f>
        <v>0</v>
      </c>
      <c r="BZ212" s="38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2" s="39" t="e">
        <f>VLOOKUP(Tableau5617192223242425262827293031333432353620383961719241822254140424344104746[[#This Row],[Num Projets]],#REF!,1,FALSE)</f>
        <v>#REF!</v>
      </c>
      <c r="CB212" s="40">
        <v>0</v>
      </c>
      <c r="CC212" s="40">
        <v>60</v>
      </c>
      <c r="CD21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3" spans="1:82" s="315" customFormat="1" x14ac:dyDescent="0.25">
      <c r="A213" s="66"/>
      <c r="B213" s="195"/>
      <c r="C213" s="229" t="e">
        <f>_xlfn.XLOOKUP(Tableau5617192223242425262827293031333432353620383961719241822254140424344104746[[#This Row],[Num Projets]],#REF!,#REF!,FALSE)</f>
        <v>#REF!</v>
      </c>
      <c r="D213" s="166" t="s">
        <v>192</v>
      </c>
      <c r="E213" s="65" t="e">
        <f>_xlfn.XLOOKUP(Tableau5617192223242425262827293031333432353620383961719241822254140424344104746[[#This Row],[Num Projets]],#REF!,#REF!,FALSE)</f>
        <v>#REF!</v>
      </c>
      <c r="F213" s="3" t="s">
        <v>70</v>
      </c>
      <c r="G213" s="65" t="s">
        <v>2</v>
      </c>
      <c r="H213" s="68" t="s">
        <v>373</v>
      </c>
      <c r="I213" s="66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3" s="4" t="e">
        <f>VLOOKUP(Tableau5617192223242425262827293031333432353620383961719241822254140424344104746[[#This Row],[Num Projets]],#REF!,36,FALSE)</f>
        <v>#REF!</v>
      </c>
      <c r="K213" s="99" t="s">
        <v>194</v>
      </c>
      <c r="L213" s="230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3" s="231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3" s="232" t="e">
        <f>VLOOKUP(H213,#REF!,7,FALSE)</f>
        <v>#REF!</v>
      </c>
      <c r="O213" s="67" t="e">
        <f>IF(VLOOKUP(H213,#REF!,27,FALSE)=0,"",VLOOKUP(H213,#REF!,27,FALSE))</f>
        <v>#REF!</v>
      </c>
      <c r="P213" s="107" t="e">
        <f>VLOOKUP(H213,#REF!,2,FALSE)</f>
        <v>#REF!</v>
      </c>
      <c r="Q213" s="102" t="e">
        <f>Tableau5617192223242425262827293031333432353620383961719241822254140424344104746[[#This Row],[Total Budget
€]]-IFERROR(VLOOKUP(H213,#REF!,8,FALSE),0)</f>
        <v>#REF!</v>
      </c>
      <c r="R213" s="68">
        <f>AD213+AI213+Tableau5617192223242425262827293031333432353620383961719241822254140424344104746[[#This Row],[Int Commandé OT
€]]+AX213</f>
        <v>0</v>
      </c>
      <c r="S213" s="10">
        <f>AD213+AJ213+Tableau5617192223242425262827293031333432353620383961719241822254140424344104746[[#This Row],[Int Réalisé OT
€]]+AX213</f>
        <v>0</v>
      </c>
      <c r="T213" s="69" t="e">
        <f>IF(P213=0,0,1-(((AD213+AI213+AX213+AP213)+(AE213+AM213+AY213+BC213+AR213))/P213))</f>
        <v>#REF!</v>
      </c>
      <c r="U21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3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3" s="107" t="e">
        <f>Tableau5617192223242425262827293031333432353620383961719241822254140424344104746[[#This Row],[Budget Heures Valorisées
€]]/105</f>
        <v>#REF!</v>
      </c>
      <c r="X213" s="13">
        <f>IFERROR(VLOOKUP(H213,#REF!,2,FALSE),0)</f>
        <v>0</v>
      </c>
      <c r="Y213" s="68">
        <f>IFERROR(VLOOKUP(H213,#REF!,3,FALSE),0)</f>
        <v>0</v>
      </c>
      <c r="Z21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213" s="68">
        <f>IFERROR(VLOOKUP(H213,#REF!,18,FALSE),0)</f>
        <v>0</v>
      </c>
      <c r="AB213" s="68">
        <f>SUM(X213:Y213)-IFERROR(VLOOKUP(H213,#REF!,16,FALSE),0)-IFERROR(VLOOKUP(H213,#REF!,17,FALSE),0)</f>
        <v>0</v>
      </c>
      <c r="AC213" s="68" t="e">
        <f>VLOOKUP(Tableau5617192223242425262827293031333432353620383961719241822254140424344104746[[#This Row],[Num Projets]],#REF!,2,FALSE)</f>
        <v>#REF!</v>
      </c>
      <c r="AD213" s="68">
        <f>IFERROR(VLOOKUP(Tableau5617192223242425262827293031333432353620383961719241822254140424344104746[[#This Row],[Num Projets]],#REF!,2,FALSE),0)</f>
        <v>0</v>
      </c>
      <c r="AE213" s="107">
        <f>Z213*47.8</f>
        <v>0</v>
      </c>
      <c r="AF213" s="69" t="e">
        <f>IF(AC213=0,0,1-((AD213+AE213)/AC213))</f>
        <v>#REF!</v>
      </c>
      <c r="AG213" s="107">
        <f>IFERROR(VLOOKUP(H213,#REF!,3,FALSE),0)+IFERROR(VLOOKUP(H213,#REF!,3,FALSE),0)</f>
        <v>0</v>
      </c>
      <c r="AH213" s="107">
        <f>IFERROR(VLOOKUP(Tableau5617192223242425262827293031333432353620383961719241822254140424344104746[[#This Row],[Num Projets]],#REF!,2,FALSE),0)</f>
        <v>0</v>
      </c>
      <c r="AI213" s="17">
        <f>+IFERROR(VLOOKUP(H213,#REF!,2,FALSE),0)-Tableau5617192223242425262827293031333432353620383961719241822254140424344104746[[#This Row],[Int Commandé OT
€]]</f>
        <v>0</v>
      </c>
      <c r="AJ213" s="107">
        <f>IFERROR(VLOOKUP(H213,#REF!,11,FALSE),0)-IFERROR(VLOOKUP(H213,#REF!,10,FALSE),0)+Tableau5617192223242425262827293031333432353620383961719241822254140424344104746[[#This Row],[dont FNP à date (€ HT)]]</f>
        <v>0</v>
      </c>
      <c r="AK213" s="15">
        <f>AI213-AJ213</f>
        <v>0</v>
      </c>
      <c r="AL213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3" s="19">
        <f>IF(Tableau5617192223242425262827293031333432353620383961719241822254140424344104746[[#This Row],[RAF Achats M-1
€]]=0,0,AN213-AO213)</f>
        <v>0</v>
      </c>
      <c r="AN213" s="107">
        <f>IFERROR(VLOOKUP(H213,#REF!,31,FALSE),0)</f>
        <v>0</v>
      </c>
      <c r="AO213" s="107">
        <f>AI213+-IFERROR(VLOOKUP(H213,#REF!,27,FALSE),0)</f>
        <v>0</v>
      </c>
      <c r="AP213" s="17">
        <f>IFERROR(VLOOKUP(Tableau5617192223242425262827293031333432353620383961719241822254140424344104746[[#This Row],[Num Projets]],#REF!,2,FALSE),0)</f>
        <v>0</v>
      </c>
      <c r="AQ213" s="20">
        <f>_xlfn.XLOOKUP(H213,[2]Synth!$N:$N,[2]Synth!$O:$O,0,FALSE)+_xlfn.XLOOKUP(Tableau5617192223242425262827293031333432353620383961719241822254140424344104746[[#This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3" s="110">
        <v>0</v>
      </c>
      <c r="AS213" s="20">
        <f>+IFERROR(VLOOKUP(H213,#REF!,36,FALSE),0)</f>
        <v>0</v>
      </c>
      <c r="AT21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3" s="69">
        <f>IF(AG213=0,0,1-((AI213+AM213+Tableau5617192223242425262827293031333432353620383961719241822254140424344104746[[#This Row],[Int Commandé OT
€]]+Tableau5617192223242425262827293031333432353620383961719241822254140424344104746[[#This Row],[RAF Int OT
€]])/AG213))</f>
        <v>0</v>
      </c>
      <c r="AV213" s="107">
        <f>IFERROR(VLOOKUP(H213,#REF!,4,FALSE),0)+IFERROR(VLOOKUP(H213,#REF!,4,FALSE),0)</f>
        <v>0</v>
      </c>
      <c r="AW213" s="233">
        <f>IFERROR(VLOOKUP(Tableau5617192223242425262827293031333432353620383961719241822254140424344104746[[#This Row],[Num Projets]],#REF!,3,FALSE),0)</f>
        <v>0</v>
      </c>
      <c r="AX213" s="112">
        <f>IFERROR(VLOOKUP(Tableau5617192223242425262827293031333432353620383961719241822254140424344104746[[#This Row],[Num Projets]],#REF!,10,FALSE),0)</f>
        <v>0</v>
      </c>
      <c r="AY213" s="23">
        <v>0</v>
      </c>
      <c r="AZ213" s="46">
        <f>IFERROR(VLOOKUP(H213,#REF!,43,FALSE),0)</f>
        <v>0</v>
      </c>
      <c r="BA213" s="46">
        <f>AX213-IFERROR(VLOOKUP(H213,#REF!,42,FALSE),0)</f>
        <v>0</v>
      </c>
      <c r="BB213" s="87">
        <f>IF(AV213=0,0,(1-((AX213+AY213)/AV213)))</f>
        <v>0</v>
      </c>
      <c r="BC213" s="71">
        <f>IFERROR(VLOOKUP(H213,#REF!,47,FALSE),IFERROR(VLOOKUP(H213,#REF!,5,FALSE),0)+IFERROR(VLOOKUP(H213,#REF!,5,FALSE),0))</f>
        <v>0</v>
      </c>
      <c r="BD213" s="114">
        <f>IFERROR(VLOOKUP(H213,#REF!,2,FALSE),0)</f>
        <v>0</v>
      </c>
      <c r="BE213" s="114">
        <f>IFERROR(VLOOKUP(H213,#REF!,49,FALSE),0)</f>
        <v>0</v>
      </c>
      <c r="BF213" s="72" t="e">
        <f>BI213*P213-BE213</f>
        <v>#REF!</v>
      </c>
      <c r="BG213" s="72">
        <f>S213</f>
        <v>0</v>
      </c>
      <c r="BH213" s="115">
        <f>AE213+ (AI213-AJ213+AM213+Tableau5617192223242425262827293031333432353620383961719241822254140424344104746[[#This Row],[Int Commandé OT
€]]-Tableau5617192223242425262827293031333432353620383961719241822254140424344104746[[#This Row],[Int Réalisé OT
€]]+AR213) +AY213+BC213</f>
        <v>0</v>
      </c>
      <c r="BI213" s="87">
        <f>IF(BG213+BH213=0,100%,BG213/(BG213+BH213))</f>
        <v>1</v>
      </c>
      <c r="BJ213" s="87" t="e">
        <f>IF(P213=0, 0, BD213/P213)</f>
        <v>#REF!</v>
      </c>
      <c r="BK213" s="52" t="e">
        <f>IF((BI213-BJ213)&gt;0,0,(BI213-BJ213)*P213)</f>
        <v>#REF!</v>
      </c>
      <c r="BL213" s="53" t="e">
        <f>IF((BI213-BJ213)&gt;0,(BI213-BJ213)*P213,0)</f>
        <v>#REF!</v>
      </c>
      <c r="BM213" s="137">
        <f>IFERROR(VLOOKUP(H213,'[1]2023sep'!H:CA,54,FALSE),105)</f>
        <v>105</v>
      </c>
      <c r="BN213" s="75">
        <v>1</v>
      </c>
      <c r="BO213" s="118" t="e">
        <f>P213-AC213-AG213-AV213-Tableau5617192223242425262827293031333432353620383961719241822254140424344104746[[#This Row],[Provisions pour risques]]</f>
        <v>#REF!</v>
      </c>
      <c r="BP213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213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213" s="120" t="e">
        <f>BF213</f>
        <v>#REF!</v>
      </c>
      <c r="BS213" s="79">
        <f>Tableau5617192223242425262827293031333432353620383961719241822254140424344104746[[#This Row],[Consommé global Enregistré à date (€ HT)]]-IFERROR(VLOOKUP(H213,#REF!,50,FALSE),0)</f>
        <v>0</v>
      </c>
      <c r="BT213" s="80" t="e">
        <f>BR213-BS213</f>
        <v>#REF!</v>
      </c>
      <c r="BU213" s="121">
        <f>BD213-IFERROR(VLOOKUP(H213,#REF!,47,FALSE),0)</f>
        <v>0</v>
      </c>
      <c r="BV213" s="122" t="e">
        <f>+BF213+Tableau5617192223242425262827293031333432353620383961719241822254140424344104746[[#This Row],[CA fin N-1]]-IFERROR(VLOOKUP(H213,#REF!,49,FALSE),0)-IFERROR(VLOOKUP(H213,#REF!,50,FALSE),0)</f>
        <v>#REF!</v>
      </c>
      <c r="BW213" s="151">
        <f>BG213-IFERROR(VLOOKUP(H213,#REF!,51,FALSE),0)</f>
        <v>0</v>
      </c>
      <c r="BX213" s="152" t="e">
        <f>BV213-BW213</f>
        <v>#REF!</v>
      </c>
      <c r="BY213" s="138">
        <f>BD213-IFERROR(VLOOKUP(H213,#REF!,48,FALSE),0)</f>
        <v>0</v>
      </c>
      <c r="BZ213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3" s="39" t="e">
        <f>VLOOKUP(Tableau5617192223242425262827293031333432353620383961719241822254140424344104746[[#This Row],[Num Projets]],#REF!,1,FALSE)</f>
        <v>#REF!</v>
      </c>
      <c r="CB213" s="40">
        <v>0</v>
      </c>
      <c r="CC213" s="40">
        <v>0</v>
      </c>
      <c r="CD21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4" spans="1:82" x14ac:dyDescent="0.25">
      <c r="A214" s="311" t="s">
        <v>374</v>
      </c>
      <c r="B214" s="1"/>
      <c r="C214" s="2" t="e">
        <f>_xlfn.XLOOKUP(Tableau5617192223242425262827293031333432353620383961719241822254140424344104746[[#This Row],[Num Projets]],#REF!,#REF!,FALSE)</f>
        <v>#REF!</v>
      </c>
      <c r="D214" s="3" t="s">
        <v>1</v>
      </c>
      <c r="E214" s="3" t="e">
        <f>_xlfn.XLOOKUP(Tableau5617192223242425262827293031333432353620383961719241822254140424344104746[[#This Row],[Num Projets]],#REF!,#REF!,FALSE)</f>
        <v>#REF!</v>
      </c>
      <c r="F214" s="3" t="e">
        <f>_xlfn.XLOOKUP(Tableau5617192223242425262827293031333432353620383961719241822254140424344104746[[#This Row],[Num Projets]],#REF!,#REF!,"new mai",0)</f>
        <v>#REF!</v>
      </c>
      <c r="G214" s="3" t="s">
        <v>2</v>
      </c>
      <c r="H214" s="15" t="s">
        <v>375</v>
      </c>
      <c r="I214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4" s="4" t="e">
        <f>VLOOKUP(Tableau5617192223242425262827293031333432353620383961719241822254140424344104746[[#This Row],[Num Projets]],#REF!,36,FALSE)</f>
        <v>#REF!</v>
      </c>
      <c r="K214" s="5" t="s">
        <v>4</v>
      </c>
      <c r="L21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4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4" s="7" t="e">
        <f>VLOOKUP(H214,#REF!,7,FALSE)</f>
        <v>#REF!</v>
      </c>
      <c r="O214" s="7"/>
      <c r="P214" s="107" t="e">
        <f>VLOOKUP(H214,#REF!,2,FALSE)</f>
        <v>#REF!</v>
      </c>
      <c r="Q214" s="102" t="e">
        <f>Tableau5617192223242425262827293031333432353620383961719241822254140424344104746[[#This Row],[Total Budget
€]]-IFERROR(VLOOKUP(H214,#REF!,8,FALSE),0)</f>
        <v>#REF!</v>
      </c>
      <c r="R214" s="68">
        <f>AD214+AI214+Tableau5617192223242425262827293031333432353620383961719241822254140424344104746[[#This Row],[Int Commandé OT
€]]+AX214</f>
        <v>0</v>
      </c>
      <c r="S214" s="10">
        <f>AD214+AJ214+Tableau5617192223242425262827293031333432353620383961719241822254140424344104746[[#This Row],[Int Réalisé OT
€]]+AX214</f>
        <v>0</v>
      </c>
      <c r="T214" s="69" t="e">
        <f t="shared" ref="T214:T225" si="70">IF(P214=0,0,1-(((AD214+AI214+AX214+AP214)+(AE214+AM214+AY214+BC214+AR214))/P214))</f>
        <v>#REF!</v>
      </c>
      <c r="U21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4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4" s="12">
        <f>IFERROR(VLOOKUP(H214,#REF!,2,FALSE),0)</f>
        <v>0</v>
      </c>
      <c r="X214" s="165">
        <f>IFERROR(VLOOKUP(H214,#REF!,2,FALSE),0)+12</f>
        <v>12</v>
      </c>
      <c r="Y214" s="68">
        <f>IFERROR(VLOOKUP(H214,#REF!,3,FALSE),0)</f>
        <v>0</v>
      </c>
      <c r="Z21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5</v>
      </c>
      <c r="AA214" s="68">
        <f>IFERROR(VLOOKUP(H214,#REF!,18,FALSE),0)</f>
        <v>0</v>
      </c>
      <c r="AB214" s="68">
        <f>SUM(X214:Y214)-IFERROR(VLOOKUP(H214,#REF!,16,FALSE),0)-IFERROR(VLOOKUP(H214,#REF!,17,FALSE),0)</f>
        <v>12</v>
      </c>
      <c r="AC214" s="101">
        <f>17*105</f>
        <v>1785</v>
      </c>
      <c r="AD214" s="103">
        <f>IFERROR(VLOOKUP(Tableau5617192223242425262827293031333432353620383961719241822254140424344104746[[#This Row],[Num Projets]],#REF!,2,FALSE),0)</f>
        <v>0</v>
      </c>
      <c r="AE214" s="46">
        <f t="shared" ref="AE214:AE225" si="71">Z214*47.8</f>
        <v>239</v>
      </c>
      <c r="AF214" s="69">
        <f t="shared" ref="AF214:AF225" si="72">IF(AC214=0,0,1-((AD214+AE214)/AC214))</f>
        <v>0.86610644257703084</v>
      </c>
      <c r="AG214" s="107">
        <f>IFERROR(VLOOKUP(H214,#REF!,3,FALSE),0)+IFERROR(VLOOKUP(H214,#REF!,3,FALSE),0)</f>
        <v>0</v>
      </c>
      <c r="AH214" s="107">
        <f>IFERROR(VLOOKUP(Tableau5617192223242425262827293031333432353620383961719241822254140424344104746[[#This Row],[Num Projets]],#REF!,2,FALSE),0)</f>
        <v>0</v>
      </c>
      <c r="AI214" s="17">
        <f>+IFERROR(VLOOKUP(H214,#REF!,2,FALSE),0)-Tableau5617192223242425262827293031333432353620383961719241822254140424344104746[[#This Row],[Int Commandé OT
€]]</f>
        <v>0</v>
      </c>
      <c r="AJ214" s="107">
        <f>IFERROR(VLOOKUP(H214,#REF!,11,FALSE),0)-IFERROR(VLOOKUP(H214,#REF!,10,FALSE),0)+Tableau5617192223242425262827293031333432353620383961719241822254140424344104746[[#This Row],[dont FNP à date (€ HT)]]</f>
        <v>0</v>
      </c>
      <c r="AK214" s="15">
        <f t="shared" ref="AK214:AK225" si="73">AI214-AJ214</f>
        <v>0</v>
      </c>
      <c r="AL214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4" s="19">
        <f>IF(Tableau5617192223242425262827293031333432353620383961719241822254140424344104746[[#This Row],[RAF Achats M-1
€]]=0,0,AN214-AO214)</f>
        <v>0</v>
      </c>
      <c r="AN214" s="46">
        <f>IFERROR(VLOOKUP(H214,#REF!,31,FALSE),0)</f>
        <v>0</v>
      </c>
      <c r="AO214" s="46">
        <f>AI214+-IFERROR(VLOOKUP(H214,#REF!,27,FALSE),0)</f>
        <v>0</v>
      </c>
      <c r="AP214" s="17">
        <f>IFERROR(VLOOKUP(Tableau5617192223242425262827293031333432353620383961719241822254140424344104746[[#This Row],[Num Projets]],#REF!,2,FALSE),0)</f>
        <v>0</v>
      </c>
      <c r="AQ214" s="20">
        <f>_xlfn.XLOOKUP(H214,[2]Synth!$N:$N,[2]Synth!$O:$O,0,FALSE)+_xlfn.XLOOKUP(Tableau5617192223242425262827293031333432353620383961719241822254140424344104746[[#This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4" s="110">
        <v>0</v>
      </c>
      <c r="AS214" s="20">
        <f>+IFERROR(VLOOKUP(H214,#REF!,36,FALSE),0)</f>
        <v>0</v>
      </c>
      <c r="AT21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4" s="69">
        <f>IF(AG214=0,0,1-((AI214+AM214+Tableau5617192223242425262827293031333432353620383961719241822254140424344104746[[#This Row],[Int Commandé OT
€]]+Tableau5617192223242425262827293031333432353620383961719241822254140424344104746[[#This Row],[RAF Int OT
€]])/AG214))</f>
        <v>0</v>
      </c>
      <c r="AV214" s="107">
        <f>IFERROR(VLOOKUP(H214,#REF!,4,FALSE),0)+IFERROR(VLOOKUP(H214,#REF!,4,FALSE),0)-Tableau5617192223242425262827293031333432353620383961719241822254140424344104746[[#This Row],[Budget Heures Valorisées
€]]</f>
        <v>-1785</v>
      </c>
      <c r="AW214" s="233">
        <f>IFERROR(VLOOKUP(Tableau5617192223242425262827293031333432353620383961719241822254140424344104746[[#This Row],[Num Projets]],#REF!,3,FALSE),0)</f>
        <v>0</v>
      </c>
      <c r="AX214" s="112">
        <f>IFERROR(VLOOKUP(Tableau5617192223242425262827293031333432353620383961719241822254140424344104746[[#This Row],[Num Projets]],#REF!,10,FALSE),0)</f>
        <v>0</v>
      </c>
      <c r="AY214" s="23">
        <f>Tableau5617192223242425262827293031333432353620383961719241822254140424344104746[[#This Row],[Budget Mission
 €]]/1.2-AX214</f>
        <v>-1487.5</v>
      </c>
      <c r="AZ214" s="46">
        <f>IFERROR(VLOOKUP(H214,#REF!,43,FALSE),0)</f>
        <v>0</v>
      </c>
      <c r="BA214" s="46">
        <f>AX214-IFERROR(VLOOKUP(H214,#REF!,42,FALSE),0)</f>
        <v>0</v>
      </c>
      <c r="BB214" s="87">
        <f t="shared" ref="BB214:BB225" si="74">IF(AV214=0,0,(1-((AX214+AY214)/AV214)))</f>
        <v>0.16666666666666663</v>
      </c>
      <c r="BC214" s="71">
        <f>IFERROR(VLOOKUP(H214,#REF!,47,FALSE),IFERROR(VLOOKUP(H214,#REF!,5,FALSE),0)+IFERROR(VLOOKUP(H214,#REF!,5,FALSE),0))</f>
        <v>0</v>
      </c>
      <c r="BD214" s="114">
        <f>IFERROR(VLOOKUP(H214,#REF!,2,FALSE),0)</f>
        <v>0</v>
      </c>
      <c r="BE214" s="114">
        <f>IFERROR(VLOOKUP(H214,#REF!,49,FALSE),0)</f>
        <v>0</v>
      </c>
      <c r="BF214" s="72" t="e">
        <f t="shared" ref="BF214:BF225" si="75">BI214*P214-BE214</f>
        <v>#REF!</v>
      </c>
      <c r="BG214" s="72">
        <f t="shared" ref="BG214:BG225" si="76">S214</f>
        <v>0</v>
      </c>
      <c r="BH214" s="115">
        <f>AE214+ (AI214-AJ214+AM214+Tableau5617192223242425262827293031333432353620383961719241822254140424344104746[[#This Row],[Int Commandé OT
€]]-Tableau5617192223242425262827293031333432353620383961719241822254140424344104746[[#This Row],[Int Réalisé OT
€]]+AR214) +AY214+BC214</f>
        <v>-1248.5</v>
      </c>
      <c r="BI214" s="87">
        <f t="shared" ref="BI214:BI225" si="77">IF(BG214+BH214=0,100%,BG214/(BG214+BH214))</f>
        <v>0</v>
      </c>
      <c r="BJ214" s="87" t="e">
        <f t="shared" ref="BJ214:BJ225" si="78">IF(P214=0, 0, BD214/P214)</f>
        <v>#REF!</v>
      </c>
      <c r="BK214" s="52" t="e">
        <f t="shared" ref="BK214:BK225" si="79">IF((BI214-BJ214)&gt;0,0,(BI214-BJ214)*P214)</f>
        <v>#REF!</v>
      </c>
      <c r="BL214" s="53" t="e">
        <f t="shared" ref="BL214:BL225" si="80">IF((BI214-BJ214)&gt;0,(BI214-BJ214)*P214,0)</f>
        <v>#REF!</v>
      </c>
      <c r="BM214" s="137">
        <f>IFERROR(VLOOKUP(H214,'[1]2023sep'!H:CA,54,FALSE),105)</f>
        <v>105</v>
      </c>
      <c r="BN214" s="75">
        <v>1</v>
      </c>
      <c r="BO214" s="118" t="e">
        <f>P214-AC214-AG214-AV214-Tableau5617192223242425262827293031333432353620383961719241822254140424344104746[[#This Row],[Provisions pour risques]]</f>
        <v>#REF!</v>
      </c>
      <c r="BP214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-1248.5</v>
      </c>
      <c r="BQ214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4" s="120" t="e">
        <f t="shared" ref="BR214:BR225" si="81">BF214</f>
        <v>#REF!</v>
      </c>
      <c r="BS214" s="79">
        <f>Tableau5617192223242425262827293031333432353620383961719241822254140424344104746[[#This Row],[Consommé global Enregistré à date (€ HT)]]-IFERROR(VLOOKUP(H214,#REF!,50,FALSE),0)</f>
        <v>0</v>
      </c>
      <c r="BT214" s="80" t="e">
        <f t="shared" ref="BT214:BT225" si="82">BR214-BS214</f>
        <v>#REF!</v>
      </c>
      <c r="BU214" s="121">
        <f>BD214-IFERROR(VLOOKUP(H214,#REF!,47,FALSE),0)</f>
        <v>0</v>
      </c>
      <c r="BV214" s="122" t="e">
        <f>+BF214+Tableau5617192223242425262827293031333432353620383961719241822254140424344104746[[#This Row],[CA fin N-1]]-IFERROR(VLOOKUP(H214,#REF!,49,FALSE),0)-IFERROR(VLOOKUP(H214,#REF!,50,FALSE),0)</f>
        <v>#REF!</v>
      </c>
      <c r="BW214" s="151">
        <f>BG214-IFERROR(VLOOKUP(H214,#REF!,51,FALSE),0)</f>
        <v>0</v>
      </c>
      <c r="BX214" s="152" t="e">
        <f t="shared" ref="BX214:BX225" si="83">BV214-BW214</f>
        <v>#REF!</v>
      </c>
      <c r="BY214" s="138">
        <f>BD214-IFERROR(VLOOKUP(H214,#REF!,48,FALSE),0)</f>
        <v>0</v>
      </c>
      <c r="BZ214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4" s="39" t="e">
        <f>VLOOKUP(Tableau5617192223242425262827293031333432353620383961719241822254140424344104746[[#This Row],[Num Projets]],#REF!,1,FALSE)</f>
        <v>#REF!</v>
      </c>
      <c r="CB214" s="40">
        <v>0</v>
      </c>
      <c r="CC214" s="40">
        <v>17</v>
      </c>
      <c r="CD21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12</v>
      </c>
    </row>
    <row r="215" spans="1:82" x14ac:dyDescent="0.25">
      <c r="A215" s="311"/>
      <c r="B215" s="1"/>
      <c r="C215" s="2" t="e">
        <f>_xlfn.XLOOKUP(Tableau5617192223242425262827293031333432353620383961719241822254140424344104746[[#This Row],[Num Projets]],#REF!,#REF!,FALSE)</f>
        <v>#REF!</v>
      </c>
      <c r="D215" s="3" t="s">
        <v>1</v>
      </c>
      <c r="E215" s="3" t="e">
        <f>_xlfn.XLOOKUP(Tableau5617192223242425262827293031333432353620383961719241822254140424344104746[[#This Row],[Num Projets]],#REF!,#REF!,FALSE)</f>
        <v>#REF!</v>
      </c>
      <c r="F215" s="3" t="e">
        <f>_xlfn.XLOOKUP(Tableau5617192223242425262827293031333432353620383961719241822254140424344104746[[#This Row],[Num Projets]],#REF!,#REF!,"new mai",0)</f>
        <v>#REF!</v>
      </c>
      <c r="G215" s="3" t="s">
        <v>2</v>
      </c>
      <c r="H215" s="15" t="s">
        <v>376</v>
      </c>
      <c r="I215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5" s="4" t="e">
        <f>VLOOKUP(Tableau5617192223242425262827293031333432353620383961719241822254140424344104746[[#This Row],[Num Projets]],#REF!,36,FALSE)</f>
        <v>#REF!</v>
      </c>
      <c r="K215" s="5" t="s">
        <v>4</v>
      </c>
      <c r="L215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5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5" s="7" t="e">
        <f>VLOOKUP(H215,#REF!,7,FALSE)</f>
        <v>#REF!</v>
      </c>
      <c r="O215" s="7"/>
      <c r="P215" s="107" t="e">
        <f>VLOOKUP(H215,#REF!,2,FALSE)</f>
        <v>#REF!</v>
      </c>
      <c r="Q215" s="102" t="e">
        <f>Tableau5617192223242425262827293031333432353620383961719241822254140424344104746[[#This Row],[Total Budget
€]]-IFERROR(VLOOKUP(H215,#REF!,8,FALSE),0)</f>
        <v>#REF!</v>
      </c>
      <c r="R215" s="68">
        <f>AD215+AI215+Tableau5617192223242425262827293031333432353620383961719241822254140424344104746[[#This Row],[Int Commandé OT
€]]+AX215</f>
        <v>0</v>
      </c>
      <c r="S215" s="10">
        <f>AD215+AJ215+Tableau5617192223242425262827293031333432353620383961719241822254140424344104746[[#This Row],[Int Réalisé OT
€]]+AX215</f>
        <v>2788.5000450000002</v>
      </c>
      <c r="T215" s="69" t="e">
        <f t="shared" si="70"/>
        <v>#REF!</v>
      </c>
      <c r="U21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5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5" s="12">
        <f>IFERROR(VLOOKUP(H215,#REF!,2,FALSE),0)</f>
        <v>0</v>
      </c>
      <c r="X215" s="13">
        <f>IFERROR(VLOOKUP(H215,#REF!,2,FALSE),0)</f>
        <v>0</v>
      </c>
      <c r="Y215" s="68">
        <f>IFERROR(VLOOKUP(H215,#REF!,3,FALSE),0)</f>
        <v>0</v>
      </c>
      <c r="Z21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8</v>
      </c>
      <c r="AA215" s="68">
        <f>IFERROR(VLOOKUP(H215,#REF!,18,FALSE),0)</f>
        <v>0</v>
      </c>
      <c r="AB215" s="68">
        <f>SUM(X215:Y215)-IFERROR(VLOOKUP(H215,#REF!,16,FALSE),0)-IFERROR(VLOOKUP(H215,#REF!,17,FALSE),0)</f>
        <v>0</v>
      </c>
      <c r="AC215" s="68" t="e">
        <f>VLOOKUP(Tableau5617192223242425262827293031333432353620383961719241822254140424344104746[[#This Row],[Num Projets]],#REF!,2,FALSE)</f>
        <v>#REF!</v>
      </c>
      <c r="AD215" s="103">
        <f>IFERROR(VLOOKUP(Tableau5617192223242425262827293031333432353620383961719241822254140424344104746[[#This Row],[Num Projets]],#REF!,2,FALSE),0)</f>
        <v>0</v>
      </c>
      <c r="AE215" s="46">
        <f t="shared" si="71"/>
        <v>382.4</v>
      </c>
      <c r="AF215" s="69" t="e">
        <f t="shared" si="72"/>
        <v>#REF!</v>
      </c>
      <c r="AG215" s="107">
        <f>IFERROR(VLOOKUP(H215,#REF!,3,FALSE),0)+IFERROR(VLOOKUP(H215,#REF!,3,FALSE),0)</f>
        <v>0</v>
      </c>
      <c r="AH215" s="107">
        <f>IFERROR(VLOOKUP(Tableau5617192223242425262827293031333432353620383961719241822254140424344104746[[#This Row],[Num Projets]],#REF!,2,FALSE),0)</f>
        <v>0</v>
      </c>
      <c r="AI215" s="17">
        <f>+IFERROR(VLOOKUP(H215,#REF!,2,FALSE),0)-Tableau5617192223242425262827293031333432353620383961719241822254140424344104746[[#This Row],[Int Commandé OT
€]]</f>
        <v>0</v>
      </c>
      <c r="AJ215" s="107">
        <f>IFERROR(VLOOKUP(H215,#REF!,11,FALSE),0)-IFERROR(VLOOKUP(H215,#REF!,10,FALSE),0)+Tableau5617192223242425262827293031333432353620383961719241822254140424344104746[[#This Row],[dont FNP à date (€ HT)]]</f>
        <v>0</v>
      </c>
      <c r="AK215" s="15">
        <f t="shared" si="73"/>
        <v>0</v>
      </c>
      <c r="AL215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5" s="19">
        <f>IF(Tableau5617192223242425262827293031333432353620383961719241822254140424344104746[[#This Row],[RAF Achats M-1
€]]=0,0,AN215-AO215)</f>
        <v>0</v>
      </c>
      <c r="AN215" s="46">
        <f>IFERROR(VLOOKUP(H215,#REF!,31,FALSE),0)</f>
        <v>0</v>
      </c>
      <c r="AO215" s="46">
        <f>AI215+-IFERROR(VLOOKUP(H215,#REF!,27,FALSE),0)</f>
        <v>0</v>
      </c>
      <c r="AP215" s="17">
        <f>IFERROR(VLOOKUP(Tableau5617192223242425262827293031333432353620383961719241822254140424344104746[[#This Row],[Num Projets]],#REF!,2,FALSE),0)</f>
        <v>0</v>
      </c>
      <c r="AQ215" s="20">
        <f>_xlfn.XLOOKUP(H215,[2]Synth!$N:$N,[2]Synth!$O:$O,0,FALSE)+_xlfn.XLOOKUP(Tableau5617192223242425262827293031333432353620383961719241822254140424344104746[[#This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2788.5000450000002</v>
      </c>
      <c r="AR215" s="110">
        <v>0</v>
      </c>
      <c r="AS215" s="20">
        <f>+IFERROR(VLOOKUP(H215,#REF!,36,FALSE),0)</f>
        <v>0</v>
      </c>
      <c r="AT21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5" s="69">
        <f>IF(AG215=0,0,1-((AI215+AM215+Tableau5617192223242425262827293031333432353620383961719241822254140424344104746[[#This Row],[Int Commandé OT
€]]+Tableau5617192223242425262827293031333432353620383961719241822254140424344104746[[#This Row],[RAF Int OT
€]])/AG215))</f>
        <v>0</v>
      </c>
      <c r="AV215" s="107">
        <f>IFERROR(VLOOKUP(H215,#REF!,4,FALSE),0)+IFERROR(VLOOKUP(H215,#REF!,4,FALSE),0)</f>
        <v>0</v>
      </c>
      <c r="AW215" s="233">
        <f>IFERROR(VLOOKUP(Tableau5617192223242425262827293031333432353620383961719241822254140424344104746[[#This Row],[Num Projets]],#REF!,3,FALSE),0)</f>
        <v>0</v>
      </c>
      <c r="AX215" s="112">
        <f>IFERROR(VLOOKUP(Tableau5617192223242425262827293031333432353620383961719241822254140424344104746[[#This Row],[Num Projets]],#REF!,10,FALSE),0)</f>
        <v>0</v>
      </c>
      <c r="AY215" s="23">
        <f>Tableau5617192223242425262827293031333432353620383961719241822254140424344104746[[#This Row],[Budget Mission
 €]]/1.2-AX215</f>
        <v>0</v>
      </c>
      <c r="AZ215" s="46">
        <f>IFERROR(VLOOKUP(H215,#REF!,43,FALSE),0)</f>
        <v>0</v>
      </c>
      <c r="BA215" s="46">
        <f>AX215-IFERROR(VLOOKUP(H215,#REF!,42,FALSE),0)</f>
        <v>0</v>
      </c>
      <c r="BB215" s="87">
        <f t="shared" si="74"/>
        <v>0</v>
      </c>
      <c r="BC215" s="71">
        <f>IFERROR(VLOOKUP(H215,#REF!,47,FALSE),IFERROR(VLOOKUP(H215,#REF!,5,FALSE),0)+IFERROR(VLOOKUP(H215,#REF!,5,FALSE),0))</f>
        <v>0</v>
      </c>
      <c r="BD215" s="114">
        <f>IFERROR(VLOOKUP(H215,#REF!,2,FALSE),0)</f>
        <v>0</v>
      </c>
      <c r="BE215" s="114">
        <f>IFERROR(VLOOKUP(H215,#REF!,49,FALSE),0)</f>
        <v>0</v>
      </c>
      <c r="BF215" s="72" t="e">
        <f t="shared" si="75"/>
        <v>#REF!</v>
      </c>
      <c r="BG215" s="72">
        <f t="shared" si="76"/>
        <v>2788.5000450000002</v>
      </c>
      <c r="BH215" s="115">
        <f>AE215+ (AI215-AJ215+AM215+Tableau5617192223242425262827293031333432353620383961719241822254140424344104746[[#This Row],[Int Commandé OT
€]]-Tableau5617192223242425262827293031333432353620383961719241822254140424344104746[[#This Row],[Int Réalisé OT
€]]+AR215) +AY215+BC215</f>
        <v>-2406.1000450000001</v>
      </c>
      <c r="BI215" s="87">
        <f t="shared" si="77"/>
        <v>7.2921026281380739</v>
      </c>
      <c r="BJ215" s="87" t="e">
        <f t="shared" si="78"/>
        <v>#REF!</v>
      </c>
      <c r="BK215" s="52" t="e">
        <f t="shared" si="79"/>
        <v>#REF!</v>
      </c>
      <c r="BL215" s="53" t="e">
        <f t="shared" si="80"/>
        <v>#REF!</v>
      </c>
      <c r="BM215" s="137">
        <f>IFERROR(VLOOKUP(H215,'[1]2023sep'!H:CA,54,FALSE),105)</f>
        <v>105</v>
      </c>
      <c r="BN215" s="75">
        <v>1</v>
      </c>
      <c r="BO215" s="118" t="e">
        <f>P215-AC215-AG215-AV215-Tableau5617192223242425262827293031333432353620383961719241822254140424344104746[[#This Row],[Provisions pour risques]]</f>
        <v>#REF!</v>
      </c>
      <c r="BP215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382.40000000000009</v>
      </c>
      <c r="BQ215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7.2921026281380739</v>
      </c>
      <c r="BR215" s="120" t="e">
        <f t="shared" si="81"/>
        <v>#REF!</v>
      </c>
      <c r="BS215" s="79">
        <f>Tableau5617192223242425262827293031333432353620383961719241822254140424344104746[[#This Row],[Consommé global Enregistré à date (€ HT)]]-IFERROR(VLOOKUP(H215,#REF!,50,FALSE),0)</f>
        <v>2788.5000450000002</v>
      </c>
      <c r="BT215" s="80" t="e">
        <f t="shared" si="82"/>
        <v>#REF!</v>
      </c>
      <c r="BU215" s="121">
        <f>BD215-IFERROR(VLOOKUP(H215,#REF!,47,FALSE),0)</f>
        <v>0</v>
      </c>
      <c r="BV215" s="122" t="e">
        <f>+BF215+Tableau5617192223242425262827293031333432353620383961719241822254140424344104746[[#This Row],[CA fin N-1]]-IFERROR(VLOOKUP(H215,#REF!,49,FALSE),0)-IFERROR(VLOOKUP(H215,#REF!,50,FALSE),0)</f>
        <v>#REF!</v>
      </c>
      <c r="BW215" s="151">
        <f>BG215-IFERROR(VLOOKUP(H215,#REF!,51,FALSE),0)</f>
        <v>2788.5000450000002</v>
      </c>
      <c r="BX215" s="152" t="e">
        <f t="shared" si="83"/>
        <v>#REF!</v>
      </c>
      <c r="BY215" s="138">
        <f>BD215-IFERROR(VLOOKUP(H215,#REF!,48,FALSE),0)</f>
        <v>0</v>
      </c>
      <c r="BZ215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5" s="39" t="e">
        <f>VLOOKUP(Tableau5617192223242425262827293031333432353620383961719241822254140424344104746[[#This Row],[Num Projets]],#REF!,1,FALSE)</f>
        <v>#REF!</v>
      </c>
      <c r="CB215" s="40">
        <v>1</v>
      </c>
      <c r="CC215" s="40">
        <v>7</v>
      </c>
      <c r="CD21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</v>
      </c>
    </row>
    <row r="216" spans="1:82" x14ac:dyDescent="0.25">
      <c r="A216" s="311"/>
      <c r="B216" s="1"/>
      <c r="C216" s="2" t="e">
        <f>_xlfn.XLOOKUP(Tableau5617192223242425262827293031333432353620383961719241822254140424344104746[[#This Row],[Num Projets]],#REF!,#REF!,FALSE)</f>
        <v>#REF!</v>
      </c>
      <c r="D216" s="3" t="s">
        <v>6</v>
      </c>
      <c r="E216" s="3" t="e">
        <f>_xlfn.XLOOKUP(Tableau5617192223242425262827293031333432353620383961719241822254140424344104746[[#This Row],[Num Projets]],#REF!,#REF!,FALSE)</f>
        <v>#REF!</v>
      </c>
      <c r="F216" s="3" t="e">
        <f>_xlfn.XLOOKUP(Tableau5617192223242425262827293031333432353620383961719241822254140424344104746[[#This Row],[Num Projets]],#REF!,#REF!,"new mai",0)</f>
        <v>#REF!</v>
      </c>
      <c r="G216" s="3"/>
      <c r="H216" s="15" t="s">
        <v>377</v>
      </c>
      <c r="I216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6" s="4" t="e">
        <f>VLOOKUP(Tableau5617192223242425262827293031333432353620383961719241822254140424344104746[[#This Row],[Num Projets]],#REF!,36,FALSE)</f>
        <v>#REF!</v>
      </c>
      <c r="K216" s="5" t="s">
        <v>9</v>
      </c>
      <c r="L21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6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6" s="7" t="e">
        <f>VLOOKUP(H216,#REF!,7,FALSE)</f>
        <v>#REF!</v>
      </c>
      <c r="O216" s="7"/>
      <c r="P216" s="107" t="e">
        <f>VLOOKUP(H216,#REF!,2,FALSE)</f>
        <v>#REF!</v>
      </c>
      <c r="Q216" s="102" t="e">
        <f>Tableau5617192223242425262827293031333432353620383961719241822254140424344104746[[#This Row],[Total Budget
€]]-IFERROR(VLOOKUP(H216,#REF!,8,FALSE),0)</f>
        <v>#REF!</v>
      </c>
      <c r="R216" s="68">
        <f>AD216+AI216+Tableau5617192223242425262827293031333432353620383961719241822254140424344104746[[#This Row],[Int Commandé OT
€]]+AX216</f>
        <v>0</v>
      </c>
      <c r="S216" s="10">
        <f>AD216+AJ216+Tableau5617192223242425262827293031333432353620383961719241822254140424344104746[[#This Row],[Int Réalisé OT
€]]+AX216</f>
        <v>0</v>
      </c>
      <c r="T216" s="69" t="e">
        <f t="shared" si="70"/>
        <v>#REF!</v>
      </c>
      <c r="U21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6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6" s="12">
        <f>IFERROR(VLOOKUP(H216,#REF!,2,FALSE),0)</f>
        <v>0</v>
      </c>
      <c r="X216" s="13">
        <f>IFERROR(VLOOKUP(H216,#REF!,2,FALSE),0)</f>
        <v>0</v>
      </c>
      <c r="Y216" s="68">
        <f>IFERROR(VLOOKUP(H216,#REF!,3,FALSE),0)</f>
        <v>0</v>
      </c>
      <c r="Z21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</v>
      </c>
      <c r="AA216" s="68">
        <f>IFERROR(VLOOKUP(H216,#REF!,18,FALSE),0)</f>
        <v>0</v>
      </c>
      <c r="AB216" s="68">
        <f>SUM(X216:Y216)-IFERROR(VLOOKUP(H216,#REF!,16,FALSE),0)-IFERROR(VLOOKUP(H216,#REF!,17,FALSE),0)</f>
        <v>0</v>
      </c>
      <c r="AC216" s="68">
        <f>Tableau5617192223242425262827293031333432353620383961719241822254140424344104746[[#This Row],[Budget Heures
Hrs]]*105</f>
        <v>0</v>
      </c>
      <c r="AD216" s="103">
        <f>IFERROR(VLOOKUP(Tableau5617192223242425262827293031333432353620383961719241822254140424344104746[[#This Row],[Num Projets]],#REF!,2,FALSE),0)</f>
        <v>0</v>
      </c>
      <c r="AE216" s="46">
        <f t="shared" si="71"/>
        <v>95.6</v>
      </c>
      <c r="AF216" s="69">
        <f t="shared" si="72"/>
        <v>0</v>
      </c>
      <c r="AG216" s="107">
        <f>IFERROR(VLOOKUP(H216,#REF!,3,FALSE),0)+IFERROR(VLOOKUP(H216,#REF!,3,FALSE),0)-Tableau5617192223242425262827293031333432353620383961719241822254140424344104746[[#This Row],[Budget Heures Valorisées
€]]</f>
        <v>0</v>
      </c>
      <c r="AH216" s="107">
        <f>IFERROR(VLOOKUP(Tableau5617192223242425262827293031333432353620383961719241822254140424344104746[[#This Row],[Num Projets]],#REF!,2,FALSE),0)</f>
        <v>0</v>
      </c>
      <c r="AI216" s="17">
        <f>+IFERROR(VLOOKUP(H216,#REF!,2,FALSE),0)-Tableau5617192223242425262827293031333432353620383961719241822254140424344104746[[#This Row],[Int Commandé OT
€]]</f>
        <v>0</v>
      </c>
      <c r="AJ216" s="107">
        <f>IFERROR(VLOOKUP(H216,#REF!,11,FALSE),0)-IFERROR(VLOOKUP(H216,#REF!,10,FALSE),0)+Tableau5617192223242425262827293031333432353620383961719241822254140424344104746[[#This Row],[dont FNP à date (€ HT)]]</f>
        <v>0</v>
      </c>
      <c r="AK216" s="15">
        <f t="shared" si="73"/>
        <v>0</v>
      </c>
      <c r="AL216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6" s="19">
        <v>200</v>
      </c>
      <c r="AN216" s="46">
        <f>IFERROR(VLOOKUP(H216,#REF!,31,FALSE),0)</f>
        <v>0</v>
      </c>
      <c r="AO216" s="46">
        <f>AI216+-IFERROR(VLOOKUP(H216,#REF!,27,FALSE),0)</f>
        <v>0</v>
      </c>
      <c r="AP216" s="17">
        <f>IFERROR(VLOOKUP(Tableau5617192223242425262827293031333432353620383961719241822254140424344104746[[#This Row],[Num Projets]],#REF!,2,FALSE),0)</f>
        <v>0</v>
      </c>
      <c r="AQ216" s="20">
        <f>_xlfn.XLOOKUP(H216,[2]Synth!$N:$N,[2]Synth!$O:$O,0,FALSE)+_xlfn.XLOOKUP(Tableau5617192223242425262827293031333432353620383961719241822254140424344104746[[#This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6" s="110">
        <v>0</v>
      </c>
      <c r="AS216" s="20">
        <f>+IFERROR(VLOOKUP(H216,#REF!,36,FALSE),0)</f>
        <v>0</v>
      </c>
      <c r="AT21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6" s="69">
        <f>IF(AG216=0,0,1-((AI216+AM216+Tableau5617192223242425262827293031333432353620383961719241822254140424344104746[[#This Row],[Int Commandé OT
€]]+Tableau5617192223242425262827293031333432353620383961719241822254140424344104746[[#This Row],[RAF Int OT
€]])/AG216))</f>
        <v>0</v>
      </c>
      <c r="AV216" s="107">
        <f>IFERROR(VLOOKUP(H216,#REF!,4,FALSE),0)+IFERROR(VLOOKUP(H216,#REF!,4,FALSE),0)</f>
        <v>0</v>
      </c>
      <c r="AW216" s="233">
        <f>IFERROR(VLOOKUP(Tableau5617192223242425262827293031333432353620383961719241822254140424344104746[[#This Row],[Num Projets]],#REF!,3,FALSE),0)</f>
        <v>0</v>
      </c>
      <c r="AX216" s="112">
        <f>IFERROR(VLOOKUP(Tableau5617192223242425262827293031333432353620383961719241822254140424344104746[[#This Row],[Num Projets]],#REF!,10,FALSE),0)</f>
        <v>0</v>
      </c>
      <c r="AY216" s="23">
        <f>Tableau5617192223242425262827293031333432353620383961719241822254140424344104746[[#This Row],[Budget Mission
 €]]/1.2-AX216</f>
        <v>0</v>
      </c>
      <c r="AZ216" s="46">
        <f>IFERROR(VLOOKUP(H216,#REF!,43,FALSE),0)</f>
        <v>0</v>
      </c>
      <c r="BA216" s="46">
        <f>AX216-IFERROR(VLOOKUP(H216,#REF!,42,FALSE),0)</f>
        <v>0</v>
      </c>
      <c r="BB216" s="87">
        <f t="shared" si="74"/>
        <v>0</v>
      </c>
      <c r="BC216" s="71">
        <f>IFERROR(VLOOKUP(H216,#REF!,47,FALSE),IFERROR(VLOOKUP(H216,#REF!,5,FALSE),0)+IFERROR(VLOOKUP(H216,#REF!,5,FALSE),0))</f>
        <v>0</v>
      </c>
      <c r="BD216" s="114">
        <f>IFERROR(VLOOKUP(H216,#REF!,2,FALSE),0)</f>
        <v>0</v>
      </c>
      <c r="BE216" s="114">
        <f>IFERROR(VLOOKUP(H216,#REF!,49,FALSE),0)</f>
        <v>0</v>
      </c>
      <c r="BF216" s="72" t="e">
        <f t="shared" si="75"/>
        <v>#REF!</v>
      </c>
      <c r="BG216" s="72">
        <f t="shared" si="76"/>
        <v>0</v>
      </c>
      <c r="BH216" s="115">
        <f>AE216+ (AI216-AJ216+AM216+Tableau5617192223242425262827293031333432353620383961719241822254140424344104746[[#This Row],[Int Commandé OT
€]]-Tableau5617192223242425262827293031333432353620383961719241822254140424344104746[[#This Row],[Int Réalisé OT
€]]+AR216) +AY216+BC216</f>
        <v>295.60000000000002</v>
      </c>
      <c r="BI216" s="87">
        <f t="shared" si="77"/>
        <v>0</v>
      </c>
      <c r="BJ216" s="87" t="e">
        <f t="shared" si="78"/>
        <v>#REF!</v>
      </c>
      <c r="BK216" s="52" t="e">
        <f t="shared" si="79"/>
        <v>#REF!</v>
      </c>
      <c r="BL216" s="53" t="e">
        <f t="shared" si="80"/>
        <v>#REF!</v>
      </c>
      <c r="BM216" s="137">
        <f>IFERROR(VLOOKUP(H216,'[1]2023sep'!H:CA,54,FALSE),105)</f>
        <v>105</v>
      </c>
      <c r="BN216" s="75">
        <v>1</v>
      </c>
      <c r="BO216" s="118" t="e">
        <f>P216-AC216-AG216-AV216-Tableau5617192223242425262827293031333432353620383961719241822254140424344104746[[#This Row],[Provisions pour risques]]</f>
        <v>#REF!</v>
      </c>
      <c r="BP216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295.60000000000002</v>
      </c>
      <c r="BQ216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6" s="120" t="e">
        <f t="shared" si="81"/>
        <v>#REF!</v>
      </c>
      <c r="BS216" s="79">
        <f>Tableau5617192223242425262827293031333432353620383961719241822254140424344104746[[#This Row],[Consommé global Enregistré à date (€ HT)]]-IFERROR(VLOOKUP(H216,#REF!,50,FALSE),0)</f>
        <v>0</v>
      </c>
      <c r="BT216" s="80" t="e">
        <f t="shared" si="82"/>
        <v>#REF!</v>
      </c>
      <c r="BU216" s="121">
        <f>BD216-IFERROR(VLOOKUP(H216,#REF!,47,FALSE),0)</f>
        <v>0</v>
      </c>
      <c r="BV216" s="122" t="e">
        <f>+BF216+Tableau5617192223242425262827293031333432353620383961719241822254140424344104746[[#This Row],[CA fin N-1]]-IFERROR(VLOOKUP(H216,#REF!,49,FALSE),0)-IFERROR(VLOOKUP(H216,#REF!,50,FALSE),0)</f>
        <v>#REF!</v>
      </c>
      <c r="BW216" s="151">
        <f>BG216-IFERROR(VLOOKUP(H216,#REF!,51,FALSE),0)</f>
        <v>0</v>
      </c>
      <c r="BX216" s="152" t="e">
        <f t="shared" si="83"/>
        <v>#REF!</v>
      </c>
      <c r="BY216" s="138">
        <f>BD216-IFERROR(VLOOKUP(H216,#REF!,48,FALSE),0)</f>
        <v>0</v>
      </c>
      <c r="BZ216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6" s="39" t="e">
        <f>VLOOKUP(Tableau5617192223242425262827293031333432353620383961719241822254140424344104746[[#This Row],[Num Projets]],#REF!,1,FALSE)</f>
        <v>#REF!</v>
      </c>
      <c r="CB216" s="40">
        <v>0</v>
      </c>
      <c r="CC216" s="40">
        <v>2</v>
      </c>
      <c r="CD21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7" spans="1:82" x14ac:dyDescent="0.25">
      <c r="A217" s="311" t="s">
        <v>378</v>
      </c>
      <c r="B217" s="1"/>
      <c r="C217" s="2" t="e">
        <f>_xlfn.XLOOKUP(Tableau5617192223242425262827293031333432353620383961719241822254140424344104746[[#This Row],[Num Projets]],#REF!,#REF!,FALSE)</f>
        <v>#REF!</v>
      </c>
      <c r="D217" s="3" t="s">
        <v>1</v>
      </c>
      <c r="E217" s="3" t="e">
        <f>_xlfn.XLOOKUP(Tableau5617192223242425262827293031333432353620383961719241822254140424344104746[[#This Row],[Num Projets]],#REF!,#REF!,FALSE)</f>
        <v>#REF!</v>
      </c>
      <c r="F217" s="3" t="e">
        <f>_xlfn.XLOOKUP(Tableau5617192223242425262827293031333432353620383961719241822254140424344104746[[#This Row],[Num Projets]],#REF!,#REF!,"new mai",0)</f>
        <v>#REF!</v>
      </c>
      <c r="G217" s="3" t="s">
        <v>2</v>
      </c>
      <c r="H217" s="15" t="s">
        <v>379</v>
      </c>
      <c r="I217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7" s="4" t="e">
        <f>VLOOKUP(Tableau5617192223242425262827293031333432353620383961719241822254140424344104746[[#This Row],[Num Projets]],#REF!,36,FALSE)</f>
        <v>#REF!</v>
      </c>
      <c r="K217" s="5" t="s">
        <v>4</v>
      </c>
      <c r="L217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7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7" s="7" t="e">
        <f>VLOOKUP(H217,#REF!,7,FALSE)</f>
        <v>#REF!</v>
      </c>
      <c r="O217" s="7"/>
      <c r="P217" s="107" t="e">
        <f>VLOOKUP(H217,#REF!,2,FALSE)</f>
        <v>#REF!</v>
      </c>
      <c r="Q217" s="102" t="e">
        <f>Tableau5617192223242425262827293031333432353620383961719241822254140424344104746[[#This Row],[Total Budget
€]]-IFERROR(VLOOKUP(H217,#REF!,8,FALSE),0)</f>
        <v>#REF!</v>
      </c>
      <c r="R217" s="68">
        <f>AD217+AI217+Tableau5617192223242425262827293031333432353620383961719241822254140424344104746[[#This Row],[Int Commandé OT
€]]+AX217</f>
        <v>0</v>
      </c>
      <c r="S217" s="10">
        <f>AD217+AJ217+Tableau5617192223242425262827293031333432353620383961719241822254140424344104746[[#This Row],[Int Réalisé OT
€]]+AX217</f>
        <v>0</v>
      </c>
      <c r="T217" s="69" t="e">
        <f t="shared" si="70"/>
        <v>#REF!</v>
      </c>
      <c r="U217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7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7" s="42" t="e">
        <f>Tableau5617192223242425262827293031333432353620383961719241822254140424344104746[[#This Row],[Budget Heures Valorisées
€]]/105</f>
        <v>#REF!</v>
      </c>
      <c r="X217" s="13">
        <f>IFERROR(VLOOKUP(H217,#REF!,2,FALSE),0)</f>
        <v>0</v>
      </c>
      <c r="Y217" s="68">
        <f>IFERROR(VLOOKUP(H217,#REF!,3,FALSE),0)</f>
        <v>0</v>
      </c>
      <c r="Z217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9.5714285714285712</v>
      </c>
      <c r="AA217" s="68">
        <f>IFERROR(VLOOKUP(H217,#REF!,18,FALSE),0)</f>
        <v>0</v>
      </c>
      <c r="AB217" s="68">
        <f>SUM(X217:Y217)-IFERROR(VLOOKUP(H217,#REF!,16,FALSE),0)-IFERROR(VLOOKUP(H217,#REF!,17,FALSE),0)</f>
        <v>0</v>
      </c>
      <c r="AC217" s="68" t="e">
        <f>VLOOKUP(Tableau5617192223242425262827293031333432353620383961719241822254140424344104746[[#This Row],[Num Projets]],#REF!,2,FALSE)</f>
        <v>#REF!</v>
      </c>
      <c r="AD217" s="103">
        <f>IFERROR(VLOOKUP(Tableau5617192223242425262827293031333432353620383961719241822254140424344104746[[#This Row],[Num Projets]],#REF!,2,FALSE),0)</f>
        <v>0</v>
      </c>
      <c r="AE217" s="46">
        <f t="shared" si="71"/>
        <v>457.51428571428568</v>
      </c>
      <c r="AF217" s="69" t="e">
        <f t="shared" si="72"/>
        <v>#REF!</v>
      </c>
      <c r="AG217" s="107">
        <f>IFERROR(VLOOKUP(H217,#REF!,3,FALSE),0)+IFERROR(VLOOKUP(H217,#REF!,3,FALSE),0)</f>
        <v>0</v>
      </c>
      <c r="AH217" s="107">
        <f>IFERROR(VLOOKUP(Tableau5617192223242425262827293031333432353620383961719241822254140424344104746[[#This Row],[Num Projets]],#REF!,2,FALSE),0)</f>
        <v>0</v>
      </c>
      <c r="AI217" s="17">
        <f>+IFERROR(VLOOKUP(H217,#REF!,2,FALSE),0)-Tableau5617192223242425262827293031333432353620383961719241822254140424344104746[[#This Row],[Int Commandé OT
€]]</f>
        <v>0</v>
      </c>
      <c r="AJ217" s="107">
        <f>IFERROR(VLOOKUP(H217,#REF!,11,FALSE),0)-IFERROR(VLOOKUP(H217,#REF!,10,FALSE),0)+Tableau5617192223242425262827293031333432353620383961719241822254140424344104746[[#This Row],[dont FNP à date (€ HT)]]</f>
        <v>0</v>
      </c>
      <c r="AK217" s="15">
        <f t="shared" si="73"/>
        <v>0</v>
      </c>
      <c r="AL217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7" s="19">
        <f>IF(Tableau5617192223242425262827293031333432353620383961719241822254140424344104746[[#This Row],[RAF Achats M-1
€]]=0,0,AN217-AO217)</f>
        <v>0</v>
      </c>
      <c r="AN217" s="46">
        <f>IFERROR(VLOOKUP(H217,#REF!,31,FALSE),0)</f>
        <v>0</v>
      </c>
      <c r="AO217" s="46">
        <f>AI217+-IFERROR(VLOOKUP(H217,#REF!,27,FALSE),0)</f>
        <v>0</v>
      </c>
      <c r="AP217" s="17">
        <f>IFERROR(VLOOKUP(Tableau5617192223242425262827293031333432353620383961719241822254140424344104746[[#This Row],[Num Projets]],#REF!,2,FALSE),0)</f>
        <v>0</v>
      </c>
      <c r="AQ217" s="20">
        <f>_xlfn.XLOOKUP(H217,[2]Synth!$N:$N,[2]Synth!$O:$O,0,FALSE)+_xlfn.XLOOKUP(Tableau5617192223242425262827293031333432353620383961719241822254140424344104746[[#This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7" s="110">
        <v>0</v>
      </c>
      <c r="AS217" s="20">
        <f>+IFERROR(VLOOKUP(H217,#REF!,36,FALSE),0)</f>
        <v>0</v>
      </c>
      <c r="AT217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7" s="69">
        <f>IF(AG217=0,0,1-((AI217+AM217+Tableau5617192223242425262827293031333432353620383961719241822254140424344104746[[#This Row],[Int Commandé OT
€]]+Tableau5617192223242425262827293031333432353620383961719241822254140424344104746[[#This Row],[RAF Int OT
€]])/AG217))</f>
        <v>0</v>
      </c>
      <c r="AV217" s="107">
        <f>IFERROR(VLOOKUP(H217,#REF!,4,FALSE),0)+IFERROR(VLOOKUP(H217,#REF!,4,FALSE),0)</f>
        <v>0</v>
      </c>
      <c r="AW217" s="233">
        <f>IFERROR(VLOOKUP(Tableau5617192223242425262827293031333432353620383961719241822254140424344104746[[#This Row],[Num Projets]],#REF!,3,FALSE),0)</f>
        <v>0</v>
      </c>
      <c r="AX217" s="112">
        <f>IFERROR(VLOOKUP(Tableau5617192223242425262827293031333432353620383961719241822254140424344104746[[#This Row],[Num Projets]],#REF!,10,FALSE),0)</f>
        <v>0</v>
      </c>
      <c r="AY217" s="23">
        <f>Tableau5617192223242425262827293031333432353620383961719241822254140424344104746[[#This Row],[Budget Mission
 €]]/1.2-AX217</f>
        <v>0</v>
      </c>
      <c r="AZ217" s="46">
        <f>IFERROR(VLOOKUP(H217,#REF!,43,FALSE),0)</f>
        <v>0</v>
      </c>
      <c r="BA217" s="46">
        <f>AX217-IFERROR(VLOOKUP(H217,#REF!,42,FALSE),0)</f>
        <v>0</v>
      </c>
      <c r="BB217" s="87">
        <f t="shared" si="74"/>
        <v>0</v>
      </c>
      <c r="BC217" s="71">
        <f>IFERROR(VLOOKUP(H217,#REF!,47,FALSE),IFERROR(VLOOKUP(H217,#REF!,5,FALSE),0)+IFERROR(VLOOKUP(H217,#REF!,5,FALSE),0))</f>
        <v>0</v>
      </c>
      <c r="BD217" s="114">
        <f>IFERROR(VLOOKUP(H217,#REF!,2,FALSE),0)</f>
        <v>0</v>
      </c>
      <c r="BE217" s="114">
        <f>IFERROR(VLOOKUP(H217,#REF!,49,FALSE),0)</f>
        <v>0</v>
      </c>
      <c r="BF217" s="72" t="e">
        <f t="shared" si="75"/>
        <v>#REF!</v>
      </c>
      <c r="BG217" s="72">
        <f t="shared" si="76"/>
        <v>0</v>
      </c>
      <c r="BH217" s="115">
        <f>AE217+ (AI217-AJ217+AM217+Tableau5617192223242425262827293031333432353620383961719241822254140424344104746[[#This Row],[Int Commandé OT
€]]-Tableau5617192223242425262827293031333432353620383961719241822254140424344104746[[#This Row],[Int Réalisé OT
€]]+AR217) +AY217+BC217</f>
        <v>457.51428571428568</v>
      </c>
      <c r="BI217" s="87">
        <f t="shared" si="77"/>
        <v>0</v>
      </c>
      <c r="BJ217" s="87" t="e">
        <f t="shared" si="78"/>
        <v>#REF!</v>
      </c>
      <c r="BK217" s="52" t="e">
        <f t="shared" si="79"/>
        <v>#REF!</v>
      </c>
      <c r="BL217" s="53" t="e">
        <f t="shared" si="80"/>
        <v>#REF!</v>
      </c>
      <c r="BM217" s="137">
        <f>IFERROR(VLOOKUP(H217,'[1]2023sep'!H:CA,54,FALSE),105)</f>
        <v>105</v>
      </c>
      <c r="BN217" s="75">
        <v>1</v>
      </c>
      <c r="BO217" s="118" t="e">
        <f>P217-AC217-AG217-AV217-Tableau5617192223242425262827293031333432353620383961719241822254140424344104746[[#This Row],[Provisions pour risques]]</f>
        <v>#REF!</v>
      </c>
      <c r="BP217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457.51428571428568</v>
      </c>
      <c r="BQ217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7" s="120" t="e">
        <f t="shared" si="81"/>
        <v>#REF!</v>
      </c>
      <c r="BS217" s="79">
        <f>Tableau5617192223242425262827293031333432353620383961719241822254140424344104746[[#This Row],[Consommé global Enregistré à date (€ HT)]]-IFERROR(VLOOKUP(H217,#REF!,50,FALSE),0)</f>
        <v>0</v>
      </c>
      <c r="BT217" s="80" t="e">
        <f t="shared" si="82"/>
        <v>#REF!</v>
      </c>
      <c r="BU217" s="121">
        <f>BD217-IFERROR(VLOOKUP(H217,#REF!,47,FALSE),0)</f>
        <v>0</v>
      </c>
      <c r="BV217" s="122" t="e">
        <f>+BF217+Tableau5617192223242425262827293031333432353620383961719241822254140424344104746[[#This Row],[CA fin N-1]]-IFERROR(VLOOKUP(H217,#REF!,49,FALSE),0)-IFERROR(VLOOKUP(H217,#REF!,50,FALSE),0)</f>
        <v>#REF!</v>
      </c>
      <c r="BW217" s="151">
        <f>BG217-IFERROR(VLOOKUP(H217,#REF!,51,FALSE),0)</f>
        <v>0</v>
      </c>
      <c r="BX217" s="152" t="e">
        <f t="shared" si="83"/>
        <v>#REF!</v>
      </c>
      <c r="BY217" s="138">
        <f>BD217-IFERROR(VLOOKUP(H217,#REF!,48,FALSE),0)</f>
        <v>0</v>
      </c>
      <c r="BZ217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7" s="39" t="e">
        <f>VLOOKUP(Tableau5617192223242425262827293031333432353620383961719241822254140424344104746[[#This Row],[Num Projets]],#REF!,1,FALSE)</f>
        <v>#REF!</v>
      </c>
      <c r="CB217" s="40">
        <v>0</v>
      </c>
      <c r="CC217" s="40">
        <v>9.5714285714285712</v>
      </c>
      <c r="CD217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18" spans="1:82" x14ac:dyDescent="0.25">
      <c r="A218" s="311"/>
      <c r="B218" s="1"/>
      <c r="C218" s="2" t="e">
        <f>_xlfn.XLOOKUP(Tableau5617192223242425262827293031333432353620383961719241822254140424344104746[[#This Row],[Num Projets]],#REF!,#REF!,FALSE)</f>
        <v>#REF!</v>
      </c>
      <c r="D218" s="3" t="s">
        <v>6</v>
      </c>
      <c r="E218" s="3" t="e">
        <f>_xlfn.XLOOKUP(Tableau5617192223242425262827293031333432353620383961719241822254140424344104746[[#This Row],[Num Projets]],#REF!,#REF!,FALSE)</f>
        <v>#REF!</v>
      </c>
      <c r="F218" s="3" t="e">
        <f>_xlfn.XLOOKUP(Tableau5617192223242425262827293031333432353620383961719241822254140424344104746[[#This Row],[Num Projets]],#REF!,#REF!,"new mai",0)</f>
        <v>#REF!</v>
      </c>
      <c r="G218" s="3"/>
      <c r="H218" s="15" t="s">
        <v>380</v>
      </c>
      <c r="I218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8" s="4" t="e">
        <f>VLOOKUP(Tableau5617192223242425262827293031333432353620383961719241822254140424344104746[[#This Row],[Num Projets]],#REF!,36,FALSE)</f>
        <v>#REF!</v>
      </c>
      <c r="K218" s="5" t="s">
        <v>9</v>
      </c>
      <c r="L218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8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8" s="7" t="e">
        <f>VLOOKUP(H218,#REF!,7,FALSE)</f>
        <v>#REF!</v>
      </c>
      <c r="O218" s="7"/>
      <c r="P218" s="107" t="e">
        <f>VLOOKUP(H218,#REF!,2,FALSE)</f>
        <v>#REF!</v>
      </c>
      <c r="Q218" s="102" t="e">
        <f>Tableau5617192223242425262827293031333432353620383961719241822254140424344104746[[#This Row],[Total Budget
€]]-IFERROR(VLOOKUP(H218,#REF!,8,FALSE),0)</f>
        <v>#REF!</v>
      </c>
      <c r="R218" s="68">
        <f>AD218+AI218+Tableau5617192223242425262827293031333432353620383961719241822254140424344104746[[#This Row],[Int Commandé OT
€]]+AX218</f>
        <v>0</v>
      </c>
      <c r="S218" s="10">
        <f>AD218+AJ218+Tableau5617192223242425262827293031333432353620383961719241822254140424344104746[[#This Row],[Int Réalisé OT
€]]+AX218</f>
        <v>0</v>
      </c>
      <c r="T218" s="69" t="e">
        <f t="shared" si="70"/>
        <v>#REF!</v>
      </c>
      <c r="U218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8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8" s="12">
        <f>IFERROR(VLOOKUP(H218,#REF!,2,FALSE),0)</f>
        <v>0</v>
      </c>
      <c r="X218" s="13">
        <f>IFERROR(VLOOKUP(H218,#REF!,2,FALSE),0)</f>
        <v>0</v>
      </c>
      <c r="Y218" s="68">
        <f>IFERROR(VLOOKUP(H218,#REF!,3,FALSE),0)</f>
        <v>0</v>
      </c>
      <c r="Z218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21</v>
      </c>
      <c r="AA218" s="68">
        <f>IFERROR(VLOOKUP(H218,#REF!,18,FALSE),0)</f>
        <v>0</v>
      </c>
      <c r="AB218" s="68">
        <f>SUM(X218:Y218)-IFERROR(VLOOKUP(H218,#REF!,16,FALSE),0)-IFERROR(VLOOKUP(H218,#REF!,17,FALSE),0)</f>
        <v>0</v>
      </c>
      <c r="AC218" s="68" t="e">
        <f>VLOOKUP(Tableau5617192223242425262827293031333432353620383961719241822254140424344104746[[#This Row],[Num Projets]],#REF!,2,FALSE)</f>
        <v>#REF!</v>
      </c>
      <c r="AD218" s="103">
        <f>IFERROR(VLOOKUP(Tableau5617192223242425262827293031333432353620383961719241822254140424344104746[[#This Row],[Num Projets]],#REF!,2,FALSE),0)</f>
        <v>0</v>
      </c>
      <c r="AE218" s="46">
        <f t="shared" si="71"/>
        <v>1003.8</v>
      </c>
      <c r="AF218" s="69" t="e">
        <f t="shared" si="72"/>
        <v>#REF!</v>
      </c>
      <c r="AG218" s="107">
        <f>IFERROR(VLOOKUP(H218,#REF!,3,FALSE),0)+IFERROR(VLOOKUP(H218,#REF!,3,FALSE),0)</f>
        <v>0</v>
      </c>
      <c r="AH218" s="107">
        <f>IFERROR(VLOOKUP(Tableau5617192223242425262827293031333432353620383961719241822254140424344104746[[#This Row],[Num Projets]],#REF!,2,FALSE),0)</f>
        <v>0</v>
      </c>
      <c r="AI218" s="17">
        <f>+IFERROR(VLOOKUP(H218,#REF!,2,FALSE),0)-Tableau5617192223242425262827293031333432353620383961719241822254140424344104746[[#This Row],[Int Commandé OT
€]]</f>
        <v>0</v>
      </c>
      <c r="AJ218" s="107">
        <f>IFERROR(VLOOKUP(H218,#REF!,11,FALSE),0)-IFERROR(VLOOKUP(H218,#REF!,10,FALSE),0)+Tableau5617192223242425262827293031333432353620383961719241822254140424344104746[[#This Row],[dont FNP à date (€ HT)]]</f>
        <v>0</v>
      </c>
      <c r="AK218" s="15">
        <f t="shared" si="73"/>
        <v>0</v>
      </c>
      <c r="AL218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8" s="19">
        <f>IF(Tableau5617192223242425262827293031333432353620383961719241822254140424344104746[[#This Row],[RAF Achats M-1
€]]=0,0,AN218-AO218)</f>
        <v>0</v>
      </c>
      <c r="AN218" s="46">
        <f>IFERROR(VLOOKUP(H218,#REF!,31,FALSE),0)</f>
        <v>0</v>
      </c>
      <c r="AO218" s="46">
        <f>AI218+-IFERROR(VLOOKUP(H218,#REF!,27,FALSE),0)</f>
        <v>0</v>
      </c>
      <c r="AP218" s="17">
        <f>IFERROR(VLOOKUP(Tableau5617192223242425262827293031333432353620383961719241822254140424344104746[[#This Row],[Num Projets]],#REF!,2,FALSE),0)</f>
        <v>0</v>
      </c>
      <c r="AQ218" s="20">
        <f>_xlfn.XLOOKUP(H218,[2]Synth!$N:$N,[2]Synth!$O:$O,0,FALSE)+_xlfn.XLOOKUP(Tableau5617192223242425262827293031333432353620383961719241822254140424344104746[[#This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18" s="110">
        <v>0</v>
      </c>
      <c r="AS218" s="20">
        <f>+IFERROR(VLOOKUP(H218,#REF!,36,FALSE),0)</f>
        <v>0</v>
      </c>
      <c r="AT218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8" s="69">
        <f>IF(AG218=0,0,1-((AI218+AM218+Tableau5617192223242425262827293031333432353620383961719241822254140424344104746[[#This Row],[Int Commandé OT
€]]+Tableau5617192223242425262827293031333432353620383961719241822254140424344104746[[#This Row],[RAF Int OT
€]])/AG218))</f>
        <v>0</v>
      </c>
      <c r="AV218" s="107">
        <f>IFERROR(VLOOKUP(H218,#REF!,4,FALSE),0)+IFERROR(VLOOKUP(H218,#REF!,4,FALSE),0)</f>
        <v>0</v>
      </c>
      <c r="AW218" s="233">
        <f>IFERROR(VLOOKUP(Tableau5617192223242425262827293031333432353620383961719241822254140424344104746[[#This Row],[Num Projets]],#REF!,3,FALSE),0)</f>
        <v>0</v>
      </c>
      <c r="AX218" s="112">
        <f>IFERROR(VLOOKUP(Tableau5617192223242425262827293031333432353620383961719241822254140424344104746[[#This Row],[Num Projets]],#REF!,10,FALSE),0)</f>
        <v>0</v>
      </c>
      <c r="AY218" s="23">
        <f>Tableau5617192223242425262827293031333432353620383961719241822254140424344104746[[#This Row],[Budget Mission
 €]]/1.2-AX218</f>
        <v>0</v>
      </c>
      <c r="AZ218" s="46">
        <f>IFERROR(VLOOKUP(H218,#REF!,43,FALSE),0)</f>
        <v>0</v>
      </c>
      <c r="BA218" s="46">
        <f>AX218-IFERROR(VLOOKUP(H218,#REF!,42,FALSE),0)</f>
        <v>0</v>
      </c>
      <c r="BB218" s="87">
        <f t="shared" si="74"/>
        <v>0</v>
      </c>
      <c r="BC218" s="71">
        <f>IFERROR(VLOOKUP(H218,#REF!,47,FALSE),IFERROR(VLOOKUP(H218,#REF!,5,FALSE),0)+IFERROR(VLOOKUP(H218,#REF!,5,FALSE),0))</f>
        <v>0</v>
      </c>
      <c r="BD218" s="114">
        <f>IFERROR(VLOOKUP(H218,#REF!,2,FALSE),0)</f>
        <v>0</v>
      </c>
      <c r="BE218" s="114">
        <f>IFERROR(VLOOKUP(H218,#REF!,49,FALSE),0)</f>
        <v>0</v>
      </c>
      <c r="BF218" s="72" t="e">
        <f t="shared" si="75"/>
        <v>#REF!</v>
      </c>
      <c r="BG218" s="72">
        <f t="shared" si="76"/>
        <v>0</v>
      </c>
      <c r="BH218" s="115">
        <f>AE218+ (AI218-AJ218+AM218+Tableau5617192223242425262827293031333432353620383961719241822254140424344104746[[#This Row],[Int Commandé OT
€]]-Tableau5617192223242425262827293031333432353620383961719241822254140424344104746[[#This Row],[Int Réalisé OT
€]]+AR218) +AY218+BC218</f>
        <v>1003.8</v>
      </c>
      <c r="BI218" s="87">
        <f t="shared" si="77"/>
        <v>0</v>
      </c>
      <c r="BJ218" s="87" t="e">
        <f t="shared" si="78"/>
        <v>#REF!</v>
      </c>
      <c r="BK218" s="52" t="e">
        <f t="shared" si="79"/>
        <v>#REF!</v>
      </c>
      <c r="BL218" s="53" t="e">
        <f t="shared" si="80"/>
        <v>#REF!</v>
      </c>
      <c r="BM218" s="137">
        <f>IFERROR(VLOOKUP(H218,'[1]2023sep'!H:CA,54,FALSE),105)</f>
        <v>105</v>
      </c>
      <c r="BN218" s="75">
        <v>1</v>
      </c>
      <c r="BO218" s="118" t="e">
        <f>P218-AC218-AG218-AV218-Tableau5617192223242425262827293031333432353620383961719241822254140424344104746[[#This Row],[Provisions pour risques]]</f>
        <v>#REF!</v>
      </c>
      <c r="BP218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1003.8</v>
      </c>
      <c r="BQ218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18" s="120" t="e">
        <f t="shared" si="81"/>
        <v>#REF!</v>
      </c>
      <c r="BS218" s="79">
        <f>Tableau5617192223242425262827293031333432353620383961719241822254140424344104746[[#This Row],[Consommé global Enregistré à date (€ HT)]]-IFERROR(VLOOKUP(H218,#REF!,50,FALSE),0)</f>
        <v>0</v>
      </c>
      <c r="BT218" s="80" t="e">
        <f t="shared" si="82"/>
        <v>#REF!</v>
      </c>
      <c r="BU218" s="121">
        <f>BD218-IFERROR(VLOOKUP(H218,#REF!,47,FALSE),0)</f>
        <v>0</v>
      </c>
      <c r="BV218" s="122" t="e">
        <f>+BF218+Tableau5617192223242425262827293031333432353620383961719241822254140424344104746[[#This Row],[CA fin N-1]]-IFERROR(VLOOKUP(H218,#REF!,49,FALSE),0)-IFERROR(VLOOKUP(H218,#REF!,50,FALSE),0)</f>
        <v>#REF!</v>
      </c>
      <c r="BW218" s="151">
        <f>BG218-IFERROR(VLOOKUP(H218,#REF!,51,FALSE),0)</f>
        <v>0</v>
      </c>
      <c r="BX218" s="152" t="e">
        <f t="shared" si="83"/>
        <v>#REF!</v>
      </c>
      <c r="BY218" s="138">
        <f>BD218-IFERROR(VLOOKUP(H218,#REF!,48,FALSE),0)</f>
        <v>0</v>
      </c>
      <c r="BZ218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8" s="39" t="e">
        <f>VLOOKUP(Tableau5617192223242425262827293031333432353620383961719241822254140424344104746[[#This Row],[Num Projets]],#REF!,1,FALSE)</f>
        <v>#REF!</v>
      </c>
      <c r="CB218" s="40">
        <v>9.5</v>
      </c>
      <c r="CC218" s="40">
        <v>11.5</v>
      </c>
      <c r="CD218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-9.5</v>
      </c>
    </row>
    <row r="219" spans="1:82" x14ac:dyDescent="0.25">
      <c r="A219" s="311"/>
      <c r="B219" s="1"/>
      <c r="C219" s="2" t="e">
        <f>_xlfn.XLOOKUP(Tableau5617192223242425262827293031333432353620383961719241822254140424344104746[[#This Row],[Num Projets]],#REF!,#REF!,FALSE)</f>
        <v>#REF!</v>
      </c>
      <c r="D219" s="3" t="s">
        <v>1</v>
      </c>
      <c r="E219" s="3" t="e">
        <f>_xlfn.XLOOKUP(Tableau5617192223242425262827293031333432353620383961719241822254140424344104746[[#This Row],[Num Projets]],#REF!,#REF!,FALSE)</f>
        <v>#REF!</v>
      </c>
      <c r="F219" s="3" t="e">
        <f>_xlfn.XLOOKUP(Tableau5617192223242425262827293031333432353620383961719241822254140424344104746[[#This Row],[Num Projets]],#REF!,#REF!,"new mai",0)</f>
        <v>#REF!</v>
      </c>
      <c r="G219" s="3" t="s">
        <v>2</v>
      </c>
      <c r="H219" s="15" t="s">
        <v>381</v>
      </c>
      <c r="I219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19" s="4" t="e">
        <f>VLOOKUP(Tableau5617192223242425262827293031333432353620383961719241822254140424344104746[[#This Row],[Num Projets]],#REF!,36,FALSE)</f>
        <v>#REF!</v>
      </c>
      <c r="K219" s="5" t="s">
        <v>4</v>
      </c>
      <c r="L219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19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19" s="7" t="e">
        <f>VLOOKUP(H219,#REF!,7,FALSE)</f>
        <v>#REF!</v>
      </c>
      <c r="O219" s="7"/>
      <c r="P219" s="107" t="e">
        <f>VLOOKUP(H219,#REF!,2,FALSE)</f>
        <v>#REF!</v>
      </c>
      <c r="Q219" s="102" t="e">
        <f>Tableau5617192223242425262827293031333432353620383961719241822254140424344104746[[#This Row],[Total Budget
€]]-IFERROR(VLOOKUP(H219,#REF!,8,FALSE),0)</f>
        <v>#REF!</v>
      </c>
      <c r="R219" s="68">
        <f>AD219+AI219+Tableau5617192223242425262827293031333432353620383961719241822254140424344104746[[#This Row],[Int Commandé OT
€]]+AX219</f>
        <v>0</v>
      </c>
      <c r="S219" s="10">
        <f>AD219+AJ219+Tableau5617192223242425262827293031333432353620383961719241822254140424344104746[[#This Row],[Int Réalisé OT
€]]+AX219</f>
        <v>409.96781634145589</v>
      </c>
      <c r="T219" s="69" t="e">
        <f t="shared" si="70"/>
        <v>#REF!</v>
      </c>
      <c r="U219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19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19" s="12">
        <f>IFERROR(VLOOKUP(H219,#REF!,2,FALSE),0)</f>
        <v>0</v>
      </c>
      <c r="X219" s="13">
        <f>IFERROR(VLOOKUP(H219,#REF!,2,FALSE),0)</f>
        <v>0</v>
      </c>
      <c r="Y219" s="68">
        <f>IFERROR(VLOOKUP(H219,#REF!,3,FALSE),0)</f>
        <v>0</v>
      </c>
      <c r="Z219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288</v>
      </c>
      <c r="AA219" s="68">
        <f>IFERROR(VLOOKUP(H219,#REF!,18,FALSE),0)</f>
        <v>0</v>
      </c>
      <c r="AB219" s="68">
        <f>SUM(X219:Y219)-IFERROR(VLOOKUP(H219,#REF!,16,FALSE),0)-IFERROR(VLOOKUP(H219,#REF!,17,FALSE),0)</f>
        <v>0</v>
      </c>
      <c r="AC219" s="68">
        <f>Tableau5617192223242425262827293031333432353620383961719241822254140424344104746[[#This Row],[Budget Heures
Hrs]]*105</f>
        <v>0</v>
      </c>
      <c r="AD219" s="103">
        <f>IFERROR(VLOOKUP(Tableau5617192223242425262827293031333432353620383961719241822254140424344104746[[#This Row],[Num Projets]],#REF!,2,FALSE),0)</f>
        <v>0</v>
      </c>
      <c r="AE219" s="46">
        <f t="shared" si="71"/>
        <v>13766.4</v>
      </c>
      <c r="AF219" s="69">
        <f t="shared" si="72"/>
        <v>0</v>
      </c>
      <c r="AG219" s="107" t="e">
        <f>Tableau5617192223242425262827293031333432353620383961719241822254140424344104746[[#This Row],[Total Budget
€]]-Tableau5617192223242425262827293031333432353620383961719241822254140424344104746[[#This Row],[Budget Heures Valorisées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H219" s="107">
        <f>IFERROR(VLOOKUP(Tableau5617192223242425262827293031333432353620383961719241822254140424344104746[[#This Row],[Num Projets]],#REF!,2,FALSE),0)</f>
        <v>0</v>
      </c>
      <c r="AI219" s="17">
        <f>+IFERROR(VLOOKUP(H219,#REF!,2,FALSE),0)-Tableau5617192223242425262827293031333432353620383961719241822254140424344104746[[#This Row],[Int Commandé OT
€]]</f>
        <v>0</v>
      </c>
      <c r="AJ219" s="107">
        <f>IFERROR(VLOOKUP(H219,#REF!,11,FALSE),0)-IFERROR(VLOOKUP(H219,#REF!,10,FALSE),0)+Tableau5617192223242425262827293031333432353620383961719241822254140424344104746[[#This Row],[dont FNP à date (€ HT)]]</f>
        <v>0</v>
      </c>
      <c r="AK219" s="15">
        <f t="shared" si="73"/>
        <v>0</v>
      </c>
      <c r="AL219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19" s="19">
        <f>IF(Tableau5617192223242425262827293031333432353620383961719241822254140424344104746[[#This Row],[RAF Achats M-1
€]]=0,0,AN219-AO219)</f>
        <v>0</v>
      </c>
      <c r="AN219" s="46">
        <f>IFERROR(VLOOKUP(H219,#REF!,31,FALSE),0)</f>
        <v>0</v>
      </c>
      <c r="AO219" s="46">
        <f>AI219+-IFERROR(VLOOKUP(H219,#REF!,27,FALSE),0)</f>
        <v>0</v>
      </c>
      <c r="AP219" s="17">
        <f>IFERROR(VLOOKUP(Tableau5617192223242425262827293031333432353620383961719241822254140424344104746[[#This Row],[Num Projets]],#REF!,2,FALSE),0)</f>
        <v>0</v>
      </c>
      <c r="AQ219" s="20">
        <f>_xlfn.XLOOKUP(H219,[2]Synth!$N:$N,[2]Synth!$O:$O,0,FALSE)+_xlfn.XLOOKUP(Tableau5617192223242425262827293031333432353620383961719241822254140424344104746[[#This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409.96781634145589</v>
      </c>
      <c r="AR219" s="110">
        <v>0</v>
      </c>
      <c r="AS219" s="20">
        <f>+IFERROR(VLOOKUP(H219,#REF!,36,FALSE),0)</f>
        <v>0</v>
      </c>
      <c r="AT219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19" s="69" t="e">
        <f>IF(AG219=0,0,1-((AI219+AM219+Tableau5617192223242425262827293031333432353620383961719241822254140424344104746[[#This Row],[Int Commandé OT
€]]+Tableau5617192223242425262827293031333432353620383961719241822254140424344104746[[#This Row],[RAF Int OT
€]])/AG219))</f>
        <v>#REF!</v>
      </c>
      <c r="AV219" s="107">
        <f>IFERROR(VLOOKUP(H219,#REF!,4,FALSE),0)+IFERROR(VLOOKUP(H219,#REF!,4,FALSE),0)</f>
        <v>0</v>
      </c>
      <c r="AW219" s="233">
        <f>IFERROR(VLOOKUP(Tableau5617192223242425262827293031333432353620383961719241822254140424344104746[[#This Row],[Num Projets]],#REF!,3,FALSE),0)</f>
        <v>0</v>
      </c>
      <c r="AX219" s="112">
        <f>IFERROR(VLOOKUP(Tableau5617192223242425262827293031333432353620383961719241822254140424344104746[[#This Row],[Num Projets]],#REF!,10,FALSE),0)</f>
        <v>0</v>
      </c>
      <c r="AY219" s="23">
        <f>Tableau5617192223242425262827293031333432353620383961719241822254140424344104746[[#This Row],[Budget Mission
 €]]/1.2-AX219</f>
        <v>0</v>
      </c>
      <c r="AZ219" s="46">
        <f>IFERROR(VLOOKUP(H219,#REF!,43,FALSE),0)</f>
        <v>0</v>
      </c>
      <c r="BA219" s="46">
        <f>AX219-IFERROR(VLOOKUP(H219,#REF!,42,FALSE),0)</f>
        <v>0</v>
      </c>
      <c r="BB219" s="87">
        <f t="shared" si="74"/>
        <v>0</v>
      </c>
      <c r="BC219" s="71">
        <f>IFERROR(VLOOKUP(H219,#REF!,47,FALSE),IFERROR(VLOOKUP(H219,#REF!,5,FALSE),0)+IFERROR(VLOOKUP(H219,#REF!,5,FALSE),0))</f>
        <v>0</v>
      </c>
      <c r="BD219" s="114">
        <f>IFERROR(VLOOKUP(H219,#REF!,2,FALSE),0)</f>
        <v>0</v>
      </c>
      <c r="BE219" s="114">
        <f>IFERROR(VLOOKUP(H219,#REF!,49,FALSE),0)</f>
        <v>0</v>
      </c>
      <c r="BF219" s="72" t="e">
        <f t="shared" si="75"/>
        <v>#REF!</v>
      </c>
      <c r="BG219" s="72">
        <f t="shared" si="76"/>
        <v>409.96781634145589</v>
      </c>
      <c r="BH219" s="115">
        <f>AE219+ (AI219-AJ219+AM219+Tableau5617192223242425262827293031333432353620383961719241822254140424344104746[[#This Row],[Int Commandé OT
€]]-Tableau5617192223242425262827293031333432353620383961719241822254140424344104746[[#This Row],[Int Réalisé OT
€]]+AR219) +AY219+BC219</f>
        <v>13356.432183658544</v>
      </c>
      <c r="BI219" s="87">
        <f t="shared" si="77"/>
        <v>2.9780321386960708E-2</v>
      </c>
      <c r="BJ219" s="87" t="e">
        <f t="shared" si="78"/>
        <v>#REF!</v>
      </c>
      <c r="BK219" s="52" t="e">
        <f t="shared" si="79"/>
        <v>#REF!</v>
      </c>
      <c r="BL219" s="53" t="e">
        <f t="shared" si="80"/>
        <v>#REF!</v>
      </c>
      <c r="BM219" s="137">
        <f>IFERROR(VLOOKUP(H219,'[1]2023sep'!H:CA,54,FALSE),105)</f>
        <v>105</v>
      </c>
      <c r="BN219" s="75">
        <v>1</v>
      </c>
      <c r="BO219" s="118" t="e">
        <f>P219-AC219-AG219-AV219-Tableau5617192223242425262827293031333432353620383961719241822254140424344104746[[#This Row],[Provisions pour risques]]</f>
        <v>#REF!</v>
      </c>
      <c r="BP219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13766.4</v>
      </c>
      <c r="BQ219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2.9780321386960708E-2</v>
      </c>
      <c r="BR219" s="120" t="e">
        <f t="shared" si="81"/>
        <v>#REF!</v>
      </c>
      <c r="BS219" s="79">
        <f>Tableau5617192223242425262827293031333432353620383961719241822254140424344104746[[#This Row],[Consommé global Enregistré à date (€ HT)]]-IFERROR(VLOOKUP(H219,#REF!,50,FALSE),0)</f>
        <v>409.96781634145589</v>
      </c>
      <c r="BT219" s="80" t="e">
        <f t="shared" si="82"/>
        <v>#REF!</v>
      </c>
      <c r="BU219" s="121">
        <f>BD219-IFERROR(VLOOKUP(H219,#REF!,47,FALSE),0)</f>
        <v>0</v>
      </c>
      <c r="BV219" s="122" t="e">
        <f>+BF219+Tableau5617192223242425262827293031333432353620383961719241822254140424344104746[[#This Row],[CA fin N-1]]-IFERROR(VLOOKUP(H219,#REF!,49,FALSE),0)-IFERROR(VLOOKUP(H219,#REF!,50,FALSE),0)</f>
        <v>#REF!</v>
      </c>
      <c r="BW219" s="151">
        <f>BG219-IFERROR(VLOOKUP(H219,#REF!,51,FALSE),0)</f>
        <v>409.96781634145589</v>
      </c>
      <c r="BX219" s="152" t="e">
        <f t="shared" si="83"/>
        <v>#REF!</v>
      </c>
      <c r="BY219" s="138">
        <f>BD219-IFERROR(VLOOKUP(H219,#REF!,48,FALSE),0)</f>
        <v>0</v>
      </c>
      <c r="BZ219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19" s="39" t="e">
        <f>VLOOKUP(Tableau5617192223242425262827293031333432353620383961719241822254140424344104746[[#This Row],[Num Projets]],#REF!,1,FALSE)</f>
        <v>#REF!</v>
      </c>
      <c r="CB219" s="40">
        <v>31</v>
      </c>
      <c r="CC219" s="40">
        <v>257</v>
      </c>
      <c r="CD219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-31</v>
      </c>
    </row>
    <row r="220" spans="1:82" x14ac:dyDescent="0.25">
      <c r="A220" s="311"/>
      <c r="B220" s="1"/>
      <c r="C220" s="2" t="e">
        <f>_xlfn.XLOOKUP(Tableau5617192223242425262827293031333432353620383961719241822254140424344104746[[#This Row],[Num Projets]],#REF!,#REF!,FALSE)</f>
        <v>#REF!</v>
      </c>
      <c r="D220" s="3" t="s">
        <v>6</v>
      </c>
      <c r="E220" s="3" t="e">
        <f>_xlfn.XLOOKUP(Tableau5617192223242425262827293031333432353620383961719241822254140424344104746[[#This Row],[Num Projets]],#REF!,#REF!,FALSE)</f>
        <v>#REF!</v>
      </c>
      <c r="F220" s="3" t="e">
        <f>_xlfn.XLOOKUP(Tableau5617192223242425262827293031333432353620383961719241822254140424344104746[[#This Row],[Num Projets]],#REF!,#REF!,"new mai",0)</f>
        <v>#REF!</v>
      </c>
      <c r="G220" s="3"/>
      <c r="H220" s="15" t="s">
        <v>382</v>
      </c>
      <c r="I220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0" s="4" t="e">
        <f>VLOOKUP(Tableau5617192223242425262827293031333432353620383961719241822254140424344104746[[#This Row],[Num Projets]],#REF!,36,FALSE)</f>
        <v>#REF!</v>
      </c>
      <c r="K220" s="5" t="s">
        <v>9</v>
      </c>
      <c r="L220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0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0" s="7" t="e">
        <f>VLOOKUP(H220,#REF!,7,FALSE)</f>
        <v>#REF!</v>
      </c>
      <c r="O220" s="7"/>
      <c r="P220" s="107" t="e">
        <f>VLOOKUP(H220,#REF!,2,FALSE)</f>
        <v>#REF!</v>
      </c>
      <c r="Q220" s="102" t="e">
        <f>Tableau5617192223242425262827293031333432353620383961719241822254140424344104746[[#This Row],[Total Budget
€]]-IFERROR(VLOOKUP(H220,#REF!,8,FALSE),0)</f>
        <v>#REF!</v>
      </c>
      <c r="R220" s="68">
        <f>AD220+AI220+Tableau5617192223242425262827293031333432353620383961719241822254140424344104746[[#This Row],[Int Commandé OT
€]]+AX220</f>
        <v>0</v>
      </c>
      <c r="S220" s="10">
        <f>AD220+AJ220+Tableau5617192223242425262827293031333432353620383961719241822254140424344104746[[#This Row],[Int Réalisé OT
€]]+AX220</f>
        <v>0</v>
      </c>
      <c r="T220" s="69" t="e">
        <f t="shared" si="70"/>
        <v>#REF!</v>
      </c>
      <c r="U220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0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0" s="12">
        <f>IFERROR(VLOOKUP(H220,#REF!,2,FALSE),0)</f>
        <v>0</v>
      </c>
      <c r="X220" s="13">
        <f>IFERROR(VLOOKUP(H220,#REF!,2,FALSE),0)</f>
        <v>0</v>
      </c>
      <c r="Y220" s="68">
        <f>IFERROR(VLOOKUP(H220,#REF!,3,FALSE),0)</f>
        <v>0</v>
      </c>
      <c r="Z220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25</v>
      </c>
      <c r="AA220" s="68">
        <f>IFERROR(VLOOKUP(H220,#REF!,18,FALSE),0)</f>
        <v>0</v>
      </c>
      <c r="AB220" s="68">
        <f>SUM(X220:Y220)-IFERROR(VLOOKUP(H220,#REF!,16,FALSE),0)-IFERROR(VLOOKUP(H220,#REF!,17,FALSE),0)</f>
        <v>0</v>
      </c>
      <c r="AC220" s="68" t="e">
        <f>VLOOKUP(Tableau5617192223242425262827293031333432353620383961719241822254140424344104746[[#This Row],[Num Projets]],#REF!,2,FALSE)</f>
        <v>#REF!</v>
      </c>
      <c r="AD220" s="103">
        <f>IFERROR(VLOOKUP(Tableau5617192223242425262827293031333432353620383961719241822254140424344104746[[#This Row],[Num Projets]],#REF!,2,FALSE),0)</f>
        <v>0</v>
      </c>
      <c r="AE220" s="46">
        <f t="shared" si="71"/>
        <v>1195</v>
      </c>
      <c r="AF220" s="69" t="e">
        <f t="shared" si="72"/>
        <v>#REF!</v>
      </c>
      <c r="AG220" s="107">
        <f>IFERROR(VLOOKUP(H220,#REF!,3,FALSE),0)+IFERROR(VLOOKUP(H220,#REF!,3,FALSE),0)</f>
        <v>0</v>
      </c>
      <c r="AH220" s="107">
        <f>IFERROR(VLOOKUP(Tableau5617192223242425262827293031333432353620383961719241822254140424344104746[[#This Row],[Num Projets]],#REF!,2,FALSE),0)</f>
        <v>0</v>
      </c>
      <c r="AI220" s="17">
        <f>+IFERROR(VLOOKUP(H220,#REF!,2,FALSE),0)-Tableau5617192223242425262827293031333432353620383961719241822254140424344104746[[#This Row],[Int Commandé OT
€]]</f>
        <v>0</v>
      </c>
      <c r="AJ220" s="107">
        <f>IFERROR(VLOOKUP(H220,#REF!,11,FALSE),0)-IFERROR(VLOOKUP(H220,#REF!,10,FALSE),0)+Tableau5617192223242425262827293031333432353620383961719241822254140424344104746[[#This Row],[dont FNP à date (€ HT)]]</f>
        <v>0</v>
      </c>
      <c r="AK220" s="15">
        <f t="shared" si="73"/>
        <v>0</v>
      </c>
      <c r="AL220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0" s="19">
        <f>IF(Tableau5617192223242425262827293031333432353620383961719241822254140424344104746[[#This Row],[RAF Achats M-1
€]]=0,0,AN220-AO220)</f>
        <v>0</v>
      </c>
      <c r="AN220" s="46">
        <f>IFERROR(VLOOKUP(H220,#REF!,31,FALSE),0)</f>
        <v>0</v>
      </c>
      <c r="AO220" s="46">
        <f>AI220+-IFERROR(VLOOKUP(H220,#REF!,27,FALSE),0)</f>
        <v>0</v>
      </c>
      <c r="AP220" s="17">
        <f>IFERROR(VLOOKUP(Tableau5617192223242425262827293031333432353620383961719241822254140424344104746[[#This Row],[Num Projets]],#REF!,2,FALSE),0)</f>
        <v>0</v>
      </c>
      <c r="AQ220" s="20">
        <f>_xlfn.XLOOKUP(H220,[2]Synth!$N:$N,[2]Synth!$O:$O,0,FALSE)+_xlfn.XLOOKUP(Tableau5617192223242425262827293031333432353620383961719241822254140424344104746[[#This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0" s="110">
        <v>0</v>
      </c>
      <c r="AS220" s="20">
        <f>+IFERROR(VLOOKUP(H220,#REF!,36,FALSE),0)</f>
        <v>0</v>
      </c>
      <c r="AT220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0" s="69">
        <f>IF(AG220=0,0,1-((AI220+AM220+Tableau5617192223242425262827293031333432353620383961719241822254140424344104746[[#This Row],[Int Commandé OT
€]]+Tableau5617192223242425262827293031333432353620383961719241822254140424344104746[[#This Row],[RAF Int OT
€]])/AG220))</f>
        <v>0</v>
      </c>
      <c r="AV220" s="107">
        <f>IFERROR(VLOOKUP(H220,#REF!,4,FALSE),0)+IFERROR(VLOOKUP(H220,#REF!,4,FALSE),0)</f>
        <v>0</v>
      </c>
      <c r="AW220" s="233">
        <f>IFERROR(VLOOKUP(Tableau5617192223242425262827293031333432353620383961719241822254140424344104746[[#This Row],[Num Projets]],#REF!,3,FALSE),0)</f>
        <v>0</v>
      </c>
      <c r="AX220" s="112">
        <f>IFERROR(VLOOKUP(Tableau5617192223242425262827293031333432353620383961719241822254140424344104746[[#This Row],[Num Projets]],#REF!,10,FALSE),0)</f>
        <v>0</v>
      </c>
      <c r="AY220" s="23">
        <f>Tableau5617192223242425262827293031333432353620383961719241822254140424344104746[[#This Row],[Budget Mission
 €]]/1.2-AX220</f>
        <v>0</v>
      </c>
      <c r="AZ220" s="46">
        <f>IFERROR(VLOOKUP(H220,#REF!,43,FALSE),0)</f>
        <v>0</v>
      </c>
      <c r="BA220" s="46">
        <f>AX220-IFERROR(VLOOKUP(H220,#REF!,42,FALSE),0)</f>
        <v>0</v>
      </c>
      <c r="BB220" s="87">
        <f t="shared" si="74"/>
        <v>0</v>
      </c>
      <c r="BC220" s="71">
        <f>IFERROR(VLOOKUP(H220,#REF!,47,FALSE),IFERROR(VLOOKUP(H220,#REF!,5,FALSE),0)+IFERROR(VLOOKUP(H220,#REF!,5,FALSE),0))</f>
        <v>0</v>
      </c>
      <c r="BD220" s="114">
        <f>IFERROR(VLOOKUP(H220,#REF!,2,FALSE),0)</f>
        <v>0</v>
      </c>
      <c r="BE220" s="114">
        <f>IFERROR(VLOOKUP(H220,#REF!,49,FALSE),0)</f>
        <v>0</v>
      </c>
      <c r="BF220" s="72" t="e">
        <f t="shared" si="75"/>
        <v>#REF!</v>
      </c>
      <c r="BG220" s="72">
        <f t="shared" si="76"/>
        <v>0</v>
      </c>
      <c r="BH220" s="115">
        <f>AE220+ (AI220-AJ220+AM220+Tableau5617192223242425262827293031333432353620383961719241822254140424344104746[[#This Row],[Int Commandé OT
€]]-Tableau5617192223242425262827293031333432353620383961719241822254140424344104746[[#This Row],[Int Réalisé OT
€]]+AR220) +AY220+BC220</f>
        <v>1195</v>
      </c>
      <c r="BI220" s="87">
        <f t="shared" si="77"/>
        <v>0</v>
      </c>
      <c r="BJ220" s="87" t="e">
        <f t="shared" si="78"/>
        <v>#REF!</v>
      </c>
      <c r="BK220" s="52" t="e">
        <f t="shared" si="79"/>
        <v>#REF!</v>
      </c>
      <c r="BL220" s="53" t="e">
        <f t="shared" si="80"/>
        <v>#REF!</v>
      </c>
      <c r="BM220" s="137">
        <f>IFERROR(VLOOKUP(H220,'[1]2023sep'!H:CA,54,FALSE),105)</f>
        <v>105</v>
      </c>
      <c r="BN220" s="75">
        <v>1</v>
      </c>
      <c r="BO220" s="118" t="e">
        <f>P220-AC220-AG220-AV220-Tableau5617192223242425262827293031333432353620383961719241822254140424344104746[[#This Row],[Provisions pour risques]]</f>
        <v>#REF!</v>
      </c>
      <c r="BP220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1195</v>
      </c>
      <c r="BQ220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0" s="120" t="e">
        <f t="shared" si="81"/>
        <v>#REF!</v>
      </c>
      <c r="BS220" s="79">
        <f>Tableau5617192223242425262827293031333432353620383961719241822254140424344104746[[#This Row],[Consommé global Enregistré à date (€ HT)]]-IFERROR(VLOOKUP(H220,#REF!,50,FALSE),0)</f>
        <v>0</v>
      </c>
      <c r="BT220" s="80" t="e">
        <f t="shared" si="82"/>
        <v>#REF!</v>
      </c>
      <c r="BU220" s="121">
        <f>BD220-IFERROR(VLOOKUP(H220,#REF!,47,FALSE),0)</f>
        <v>0</v>
      </c>
      <c r="BV220" s="122" t="e">
        <f>+BF220+Tableau5617192223242425262827293031333432353620383961719241822254140424344104746[[#This Row],[CA fin N-1]]-IFERROR(VLOOKUP(H220,#REF!,49,FALSE),0)-IFERROR(VLOOKUP(H220,#REF!,50,FALSE),0)</f>
        <v>#REF!</v>
      </c>
      <c r="BW220" s="151">
        <f>BG220-IFERROR(VLOOKUP(H220,#REF!,51,FALSE),0)</f>
        <v>0</v>
      </c>
      <c r="BX220" s="152" t="e">
        <f t="shared" si="83"/>
        <v>#REF!</v>
      </c>
      <c r="BY220" s="138">
        <f>BD220-IFERROR(VLOOKUP(H220,#REF!,48,FALSE),0)</f>
        <v>0</v>
      </c>
      <c r="BZ220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0" s="39" t="e">
        <f>VLOOKUP(Tableau5617192223242425262827293031333432353620383961719241822254140424344104746[[#This Row],[Num Projets]],#REF!,1,FALSE)</f>
        <v>#REF!</v>
      </c>
      <c r="CB220" s="40">
        <v>1</v>
      </c>
      <c r="CC220" s="40">
        <v>24</v>
      </c>
      <c r="CD220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</v>
      </c>
    </row>
    <row r="221" spans="1:82" x14ac:dyDescent="0.25">
      <c r="A221" s="311"/>
      <c r="B221" s="1"/>
      <c r="C221" s="2" t="e">
        <f>_xlfn.XLOOKUP(Tableau5617192223242425262827293031333432353620383961719241822254140424344104746[[#This Row],[Num Projets]],#REF!,#REF!,FALSE)</f>
        <v>#REF!</v>
      </c>
      <c r="D221" s="3" t="s">
        <v>6</v>
      </c>
      <c r="E221" s="3" t="e">
        <f>_xlfn.XLOOKUP(Tableau5617192223242425262827293031333432353620383961719241822254140424344104746[[#This Row],[Num Projets]],#REF!,#REF!,FALSE)</f>
        <v>#REF!</v>
      </c>
      <c r="F221" s="3" t="e">
        <f>_xlfn.XLOOKUP(Tableau5617192223242425262827293031333432353620383961719241822254140424344104746[[#This Row],[Num Projets]],#REF!,#REF!,"new mai",0)</f>
        <v>#REF!</v>
      </c>
      <c r="G221" s="3"/>
      <c r="H221" s="15" t="s">
        <v>383</v>
      </c>
      <c r="I221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1" s="4" t="e">
        <f>VLOOKUP(Tableau5617192223242425262827293031333432353620383961719241822254140424344104746[[#This Row],[Num Projets]],#REF!,36,FALSE)</f>
        <v>#REF!</v>
      </c>
      <c r="K221" s="5" t="s">
        <v>9</v>
      </c>
      <c r="L221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1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1" s="7" t="e">
        <f>VLOOKUP(H221,#REF!,7,FALSE)</f>
        <v>#REF!</v>
      </c>
      <c r="O221" s="7"/>
      <c r="P221" s="107" t="e">
        <f>VLOOKUP(H221,#REF!,2,FALSE)</f>
        <v>#REF!</v>
      </c>
      <c r="Q221" s="102" t="e">
        <f>Tableau5617192223242425262827293031333432353620383961719241822254140424344104746[[#This Row],[Total Budget
€]]-IFERROR(VLOOKUP(H221,#REF!,8,FALSE),0)</f>
        <v>#REF!</v>
      </c>
      <c r="R221" s="68">
        <f>AD221+AI221+Tableau5617192223242425262827293031333432353620383961719241822254140424344104746[[#This Row],[Int Commandé OT
€]]+AX221</f>
        <v>0</v>
      </c>
      <c r="S221" s="10">
        <f>AD221+AJ221+Tableau5617192223242425262827293031333432353620383961719241822254140424344104746[[#This Row],[Int Réalisé OT
€]]+AX221</f>
        <v>0</v>
      </c>
      <c r="T221" s="69" t="e">
        <f t="shared" si="70"/>
        <v>#REF!</v>
      </c>
      <c r="U221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1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1" s="12">
        <f>IFERROR(VLOOKUP(H221,#REF!,2,FALSE),0)</f>
        <v>0</v>
      </c>
      <c r="X221" s="13">
        <f>IFERROR(VLOOKUP(H221,#REF!,2,FALSE),0)</f>
        <v>0</v>
      </c>
      <c r="Y221" s="68">
        <f>IFERROR(VLOOKUP(H221,#REF!,3,FALSE),0)</f>
        <v>0</v>
      </c>
      <c r="Z221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45</v>
      </c>
      <c r="AA221" s="68">
        <f>IFERROR(VLOOKUP(H221,#REF!,18,FALSE),0)</f>
        <v>0</v>
      </c>
      <c r="AB221" s="68">
        <f>SUM(X221:Y221)-IFERROR(VLOOKUP(H221,#REF!,16,FALSE),0)-IFERROR(VLOOKUP(H221,#REF!,17,FALSE),0)</f>
        <v>0</v>
      </c>
      <c r="AC221" s="68" t="e">
        <f>VLOOKUP(Tableau5617192223242425262827293031333432353620383961719241822254140424344104746[[#This Row],[Num Projets]],#REF!,2,FALSE)</f>
        <v>#REF!</v>
      </c>
      <c r="AD221" s="103">
        <f>IFERROR(VLOOKUP(Tableau5617192223242425262827293031333432353620383961719241822254140424344104746[[#This Row],[Num Projets]],#REF!,2,FALSE),0)</f>
        <v>0</v>
      </c>
      <c r="AE221" s="46">
        <f t="shared" si="71"/>
        <v>2151</v>
      </c>
      <c r="AF221" s="69" t="e">
        <f t="shared" si="72"/>
        <v>#REF!</v>
      </c>
      <c r="AG221" s="107">
        <f>IFERROR(VLOOKUP(H221,#REF!,3,FALSE),0)+IFERROR(VLOOKUP(H221,#REF!,3,FALSE),0)</f>
        <v>0</v>
      </c>
      <c r="AH221" s="107">
        <f>IFERROR(VLOOKUP(Tableau5617192223242425262827293031333432353620383961719241822254140424344104746[[#This Row],[Num Projets]],#REF!,2,FALSE),0)</f>
        <v>0</v>
      </c>
      <c r="AI221" s="17">
        <f>+IFERROR(VLOOKUP(H221,#REF!,2,FALSE),0)-Tableau5617192223242425262827293031333432353620383961719241822254140424344104746[[#This Row],[Int Commandé OT
€]]</f>
        <v>0</v>
      </c>
      <c r="AJ221" s="107">
        <f>IFERROR(VLOOKUP(H221,#REF!,11,FALSE),0)-IFERROR(VLOOKUP(H221,#REF!,10,FALSE),0)+Tableau5617192223242425262827293031333432353620383961719241822254140424344104746[[#This Row],[dont FNP à date (€ HT)]]</f>
        <v>0</v>
      </c>
      <c r="AK221" s="15">
        <f t="shared" si="73"/>
        <v>0</v>
      </c>
      <c r="AL221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1" s="19">
        <f>IF(Tableau5617192223242425262827293031333432353620383961719241822254140424344104746[[#This Row],[RAF Achats M-1
€]]=0,0,AN221-AO221)</f>
        <v>0</v>
      </c>
      <c r="AN221" s="46">
        <f>IFERROR(VLOOKUP(H221,#REF!,31,FALSE),0)</f>
        <v>0</v>
      </c>
      <c r="AO221" s="46">
        <f>AI221+-IFERROR(VLOOKUP(H221,#REF!,27,FALSE),0)</f>
        <v>0</v>
      </c>
      <c r="AP221" s="17">
        <f>IFERROR(VLOOKUP(Tableau5617192223242425262827293031333432353620383961719241822254140424344104746[[#This Row],[Num Projets]],#REF!,2,FALSE),0)</f>
        <v>0</v>
      </c>
      <c r="AQ221" s="20">
        <f>_xlfn.XLOOKUP(H221,[2]Synth!$N:$N,[2]Synth!$O:$O,0,FALSE)+_xlfn.XLOOKUP(Tableau5617192223242425262827293031333432353620383961719241822254140424344104746[[#This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1" s="110">
        <v>0</v>
      </c>
      <c r="AS221" s="20">
        <f>+IFERROR(VLOOKUP(H221,#REF!,36,FALSE),0)</f>
        <v>0</v>
      </c>
      <c r="AT221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1" s="69">
        <f>IF(AG221=0,0,1-((AI221+AM221+Tableau5617192223242425262827293031333432353620383961719241822254140424344104746[[#This Row],[Int Commandé OT
€]]+Tableau5617192223242425262827293031333432353620383961719241822254140424344104746[[#This Row],[RAF Int OT
€]])/AG221))</f>
        <v>0</v>
      </c>
      <c r="AV221" s="107">
        <f>IFERROR(VLOOKUP(H221,#REF!,4,FALSE),0)+IFERROR(VLOOKUP(H221,#REF!,4,FALSE),0)</f>
        <v>0</v>
      </c>
      <c r="AW221" s="233">
        <f>IFERROR(VLOOKUP(Tableau5617192223242425262827293031333432353620383961719241822254140424344104746[[#This Row],[Num Projets]],#REF!,3,FALSE),0)</f>
        <v>0</v>
      </c>
      <c r="AX221" s="112">
        <f>IFERROR(VLOOKUP(Tableau5617192223242425262827293031333432353620383961719241822254140424344104746[[#This Row],[Num Projets]],#REF!,10,FALSE),0)</f>
        <v>0</v>
      </c>
      <c r="AY221" s="23">
        <f>Tableau5617192223242425262827293031333432353620383961719241822254140424344104746[[#This Row],[Budget Mission
 €]]/1.2-AX221</f>
        <v>0</v>
      </c>
      <c r="AZ221" s="46">
        <f>IFERROR(VLOOKUP(H221,#REF!,43,FALSE),0)</f>
        <v>0</v>
      </c>
      <c r="BA221" s="46">
        <f>AX221-IFERROR(VLOOKUP(H221,#REF!,42,FALSE),0)</f>
        <v>0</v>
      </c>
      <c r="BB221" s="87">
        <f t="shared" si="74"/>
        <v>0</v>
      </c>
      <c r="BC221" s="71">
        <f>IFERROR(VLOOKUP(H221,#REF!,47,FALSE),IFERROR(VLOOKUP(H221,#REF!,5,FALSE),0)+IFERROR(VLOOKUP(H221,#REF!,5,FALSE),0))</f>
        <v>0</v>
      </c>
      <c r="BD221" s="114">
        <f>IFERROR(VLOOKUP(H221,#REF!,2,FALSE),0)</f>
        <v>0</v>
      </c>
      <c r="BE221" s="114">
        <f>IFERROR(VLOOKUP(H221,#REF!,49,FALSE),0)</f>
        <v>0</v>
      </c>
      <c r="BF221" s="72" t="e">
        <f t="shared" si="75"/>
        <v>#REF!</v>
      </c>
      <c r="BG221" s="72">
        <f t="shared" si="76"/>
        <v>0</v>
      </c>
      <c r="BH221" s="115">
        <f>AE221+ (AI221-AJ221+AM221+Tableau5617192223242425262827293031333432353620383961719241822254140424344104746[[#This Row],[Int Commandé OT
€]]-Tableau5617192223242425262827293031333432353620383961719241822254140424344104746[[#This Row],[Int Réalisé OT
€]]+AR221) +AY221+BC221</f>
        <v>2151</v>
      </c>
      <c r="BI221" s="87">
        <f t="shared" si="77"/>
        <v>0</v>
      </c>
      <c r="BJ221" s="87" t="e">
        <f t="shared" si="78"/>
        <v>#REF!</v>
      </c>
      <c r="BK221" s="52" t="e">
        <f t="shared" si="79"/>
        <v>#REF!</v>
      </c>
      <c r="BL221" s="53" t="e">
        <f t="shared" si="80"/>
        <v>#REF!</v>
      </c>
      <c r="BM221" s="137">
        <f>IFERROR(VLOOKUP(H221,'[1]2023sep'!H:CA,54,FALSE),105)</f>
        <v>105</v>
      </c>
      <c r="BN221" s="75">
        <v>1</v>
      </c>
      <c r="BO221" s="118" t="e">
        <f>P221-AC221-AG221-AV221-Tableau5617192223242425262827293031333432353620383961719241822254140424344104746[[#This Row],[Provisions pour risques]]</f>
        <v>#REF!</v>
      </c>
      <c r="BP221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2151</v>
      </c>
      <c r="BQ221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1" s="120" t="e">
        <f t="shared" si="81"/>
        <v>#REF!</v>
      </c>
      <c r="BS221" s="79">
        <f>Tableau5617192223242425262827293031333432353620383961719241822254140424344104746[[#This Row],[Consommé global Enregistré à date (€ HT)]]-IFERROR(VLOOKUP(H221,#REF!,50,FALSE),0)</f>
        <v>0</v>
      </c>
      <c r="BT221" s="80" t="e">
        <f t="shared" si="82"/>
        <v>#REF!</v>
      </c>
      <c r="BU221" s="121">
        <f>BD221-IFERROR(VLOOKUP(H221,#REF!,47,FALSE),0)</f>
        <v>0</v>
      </c>
      <c r="BV221" s="122" t="e">
        <f>+BF221+Tableau5617192223242425262827293031333432353620383961719241822254140424344104746[[#This Row],[CA fin N-1]]-IFERROR(VLOOKUP(H221,#REF!,49,FALSE),0)-IFERROR(VLOOKUP(H221,#REF!,50,FALSE),0)</f>
        <v>#REF!</v>
      </c>
      <c r="BW221" s="151">
        <f>BG221-IFERROR(VLOOKUP(H221,#REF!,51,FALSE),0)</f>
        <v>0</v>
      </c>
      <c r="BX221" s="152" t="e">
        <f t="shared" si="83"/>
        <v>#REF!</v>
      </c>
      <c r="BY221" s="138">
        <f>BD221-IFERROR(VLOOKUP(H221,#REF!,48,FALSE),0)</f>
        <v>0</v>
      </c>
      <c r="BZ221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1" s="39" t="e">
        <f>VLOOKUP(Tableau5617192223242425262827293031333432353620383961719241822254140424344104746[[#This Row],[Num Projets]],#REF!,1,FALSE)</f>
        <v>#REF!</v>
      </c>
      <c r="CB221" s="40">
        <v>1</v>
      </c>
      <c r="CC221" s="40">
        <v>44</v>
      </c>
      <c r="CD221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-1</v>
      </c>
    </row>
    <row r="222" spans="1:82" x14ac:dyDescent="0.25">
      <c r="A222" s="311"/>
      <c r="B222" s="1"/>
      <c r="C222" s="2" t="e">
        <f>_xlfn.XLOOKUP(Tableau5617192223242425262827293031333432353620383961719241822254140424344104746[[#This Row],[Num Projets]],#REF!,#REF!,FALSE)</f>
        <v>#REF!</v>
      </c>
      <c r="D222" s="3" t="s">
        <v>6</v>
      </c>
      <c r="E222" s="3" t="e">
        <f>_xlfn.XLOOKUP(Tableau5617192223242425262827293031333432353620383961719241822254140424344104746[[#This Row],[Num Projets]],#REF!,#REF!,FALSE)</f>
        <v>#REF!</v>
      </c>
      <c r="F222" s="3" t="e">
        <f>_xlfn.XLOOKUP(Tableau5617192223242425262827293031333432353620383961719241822254140424344104746[[#This Row],[Num Projets]],#REF!,#REF!,"new mai",0)</f>
        <v>#REF!</v>
      </c>
      <c r="G222" s="3"/>
      <c r="H222" s="15" t="s">
        <v>384</v>
      </c>
      <c r="I222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2" s="4" t="e">
        <f>VLOOKUP(Tableau5617192223242425262827293031333432353620383961719241822254140424344104746[[#This Row],[Num Projets]],#REF!,36,FALSE)</f>
        <v>#REF!</v>
      </c>
      <c r="K222" s="5" t="s">
        <v>9</v>
      </c>
      <c r="L222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2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2" s="7" t="e">
        <f>VLOOKUP(H222,#REF!,7,FALSE)</f>
        <v>#REF!</v>
      </c>
      <c r="O222" s="7"/>
      <c r="P222" s="107" t="e">
        <f>VLOOKUP(H222,#REF!,2,FALSE)</f>
        <v>#REF!</v>
      </c>
      <c r="Q222" s="102" t="e">
        <f>Tableau5617192223242425262827293031333432353620383961719241822254140424344104746[[#This Row],[Total Budget
€]]-IFERROR(VLOOKUP(H222,#REF!,8,FALSE),0)</f>
        <v>#REF!</v>
      </c>
      <c r="R222" s="68">
        <f>AD222+AI222+Tableau5617192223242425262827293031333432353620383961719241822254140424344104746[[#This Row],[Int Commandé OT
€]]+AX222</f>
        <v>0</v>
      </c>
      <c r="S222" s="10">
        <f>AD222+AJ222+Tableau5617192223242425262827293031333432353620383961719241822254140424344104746[[#This Row],[Int Réalisé OT
€]]+AX222</f>
        <v>0</v>
      </c>
      <c r="T222" s="69" t="e">
        <f t="shared" si="70"/>
        <v>#REF!</v>
      </c>
      <c r="U222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2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2" s="42" t="e">
        <f>Tableau5617192223242425262827293031333432353620383961719241822254140424344104746[[#This Row],[Budget Heures Valorisées
€]]/105</f>
        <v>#REF!</v>
      </c>
      <c r="X222" s="13">
        <f>IFERROR(VLOOKUP(H222,#REF!,2,FALSE),0)</f>
        <v>0</v>
      </c>
      <c r="Y222" s="68">
        <f>IFERROR(VLOOKUP(H222,#REF!,3,FALSE),0)</f>
        <v>0</v>
      </c>
      <c r="Z222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142.78095238095239</v>
      </c>
      <c r="AA222" s="68">
        <f>IFERROR(VLOOKUP(H222,#REF!,18,FALSE),0)</f>
        <v>0</v>
      </c>
      <c r="AB222" s="68">
        <f>SUM(X222:Y222)-IFERROR(VLOOKUP(H222,#REF!,16,FALSE),0)-IFERROR(VLOOKUP(H222,#REF!,17,FALSE),0)</f>
        <v>0</v>
      </c>
      <c r="AC222" s="68" t="e">
        <f>Tableau5617192223242425262827293031333432353620383961719241822254140424344104746[[#This Row],[Ecart Budget M-1
€]]-Tableau5617192223242425262827293031333432353620383961719241822254140424344104746[[#This Row],[Budget Achat HT
€]]-Tableau5617192223242425262827293031333432353620383961719241822254140424344104746[[#This Row],[Budget Mission
 €]]-Tableau5617192223242425262827293031333432353620383961719241822254140424344104746[[#This Row],[Provisions pour risques]]</f>
        <v>#REF!</v>
      </c>
      <c r="AD222" s="103">
        <f>IFERROR(VLOOKUP(Tableau5617192223242425262827293031333432353620383961719241822254140424344104746[[#This Row],[Num Projets]],#REF!,2,FALSE),0)</f>
        <v>0</v>
      </c>
      <c r="AE222" s="46">
        <f t="shared" si="71"/>
        <v>6824.9295238095237</v>
      </c>
      <c r="AF222" s="69" t="e">
        <f t="shared" si="72"/>
        <v>#REF!</v>
      </c>
      <c r="AG222" s="107">
        <f>21090*1.2</f>
        <v>25308</v>
      </c>
      <c r="AH222" s="107">
        <f>IFERROR(VLOOKUP(Tableau5617192223242425262827293031333432353620383961719241822254140424344104746[[#This Row],[Num Projets]],#REF!,2,FALSE),0)</f>
        <v>0</v>
      </c>
      <c r="AI222" s="17">
        <f>+IFERROR(VLOOKUP(H222,#REF!,2,FALSE),0)-Tableau5617192223242425262827293031333432353620383961719241822254140424344104746[[#This Row],[Int Commandé OT
€]]</f>
        <v>0</v>
      </c>
      <c r="AJ222" s="107">
        <f>IFERROR(VLOOKUP(H222,#REF!,11,FALSE),0)-IFERROR(VLOOKUP(H222,#REF!,10,FALSE),0)+Tableau5617192223242425262827293031333432353620383961719241822254140424344104746[[#This Row],[dont FNP à date (€ HT)]]</f>
        <v>0</v>
      </c>
      <c r="AK222" s="15">
        <f t="shared" si="73"/>
        <v>0</v>
      </c>
      <c r="AL222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2" s="19">
        <f>21090-Tableau5617192223242425262827293031333432353620383961719241822254140424344104746[[#This Row],[Achats commandés HT
€]]</f>
        <v>21090</v>
      </c>
      <c r="AN222" s="46">
        <f>IFERROR(VLOOKUP(H222,#REF!,31,FALSE),0)</f>
        <v>0</v>
      </c>
      <c r="AO222" s="46">
        <f>AI222+-IFERROR(VLOOKUP(H222,#REF!,27,FALSE),0)</f>
        <v>0</v>
      </c>
      <c r="AP222" s="17">
        <f>IFERROR(VLOOKUP(Tableau5617192223242425262827293031333432353620383961719241822254140424344104746[[#This Row],[Num Projets]],#REF!,2,FALSE),0)</f>
        <v>0</v>
      </c>
      <c r="AQ222" s="20">
        <f>_xlfn.XLOOKUP(H222,[2]Synth!$N:$N,[2]Synth!$O:$O,0,FALSE)+_xlfn.XLOOKUP(Tableau5617192223242425262827293031333432353620383961719241822254140424344104746[[#This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2" s="110">
        <v>0</v>
      </c>
      <c r="AS222" s="20">
        <f>+IFERROR(VLOOKUP(H222,#REF!,36,FALSE),0)</f>
        <v>0</v>
      </c>
      <c r="AT222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2" s="69">
        <f>IF(AG222=0,0,1-((AI222+AM222+Tableau5617192223242425262827293031333432353620383961719241822254140424344104746[[#This Row],[Int Commandé OT
€]]+Tableau5617192223242425262827293031333432353620383961719241822254140424344104746[[#This Row],[RAF Int OT
€]])/AG222))</f>
        <v>0.16666666666666663</v>
      </c>
      <c r="AV222" s="107">
        <f>IFERROR(VLOOKUP(H222,#REF!,4,FALSE),0)+IFERROR(VLOOKUP(H222,#REF!,4,FALSE),0)</f>
        <v>0</v>
      </c>
      <c r="AW222" s="233">
        <f>IFERROR(VLOOKUP(Tableau5617192223242425262827293031333432353620383961719241822254140424344104746[[#This Row],[Num Projets]],#REF!,3,FALSE),0)</f>
        <v>0</v>
      </c>
      <c r="AX222" s="112">
        <f>IFERROR(VLOOKUP(Tableau5617192223242425262827293031333432353620383961719241822254140424344104746[[#This Row],[Num Projets]],#REF!,10,FALSE),0)</f>
        <v>0</v>
      </c>
      <c r="AY222" s="23">
        <f>Tableau5617192223242425262827293031333432353620383961719241822254140424344104746[[#This Row],[Budget Mission
 €]]/1.2-AX222</f>
        <v>0</v>
      </c>
      <c r="AZ222" s="46">
        <f>IFERROR(VLOOKUP(H222,#REF!,43,FALSE),0)</f>
        <v>0</v>
      </c>
      <c r="BA222" s="46">
        <f>AX222-IFERROR(VLOOKUP(H222,#REF!,42,FALSE),0)</f>
        <v>0</v>
      </c>
      <c r="BB222" s="87">
        <f t="shared" si="74"/>
        <v>0</v>
      </c>
      <c r="BC222" s="71">
        <f>IFERROR(VLOOKUP(H222,#REF!,47,FALSE),IFERROR(VLOOKUP(H222,#REF!,5,FALSE),0)+IFERROR(VLOOKUP(H222,#REF!,5,FALSE),0))</f>
        <v>0</v>
      </c>
      <c r="BD222" s="114">
        <f>IFERROR(VLOOKUP(H222,#REF!,2,FALSE),0)</f>
        <v>0</v>
      </c>
      <c r="BE222" s="114">
        <f>IFERROR(VLOOKUP(H222,#REF!,49,FALSE),0)</f>
        <v>0</v>
      </c>
      <c r="BF222" s="72" t="e">
        <f t="shared" si="75"/>
        <v>#REF!</v>
      </c>
      <c r="BG222" s="72">
        <f t="shared" si="76"/>
        <v>0</v>
      </c>
      <c r="BH222" s="115">
        <f>AE222+ (AI222-AJ222+AM222+Tableau5617192223242425262827293031333432353620383961719241822254140424344104746[[#This Row],[Int Commandé OT
€]]-Tableau5617192223242425262827293031333432353620383961719241822254140424344104746[[#This Row],[Int Réalisé OT
€]]+AR222) +AY222+BC222</f>
        <v>27914.929523809522</v>
      </c>
      <c r="BI222" s="87">
        <f t="shared" si="77"/>
        <v>0</v>
      </c>
      <c r="BJ222" s="87" t="e">
        <f t="shared" si="78"/>
        <v>#REF!</v>
      </c>
      <c r="BK222" s="52" t="e">
        <f t="shared" si="79"/>
        <v>#REF!</v>
      </c>
      <c r="BL222" s="53" t="e">
        <f t="shared" si="80"/>
        <v>#REF!</v>
      </c>
      <c r="BM222" s="137">
        <f>IFERROR(VLOOKUP(H222,'[1]2023sep'!H:CA,54,FALSE),105)</f>
        <v>105</v>
      </c>
      <c r="BN222" s="75">
        <v>1</v>
      </c>
      <c r="BO222" s="118" t="e">
        <f>P222-AC222-AG222-AV222-Tableau5617192223242425262827293031333432353620383961719241822254140424344104746[[#This Row],[Provisions pour risques]]</f>
        <v>#REF!</v>
      </c>
      <c r="BP222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27914.929523809522</v>
      </c>
      <c r="BQ222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2" s="120" t="e">
        <f t="shared" si="81"/>
        <v>#REF!</v>
      </c>
      <c r="BS222" s="79">
        <f>Tableau5617192223242425262827293031333432353620383961719241822254140424344104746[[#This Row],[Consommé global Enregistré à date (€ HT)]]-IFERROR(VLOOKUP(H222,#REF!,50,FALSE),0)</f>
        <v>0</v>
      </c>
      <c r="BT222" s="80" t="e">
        <f t="shared" si="82"/>
        <v>#REF!</v>
      </c>
      <c r="BU222" s="121">
        <f>BD222-IFERROR(VLOOKUP(H222,#REF!,47,FALSE),0)</f>
        <v>0</v>
      </c>
      <c r="BV222" s="122" t="e">
        <f>+BF222+Tableau5617192223242425262827293031333432353620383961719241822254140424344104746[[#This Row],[CA fin N-1]]-IFERROR(VLOOKUP(H222,#REF!,49,FALSE),0)-IFERROR(VLOOKUP(H222,#REF!,50,FALSE),0)</f>
        <v>#REF!</v>
      </c>
      <c r="BW222" s="151">
        <f>BG222-IFERROR(VLOOKUP(H222,#REF!,51,FALSE),0)</f>
        <v>0</v>
      </c>
      <c r="BX222" s="152" t="e">
        <f t="shared" si="83"/>
        <v>#REF!</v>
      </c>
      <c r="BY222" s="138">
        <f>BD222-IFERROR(VLOOKUP(H222,#REF!,48,FALSE),0)</f>
        <v>0</v>
      </c>
      <c r="BZ222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2" s="39" t="e">
        <f>VLOOKUP(Tableau5617192223242425262827293031333432353620383961719241822254140424344104746[[#This Row],[Num Projets]],#REF!,1,FALSE)</f>
        <v>#REF!</v>
      </c>
      <c r="CB222" s="40">
        <v>4</v>
      </c>
      <c r="CC222" s="40">
        <v>138.78095238095239</v>
      </c>
      <c r="CD222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-4</v>
      </c>
    </row>
    <row r="223" spans="1:82" x14ac:dyDescent="0.25">
      <c r="A223" s="311"/>
      <c r="B223" s="1"/>
      <c r="C223" s="2" t="e">
        <f>_xlfn.XLOOKUP(Tableau5617192223242425262827293031333432353620383961719241822254140424344104746[[#This Row],[Num Projets]],#REF!,#REF!,FALSE)</f>
        <v>#REF!</v>
      </c>
      <c r="D223" s="3" t="s">
        <v>6</v>
      </c>
      <c r="E223" s="3" t="e">
        <f>_xlfn.XLOOKUP(Tableau5617192223242425262827293031333432353620383961719241822254140424344104746[[#This Row],[Num Projets]],#REF!,#REF!,FALSE)</f>
        <v>#REF!</v>
      </c>
      <c r="F223" s="3" t="e">
        <f>_xlfn.XLOOKUP(Tableau5617192223242425262827293031333432353620383961719241822254140424344104746[[#This Row],[Num Projets]],#REF!,#REF!,"new mai",0)</f>
        <v>#REF!</v>
      </c>
      <c r="G223" s="3"/>
      <c r="H223" s="15" t="s">
        <v>385</v>
      </c>
      <c r="I223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3" s="4" t="e">
        <f>VLOOKUP(Tableau5617192223242425262827293031333432353620383961719241822254140424344104746[[#This Row],[Num Projets]],#REF!,36,FALSE)</f>
        <v>#REF!</v>
      </c>
      <c r="K223" s="5" t="s">
        <v>9</v>
      </c>
      <c r="L223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3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3" s="7" t="e">
        <f>VLOOKUP(H223,#REF!,7,FALSE)</f>
        <v>#REF!</v>
      </c>
      <c r="O223" s="7"/>
      <c r="P223" s="107" t="e">
        <f>VLOOKUP(H223,#REF!,2,FALSE)</f>
        <v>#REF!</v>
      </c>
      <c r="Q223" s="102" t="e">
        <f>Tableau5617192223242425262827293031333432353620383961719241822254140424344104746[[#This Row],[Total Budget
€]]-IFERROR(VLOOKUP(H223,#REF!,8,FALSE),0)</f>
        <v>#REF!</v>
      </c>
      <c r="R223" s="68">
        <f>AD223+AI223+Tableau5617192223242425262827293031333432353620383961719241822254140424344104746[[#This Row],[Int Commandé OT
€]]+AX223</f>
        <v>0</v>
      </c>
      <c r="S223" s="10">
        <f>AD223+AJ223+Tableau5617192223242425262827293031333432353620383961719241822254140424344104746[[#This Row],[Int Réalisé OT
€]]+AX223</f>
        <v>5260</v>
      </c>
      <c r="T223" s="69" t="e">
        <f t="shared" si="70"/>
        <v>#REF!</v>
      </c>
      <c r="U223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3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3" s="12">
        <f>IFERROR(VLOOKUP(H223,#REF!,2,FALSE),0)</f>
        <v>0</v>
      </c>
      <c r="X223" s="13">
        <f>IFERROR(VLOOKUP(H223,#REF!,2,FALSE),0)</f>
        <v>0</v>
      </c>
      <c r="Y223" s="68">
        <f>IFERROR(VLOOKUP(H223,#REF!,3,FALSE),0)</f>
        <v>0</v>
      </c>
      <c r="Z223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0</v>
      </c>
      <c r="AA223" s="68">
        <f>IFERROR(VLOOKUP(H223,#REF!,18,FALSE),0)</f>
        <v>0</v>
      </c>
      <c r="AB223" s="68">
        <f>SUM(X223:Y223)-IFERROR(VLOOKUP(H223,#REF!,16,FALSE),0)-IFERROR(VLOOKUP(H223,#REF!,17,FALSE),0)</f>
        <v>0</v>
      </c>
      <c r="AC223" s="68" t="e">
        <f>VLOOKUP(Tableau5617192223242425262827293031333432353620383961719241822254140424344104746[[#This Row],[Num Projets]],#REF!,2,FALSE)</f>
        <v>#REF!</v>
      </c>
      <c r="AD223" s="103">
        <f>IFERROR(VLOOKUP(Tableau5617192223242425262827293031333432353620383961719241822254140424344104746[[#This Row],[Num Projets]],#REF!,2,FALSE),0)</f>
        <v>0</v>
      </c>
      <c r="AE223" s="46">
        <f t="shared" si="71"/>
        <v>0</v>
      </c>
      <c r="AF223" s="69" t="e">
        <f t="shared" si="72"/>
        <v>#REF!</v>
      </c>
      <c r="AG223" s="107">
        <f>IFERROR(VLOOKUP(H223,#REF!,3,FALSE),0)+IFERROR(VLOOKUP(H223,#REF!,3,FALSE),0)</f>
        <v>0</v>
      </c>
      <c r="AH223" s="107">
        <f>IFERROR(VLOOKUP(Tableau5617192223242425262827293031333432353620383961719241822254140424344104746[[#This Row],[Num Projets]],#REF!,2,FALSE),0)</f>
        <v>0</v>
      </c>
      <c r="AI223" s="17">
        <f>+IFERROR(VLOOKUP(H223,#REF!,2,FALSE),0)-Tableau5617192223242425262827293031333432353620383961719241822254140424344104746[[#This Row],[Int Commandé OT
€]]</f>
        <v>0</v>
      </c>
      <c r="AJ223" s="107">
        <f>IFERROR(VLOOKUP(H223,#REF!,11,FALSE),0)-IFERROR(VLOOKUP(H223,#REF!,10,FALSE),0)+Tableau5617192223242425262827293031333432353620383961719241822254140424344104746[[#This Row],[dont FNP à date (€ HT)]]</f>
        <v>5260</v>
      </c>
      <c r="AK223" s="15">
        <f t="shared" si="73"/>
        <v>-5260</v>
      </c>
      <c r="AL223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5260</v>
      </c>
      <c r="AM223" s="19">
        <v>0</v>
      </c>
      <c r="AN223" s="46">
        <f>IFERROR(VLOOKUP(H223,#REF!,31,FALSE),0)</f>
        <v>0</v>
      </c>
      <c r="AO223" s="46">
        <f>AI223+-IFERROR(VLOOKUP(H223,#REF!,27,FALSE),0)</f>
        <v>0</v>
      </c>
      <c r="AP223" s="17">
        <f>IFERROR(VLOOKUP(Tableau5617192223242425262827293031333432353620383961719241822254140424344104746[[#This Row],[Num Projets]],#REF!,2,FALSE),0)</f>
        <v>0</v>
      </c>
      <c r="AQ223" s="20">
        <f>_xlfn.XLOOKUP(H223,[2]Synth!$N:$N,[2]Synth!$O:$O,0,FALSE)+_xlfn.XLOOKUP(Tableau5617192223242425262827293031333432353620383961719241822254140424344104746[[#This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3" s="110">
        <v>0</v>
      </c>
      <c r="AS223" s="20">
        <f>+IFERROR(VLOOKUP(H223,#REF!,36,FALSE),0)</f>
        <v>0</v>
      </c>
      <c r="AT223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3" s="69">
        <f>IF(AG223=0,0,1-((AI223+AM223+Tableau5617192223242425262827293031333432353620383961719241822254140424344104746[[#This Row],[Int Commandé OT
€]]+Tableau5617192223242425262827293031333432353620383961719241822254140424344104746[[#This Row],[RAF Int OT
€]])/AG223))</f>
        <v>0</v>
      </c>
      <c r="AV223" s="107">
        <f>IFERROR(VLOOKUP(H223,#REF!,4,FALSE),0)+IFERROR(VLOOKUP(H223,#REF!,4,FALSE),0)</f>
        <v>0</v>
      </c>
      <c r="AW223" s="233">
        <f>IFERROR(VLOOKUP(Tableau5617192223242425262827293031333432353620383961719241822254140424344104746[[#This Row],[Num Projets]],#REF!,3,FALSE),0)</f>
        <v>0</v>
      </c>
      <c r="AX223" s="112">
        <f>IFERROR(VLOOKUP(Tableau5617192223242425262827293031333432353620383961719241822254140424344104746[[#This Row],[Num Projets]],#REF!,10,FALSE),0)</f>
        <v>0</v>
      </c>
      <c r="AY223" s="23">
        <f>Tableau5617192223242425262827293031333432353620383961719241822254140424344104746[[#This Row],[Budget Mission
 €]]/1.2-AX223</f>
        <v>0</v>
      </c>
      <c r="AZ223" s="46">
        <f>IFERROR(VLOOKUP(H223,#REF!,43,FALSE),0)</f>
        <v>0</v>
      </c>
      <c r="BA223" s="46">
        <f>AX223-IFERROR(VLOOKUP(H223,#REF!,42,FALSE),0)</f>
        <v>0</v>
      </c>
      <c r="BB223" s="87">
        <f t="shared" si="74"/>
        <v>0</v>
      </c>
      <c r="BC223" s="71">
        <f>IFERROR(VLOOKUP(H223,#REF!,47,FALSE),IFERROR(VLOOKUP(H223,#REF!,5,FALSE),0)+IFERROR(VLOOKUP(H223,#REF!,5,FALSE),0))</f>
        <v>0</v>
      </c>
      <c r="BD223" s="114">
        <f>IFERROR(VLOOKUP(H223,#REF!,2,FALSE),0)</f>
        <v>0</v>
      </c>
      <c r="BE223" s="114">
        <f>IFERROR(VLOOKUP(H223,#REF!,49,FALSE),0)</f>
        <v>0</v>
      </c>
      <c r="BF223" s="72" t="e">
        <f t="shared" si="75"/>
        <v>#REF!</v>
      </c>
      <c r="BG223" s="72">
        <f t="shared" si="76"/>
        <v>5260</v>
      </c>
      <c r="BH223" s="115">
        <f>AE223+ (AI223-AJ223+AM223+Tableau5617192223242425262827293031333432353620383961719241822254140424344104746[[#This Row],[Int Commandé OT
€]]-Tableau5617192223242425262827293031333432353620383961719241822254140424344104746[[#This Row],[Int Réalisé OT
€]]+AR223) +AY223+BC223</f>
        <v>-5260</v>
      </c>
      <c r="BI223" s="87">
        <f t="shared" si="77"/>
        <v>1</v>
      </c>
      <c r="BJ223" s="87" t="e">
        <f t="shared" si="78"/>
        <v>#REF!</v>
      </c>
      <c r="BK223" s="52" t="e">
        <f t="shared" si="79"/>
        <v>#REF!</v>
      </c>
      <c r="BL223" s="53" t="e">
        <f t="shared" si="80"/>
        <v>#REF!</v>
      </c>
      <c r="BM223" s="137">
        <f>IFERROR(VLOOKUP(H223,'[1]2023sep'!H:CA,54,FALSE),105)</f>
        <v>105</v>
      </c>
      <c r="BN223" s="75">
        <v>1</v>
      </c>
      <c r="BO223" s="118" t="e">
        <f>P223-AC223-AG223-AV223-Tableau5617192223242425262827293031333432353620383961719241822254140424344104746[[#This Row],[Provisions pour risques]]</f>
        <v>#REF!</v>
      </c>
      <c r="BP223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0</v>
      </c>
      <c r="BQ223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1</v>
      </c>
      <c r="BR223" s="120" t="e">
        <f t="shared" si="81"/>
        <v>#REF!</v>
      </c>
      <c r="BS223" s="79">
        <f>Tableau5617192223242425262827293031333432353620383961719241822254140424344104746[[#This Row],[Consommé global Enregistré à date (€ HT)]]-IFERROR(VLOOKUP(H223,#REF!,50,FALSE),0)</f>
        <v>5260</v>
      </c>
      <c r="BT223" s="80" t="e">
        <f t="shared" si="82"/>
        <v>#REF!</v>
      </c>
      <c r="BU223" s="121">
        <f>BD223-IFERROR(VLOOKUP(H223,#REF!,47,FALSE),0)</f>
        <v>0</v>
      </c>
      <c r="BV223" s="122" t="e">
        <f>+BF223+Tableau5617192223242425262827293031333432353620383961719241822254140424344104746[[#This Row],[CA fin N-1]]-IFERROR(VLOOKUP(H223,#REF!,49,FALSE),0)-IFERROR(VLOOKUP(H223,#REF!,50,FALSE),0)</f>
        <v>#REF!</v>
      </c>
      <c r="BW223" s="151">
        <f>BG223-IFERROR(VLOOKUP(H223,#REF!,51,FALSE),0)</f>
        <v>5260</v>
      </c>
      <c r="BX223" s="152" t="e">
        <f t="shared" si="83"/>
        <v>#REF!</v>
      </c>
      <c r="BY223" s="138">
        <f>BD223-IFERROR(VLOOKUP(H223,#REF!,48,FALSE),0)</f>
        <v>0</v>
      </c>
      <c r="BZ223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3" s="39" t="e">
        <f>VLOOKUP(Tableau5617192223242425262827293031333432353620383961719241822254140424344104746[[#This Row],[Num Projets]],#REF!,1,FALSE)</f>
        <v>#REF!</v>
      </c>
      <c r="CB223" s="40">
        <v>0</v>
      </c>
      <c r="CC223" s="40">
        <v>0</v>
      </c>
      <c r="CD223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24" spans="1:82" x14ac:dyDescent="0.25">
      <c r="A224" s="311"/>
      <c r="B224" s="1"/>
      <c r="C224" s="2" t="e">
        <f>_xlfn.XLOOKUP(Tableau5617192223242425262827293031333432353620383961719241822254140424344104746[[#This Row],[Num Projets]],#REF!,#REF!,FALSE)</f>
        <v>#REF!</v>
      </c>
      <c r="D224" s="3" t="s">
        <v>6</v>
      </c>
      <c r="E224" s="3" t="e">
        <f>_xlfn.XLOOKUP(Tableau5617192223242425262827293031333432353620383961719241822254140424344104746[[#This Row],[Num Projets]],#REF!,#REF!,FALSE)</f>
        <v>#REF!</v>
      </c>
      <c r="F224" s="3" t="e">
        <f>_xlfn.XLOOKUP(Tableau5617192223242425262827293031333432353620383961719241822254140424344104746[[#This Row],[Num Projets]],#REF!,#REF!,"new mai",0)</f>
        <v>#REF!</v>
      </c>
      <c r="G224" s="3"/>
      <c r="H224" s="15" t="s">
        <v>386</v>
      </c>
      <c r="I224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4" s="4" t="e">
        <f>VLOOKUP(Tableau5617192223242425262827293031333432353620383961719241822254140424344104746[[#This Row],[Num Projets]],#REF!,36,FALSE)</f>
        <v>#REF!</v>
      </c>
      <c r="K224" s="5" t="s">
        <v>9</v>
      </c>
      <c r="L224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4" s="3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4" s="7" t="e">
        <f>VLOOKUP(H224,#REF!,7,FALSE)</f>
        <v>#REF!</v>
      </c>
      <c r="O224" s="7"/>
      <c r="P224" s="107" t="e">
        <f>VLOOKUP(H224,#REF!,2,FALSE)</f>
        <v>#REF!</v>
      </c>
      <c r="Q224" s="102" t="e">
        <f>Tableau5617192223242425262827293031333432353620383961719241822254140424344104746[[#This Row],[Total Budget
€]]-IFERROR(VLOOKUP(H224,#REF!,8,FALSE),0)</f>
        <v>#REF!</v>
      </c>
      <c r="R224" s="68">
        <f>AD224+AI224+Tableau5617192223242425262827293031333432353620383961719241822254140424344104746[[#This Row],[Int Commandé OT
€]]+AX224</f>
        <v>0</v>
      </c>
      <c r="S224" s="10">
        <f>AD224+AJ224+Tableau5617192223242425262827293031333432353620383961719241822254140424344104746[[#This Row],[Int Réalisé OT
€]]+AX224</f>
        <v>0</v>
      </c>
      <c r="T224" s="69" t="e">
        <f t="shared" si="70"/>
        <v>#REF!</v>
      </c>
      <c r="U224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4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4" s="42" t="e">
        <f>Tableau5617192223242425262827293031333432353620383961719241822254140424344104746[[#This Row],[Budget Heures Valorisées
€]]/105</f>
        <v>#REF!</v>
      </c>
      <c r="X224" s="13">
        <f>IFERROR(VLOOKUP(H224,#REF!,2,FALSE),0)</f>
        <v>0</v>
      </c>
      <c r="Y224" s="68">
        <f>IFERROR(VLOOKUP(H224,#REF!,3,FALSE),0)</f>
        <v>0</v>
      </c>
      <c r="Z224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33.333333333333336</v>
      </c>
      <c r="AA224" s="68">
        <f>IFERROR(VLOOKUP(H224,#REF!,18,FALSE),0)</f>
        <v>0</v>
      </c>
      <c r="AB224" s="68">
        <f>SUM(X224:Y224)-IFERROR(VLOOKUP(H224,#REF!,16,FALSE),0)-IFERROR(VLOOKUP(H224,#REF!,17,FALSE),0)</f>
        <v>0</v>
      </c>
      <c r="AC224" s="68" t="e">
        <f>VLOOKUP(Tableau5617192223242425262827293031333432353620383961719241822254140424344104746[[#This Row],[Num Projets]],#REF!,2,FALSE)</f>
        <v>#REF!</v>
      </c>
      <c r="AD224" s="103">
        <f>IFERROR(VLOOKUP(Tableau5617192223242425262827293031333432353620383961719241822254140424344104746[[#This Row],[Num Projets]],#REF!,2,FALSE),0)</f>
        <v>0</v>
      </c>
      <c r="AE224" s="46">
        <f t="shared" si="71"/>
        <v>1593.3333333333333</v>
      </c>
      <c r="AF224" s="69" t="e">
        <f t="shared" si="72"/>
        <v>#REF!</v>
      </c>
      <c r="AG224" s="107">
        <f>IFERROR(VLOOKUP(H224,#REF!,3,FALSE),0)+IFERROR(VLOOKUP(H224,#REF!,3,FALSE),0)</f>
        <v>0</v>
      </c>
      <c r="AH224" s="107">
        <f>IFERROR(VLOOKUP(Tableau5617192223242425262827293031333432353620383961719241822254140424344104746[[#This Row],[Num Projets]],#REF!,2,FALSE),0)</f>
        <v>0</v>
      </c>
      <c r="AI224" s="17">
        <f>+IFERROR(VLOOKUP(H224,#REF!,2,FALSE),0)-Tableau5617192223242425262827293031333432353620383961719241822254140424344104746[[#This Row],[Int Commandé OT
€]]</f>
        <v>0</v>
      </c>
      <c r="AJ224" s="107">
        <f>IFERROR(VLOOKUP(H224,#REF!,11,FALSE),0)-IFERROR(VLOOKUP(H224,#REF!,10,FALSE),0)+Tableau5617192223242425262827293031333432353620383961719241822254140424344104746[[#This Row],[dont FNP à date (€ HT)]]</f>
        <v>0</v>
      </c>
      <c r="AK224" s="15">
        <f t="shared" si="73"/>
        <v>0</v>
      </c>
      <c r="AL224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4" s="19">
        <f>IF(Tableau5617192223242425262827293031333432353620383961719241822254140424344104746[[#This Row],[RAF Achats M-1
€]]=0,0,AN224-AO224)</f>
        <v>0</v>
      </c>
      <c r="AN224" s="46">
        <f>IFERROR(VLOOKUP(H224,#REF!,31,FALSE),0)</f>
        <v>0</v>
      </c>
      <c r="AO224" s="46">
        <f>AI224+-IFERROR(VLOOKUP(H224,#REF!,27,FALSE),0)</f>
        <v>0</v>
      </c>
      <c r="AP224" s="17">
        <f>IFERROR(VLOOKUP(Tableau5617192223242425262827293031333432353620383961719241822254140424344104746[[#This Row],[Num Projets]],#REF!,2,FALSE),0)</f>
        <v>0</v>
      </c>
      <c r="AQ224" s="20">
        <f>_xlfn.XLOOKUP(H224,[2]Synth!$N:$N,[2]Synth!$O:$O,0,FALSE)+_xlfn.XLOOKUP(Tableau5617192223242425262827293031333432353620383961719241822254140424344104746[[#This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4" s="110">
        <v>0</v>
      </c>
      <c r="AS224" s="20">
        <f>+IFERROR(VLOOKUP(H224,#REF!,36,FALSE),0)</f>
        <v>0</v>
      </c>
      <c r="AT224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4" s="69">
        <f>IF(AG224=0,0,1-((AI224+AM224+Tableau5617192223242425262827293031333432353620383961719241822254140424344104746[[#This Row],[Int Commandé OT
€]]+Tableau5617192223242425262827293031333432353620383961719241822254140424344104746[[#This Row],[RAF Int OT
€]])/AG224))</f>
        <v>0</v>
      </c>
      <c r="AV224" s="107">
        <f>IFERROR(VLOOKUP(H224,#REF!,4,FALSE),0)+IFERROR(VLOOKUP(H224,#REF!,4,FALSE),0)</f>
        <v>0</v>
      </c>
      <c r="AW224" s="233">
        <f>IFERROR(VLOOKUP(Tableau5617192223242425262827293031333432353620383961719241822254140424344104746[[#This Row],[Num Projets]],#REF!,3,FALSE),0)</f>
        <v>0</v>
      </c>
      <c r="AX224" s="112">
        <f>IFERROR(VLOOKUP(Tableau5617192223242425262827293031333432353620383961719241822254140424344104746[[#This Row],[Num Projets]],#REF!,10,FALSE),0)</f>
        <v>0</v>
      </c>
      <c r="AY224" s="23">
        <f>Tableau5617192223242425262827293031333432353620383961719241822254140424344104746[[#This Row],[Budget Mission
 €]]/1.2-AX224</f>
        <v>0</v>
      </c>
      <c r="AZ224" s="46">
        <f>IFERROR(VLOOKUP(H224,#REF!,43,FALSE),0)</f>
        <v>0</v>
      </c>
      <c r="BA224" s="46">
        <f>AX224-IFERROR(VLOOKUP(H224,#REF!,42,FALSE),0)</f>
        <v>0</v>
      </c>
      <c r="BB224" s="87">
        <f t="shared" si="74"/>
        <v>0</v>
      </c>
      <c r="BC224" s="71">
        <f>IFERROR(VLOOKUP(H224,#REF!,47,FALSE),IFERROR(VLOOKUP(H224,#REF!,5,FALSE),0)+IFERROR(VLOOKUP(H224,#REF!,5,FALSE),0))</f>
        <v>0</v>
      </c>
      <c r="BD224" s="114">
        <f>IFERROR(VLOOKUP(H224,#REF!,2,FALSE),0)</f>
        <v>0</v>
      </c>
      <c r="BE224" s="114">
        <f>IFERROR(VLOOKUP(H224,#REF!,49,FALSE),0)</f>
        <v>0</v>
      </c>
      <c r="BF224" s="72" t="e">
        <f t="shared" si="75"/>
        <v>#REF!</v>
      </c>
      <c r="BG224" s="72">
        <f t="shared" si="76"/>
        <v>0</v>
      </c>
      <c r="BH224" s="115">
        <f>AE224+ (AI224-AJ224+AM224+Tableau5617192223242425262827293031333432353620383961719241822254140424344104746[[#This Row],[Int Commandé OT
€]]-Tableau5617192223242425262827293031333432353620383961719241822254140424344104746[[#This Row],[Int Réalisé OT
€]]+AR224) +AY224+BC224</f>
        <v>1593.3333333333333</v>
      </c>
      <c r="BI224" s="87">
        <f t="shared" si="77"/>
        <v>0</v>
      </c>
      <c r="BJ224" s="87" t="e">
        <f t="shared" si="78"/>
        <v>#REF!</v>
      </c>
      <c r="BK224" s="52" t="e">
        <f t="shared" si="79"/>
        <v>#REF!</v>
      </c>
      <c r="BL224" s="53" t="e">
        <f t="shared" si="80"/>
        <v>#REF!</v>
      </c>
      <c r="BM224" s="137">
        <f>IFERROR(VLOOKUP(H224,'[1]2023sep'!H:CA,54,FALSE),105)</f>
        <v>105</v>
      </c>
      <c r="BN224" s="75">
        <v>1</v>
      </c>
      <c r="BO224" s="118" t="e">
        <f>P224-AC224-AG224-AV224-Tableau5617192223242425262827293031333432353620383961719241822254140424344104746[[#This Row],[Provisions pour risques]]</f>
        <v>#REF!</v>
      </c>
      <c r="BP224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1593.3333333333333</v>
      </c>
      <c r="BQ224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4" s="120" t="e">
        <f t="shared" si="81"/>
        <v>#REF!</v>
      </c>
      <c r="BS224" s="79">
        <f>Tableau5617192223242425262827293031333432353620383961719241822254140424344104746[[#This Row],[Consommé global Enregistré à date (€ HT)]]-IFERROR(VLOOKUP(H224,#REF!,50,FALSE),0)</f>
        <v>0</v>
      </c>
      <c r="BT224" s="80" t="e">
        <f t="shared" si="82"/>
        <v>#REF!</v>
      </c>
      <c r="BU224" s="121">
        <f>BD224-IFERROR(VLOOKUP(H224,#REF!,47,FALSE),0)</f>
        <v>0</v>
      </c>
      <c r="BV224" s="122" t="e">
        <f>+BF224+Tableau5617192223242425262827293031333432353620383961719241822254140424344104746[[#This Row],[CA fin N-1]]-IFERROR(VLOOKUP(H224,#REF!,49,FALSE),0)-IFERROR(VLOOKUP(H224,#REF!,50,FALSE),0)</f>
        <v>#REF!</v>
      </c>
      <c r="BW224" s="151">
        <f>BG224-IFERROR(VLOOKUP(H224,#REF!,51,FALSE),0)</f>
        <v>0</v>
      </c>
      <c r="BX224" s="152" t="e">
        <f t="shared" si="83"/>
        <v>#REF!</v>
      </c>
      <c r="BY224" s="138">
        <f>BD224-IFERROR(VLOOKUP(H224,#REF!,48,FALSE),0)</f>
        <v>0</v>
      </c>
      <c r="BZ224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4" s="39" t="e">
        <f>VLOOKUP(Tableau5617192223242425262827293031333432353620383961719241822254140424344104746[[#This Row],[Num Projets]],#REF!,1,FALSE)</f>
        <v>#REF!</v>
      </c>
      <c r="CB224" s="40">
        <v>0</v>
      </c>
      <c r="CC224" s="40">
        <v>33.333333333333336</v>
      </c>
      <c r="CD224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25" spans="1:82" x14ac:dyDescent="0.25">
      <c r="A225" s="323"/>
      <c r="B225" s="195"/>
      <c r="C225" s="229" t="e">
        <f>_xlfn.XLOOKUP(Tableau5617192223242425262827293031333432353620383961719241822254140424344104746[[#This Row],[Num Projets]],#REF!,#REF!,FALSE)</f>
        <v>#REF!</v>
      </c>
      <c r="D225" s="166" t="s">
        <v>6</v>
      </c>
      <c r="E225" s="166" t="e">
        <f>_xlfn.XLOOKUP(Tableau5617192223242425262827293031333432353620383961719241822254140424344104746[[#This Row],[Num Projets]],#REF!,#REF!,FALSE)</f>
        <v>#REF!</v>
      </c>
      <c r="F225" s="3" t="e">
        <f>_xlfn.XLOOKUP(Tableau5617192223242425262827293031333432353620383961719241822254140424344104746[[#This Row],[Num Projets]],#REF!,#REF!,"new mai",0)</f>
        <v>#REF!</v>
      </c>
      <c r="G225" s="166"/>
      <c r="H225" s="174" t="s">
        <v>387</v>
      </c>
      <c r="I225" s="167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5" s="4" t="e">
        <f>VLOOKUP(Tableau5617192223242425262827293031333432353620383961719241822254140424344104746[[#This Row],[Num Projets]],#REF!,36,FALSE)</f>
        <v>#REF!</v>
      </c>
      <c r="K225" s="5" t="s">
        <v>9</v>
      </c>
      <c r="L225" s="234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5" s="166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5" s="168" t="e">
        <f>VLOOKUP(H225,#REF!,7,FALSE)</f>
        <v>#REF!</v>
      </c>
      <c r="O225" s="168"/>
      <c r="P225" s="107" t="e">
        <f>VLOOKUP(H225,#REF!,2,FALSE)</f>
        <v>#REF!</v>
      </c>
      <c r="Q225" s="102" t="e">
        <f>Tableau5617192223242425262827293031333432353620383961719241822254140424344104746[[#This Row],[Total Budget
€]]-IFERROR(VLOOKUP(H225,#REF!,8,FALSE),0)</f>
        <v>#REF!</v>
      </c>
      <c r="R225" s="68">
        <f>AD225+AI225+Tableau5617192223242425262827293031333432353620383961719241822254140424344104746[[#This Row],[Int Commandé OT
€]]+AX225</f>
        <v>0</v>
      </c>
      <c r="S225" s="10">
        <f>AD225+AJ225+Tableau5617192223242425262827293031333432353620383961719241822254140424344104746[[#This Row],[Int Réalisé OT
€]]+AX225</f>
        <v>0</v>
      </c>
      <c r="T225" s="69" t="e">
        <f t="shared" si="70"/>
        <v>#REF!</v>
      </c>
      <c r="U225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5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5" s="42" t="e">
        <f>Tableau5617192223242425262827293031333432353620383961719241822254140424344104746[[#This Row],[Budget Heures Valorisées
€]]/105</f>
        <v>#REF!</v>
      </c>
      <c r="X225" s="13">
        <f>IFERROR(VLOOKUP(H225,#REF!,2,FALSE),0)</f>
        <v>0</v>
      </c>
      <c r="Y225" s="68">
        <f>IFERROR(VLOOKUP(H225,#REF!,3,FALSE),0)</f>
        <v>0</v>
      </c>
      <c r="Z225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26.666666666666668</v>
      </c>
      <c r="AA225" s="68">
        <f>IFERROR(VLOOKUP(H225,#REF!,18,FALSE),0)</f>
        <v>0</v>
      </c>
      <c r="AB225" s="68">
        <f>SUM(X225:Y225)-IFERROR(VLOOKUP(H225,#REF!,16,FALSE),0)-IFERROR(VLOOKUP(H225,#REF!,17,FALSE),0)</f>
        <v>0</v>
      </c>
      <c r="AC225" s="68" t="e">
        <f>VLOOKUP(Tableau5617192223242425262827293031333432353620383961719241822254140424344104746[[#This Row],[Num Projets]],#REF!,2,FALSE)</f>
        <v>#REF!</v>
      </c>
      <c r="AD225" s="103">
        <f>IFERROR(VLOOKUP(Tableau5617192223242425262827293031333432353620383961719241822254140424344104746[[#This Row],[Num Projets]],#REF!,2,FALSE),0)</f>
        <v>0</v>
      </c>
      <c r="AE225" s="46">
        <f t="shared" si="71"/>
        <v>1274.6666666666667</v>
      </c>
      <c r="AF225" s="69" t="e">
        <f t="shared" si="72"/>
        <v>#REF!</v>
      </c>
      <c r="AG225" s="107">
        <f>IFERROR(VLOOKUP(H225,#REF!,3,FALSE),0)+IFERROR(VLOOKUP(H225,#REF!,3,FALSE),0)</f>
        <v>0</v>
      </c>
      <c r="AH225" s="107">
        <f>IFERROR(VLOOKUP(Tableau5617192223242425262827293031333432353620383961719241822254140424344104746[[#This Row],[Num Projets]],#REF!,2,FALSE),0)</f>
        <v>0</v>
      </c>
      <c r="AI225" s="17">
        <f>+IFERROR(VLOOKUP(H225,#REF!,2,FALSE),0)-Tableau5617192223242425262827293031333432353620383961719241822254140424344104746[[#This Row],[Int Commandé OT
€]]</f>
        <v>0</v>
      </c>
      <c r="AJ225" s="107">
        <f>IFERROR(VLOOKUP(H225,#REF!,11,FALSE),0)-IFERROR(VLOOKUP(H225,#REF!,10,FALSE),0)+Tableau5617192223242425262827293031333432353620383961719241822254140424344104746[[#This Row],[dont FNP à date (€ HT)]]</f>
        <v>0</v>
      </c>
      <c r="AK225" s="15">
        <f t="shared" si="73"/>
        <v>0</v>
      </c>
      <c r="AL225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5" s="19">
        <f>IF(Tableau5617192223242425262827293031333432353620383961719241822254140424344104746[[#This Row],[RAF Achats M-1
€]]=0,0,AN225-AO225)</f>
        <v>0</v>
      </c>
      <c r="AN225" s="46">
        <f>IFERROR(VLOOKUP(H225,#REF!,31,FALSE),0)</f>
        <v>0</v>
      </c>
      <c r="AO225" s="46">
        <f>AI225+-IFERROR(VLOOKUP(H225,#REF!,27,FALSE),0)</f>
        <v>0</v>
      </c>
      <c r="AP225" s="17">
        <f>IFERROR(VLOOKUP(Tableau5617192223242425262827293031333432353620383961719241822254140424344104746[[#This Row],[Num Projets]],#REF!,2,FALSE),0)</f>
        <v>0</v>
      </c>
      <c r="AQ225" s="20">
        <f>_xlfn.XLOOKUP(H225,[2]Synth!$N:$N,[2]Synth!$O:$O,0,FALSE)+_xlfn.XLOOKUP(Tableau5617192223242425262827293031333432353620383961719241822254140424344104746[[#This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5" s="110">
        <v>0</v>
      </c>
      <c r="AS225" s="20">
        <f>+IFERROR(VLOOKUP(H225,#REF!,36,FALSE),0)</f>
        <v>0</v>
      </c>
      <c r="AT225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5" s="69">
        <f>IF(AG225=0,0,1-((AI225+AM225+Tableau5617192223242425262827293031333432353620383961719241822254140424344104746[[#This Row],[Int Commandé OT
€]]+Tableau5617192223242425262827293031333432353620383961719241822254140424344104746[[#This Row],[RAF Int OT
€]])/AG225))</f>
        <v>0</v>
      </c>
      <c r="AV225" s="107">
        <f>IFERROR(VLOOKUP(H225,#REF!,4,FALSE),0)+IFERROR(VLOOKUP(H225,#REF!,4,FALSE),0)</f>
        <v>0</v>
      </c>
      <c r="AW225" s="233">
        <f>IFERROR(VLOOKUP(Tableau5617192223242425262827293031333432353620383961719241822254140424344104746[[#This Row],[Num Projets]],#REF!,3,FALSE),0)</f>
        <v>0</v>
      </c>
      <c r="AX225" s="112">
        <f>IFERROR(VLOOKUP(Tableau5617192223242425262827293031333432353620383961719241822254140424344104746[[#This Row],[Num Projets]],#REF!,10,FALSE),0)</f>
        <v>0</v>
      </c>
      <c r="AY225" s="23">
        <f>Tableau5617192223242425262827293031333432353620383961719241822254140424344104746[[#This Row],[Budget Mission
 €]]/1.2-AX225</f>
        <v>0</v>
      </c>
      <c r="AZ225" s="46">
        <f>IFERROR(VLOOKUP(H225,#REF!,43,FALSE),0)</f>
        <v>0</v>
      </c>
      <c r="BA225" s="46">
        <f>AX225-IFERROR(VLOOKUP(H225,#REF!,42,FALSE),0)</f>
        <v>0</v>
      </c>
      <c r="BB225" s="87">
        <f t="shared" si="74"/>
        <v>0</v>
      </c>
      <c r="BC225" s="71">
        <f>IFERROR(VLOOKUP(H225,#REF!,47,FALSE),IFERROR(VLOOKUP(H225,#REF!,5,FALSE),0)+IFERROR(VLOOKUP(H225,#REF!,5,FALSE),0))</f>
        <v>0</v>
      </c>
      <c r="BD225" s="114">
        <f>IFERROR(VLOOKUP(H225,#REF!,2,FALSE),0)</f>
        <v>0</v>
      </c>
      <c r="BE225" s="114">
        <f>IFERROR(VLOOKUP(H225,#REF!,49,FALSE),0)</f>
        <v>0</v>
      </c>
      <c r="BF225" s="72" t="e">
        <f t="shared" si="75"/>
        <v>#REF!</v>
      </c>
      <c r="BG225" s="72">
        <f t="shared" si="76"/>
        <v>0</v>
      </c>
      <c r="BH225" s="115">
        <f>AE225+ (AI225-AJ225+AM225+Tableau5617192223242425262827293031333432353620383961719241822254140424344104746[[#This Row],[Int Commandé OT
€]]-Tableau5617192223242425262827293031333432353620383961719241822254140424344104746[[#This Row],[Int Réalisé OT
€]]+AR225) +AY225+BC225</f>
        <v>1274.6666666666667</v>
      </c>
      <c r="BI225" s="87">
        <f t="shared" si="77"/>
        <v>0</v>
      </c>
      <c r="BJ225" s="87" t="e">
        <f t="shared" si="78"/>
        <v>#REF!</v>
      </c>
      <c r="BK225" s="52" t="e">
        <f t="shared" si="79"/>
        <v>#REF!</v>
      </c>
      <c r="BL225" s="53" t="e">
        <f t="shared" si="80"/>
        <v>#REF!</v>
      </c>
      <c r="BM225" s="137">
        <f>IFERROR(VLOOKUP(H225,'[1]2023sep'!H:CA,54,FALSE),105)</f>
        <v>105</v>
      </c>
      <c r="BN225" s="75">
        <v>1</v>
      </c>
      <c r="BO225" s="118" t="e">
        <f>P225-AC225-AG225-AV225-Tableau5617192223242425262827293031333432353620383961719241822254140424344104746[[#This Row],[Provisions pour risques]]</f>
        <v>#REF!</v>
      </c>
      <c r="BP225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1274.6666666666667</v>
      </c>
      <c r="BQ225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5" s="120" t="e">
        <f t="shared" si="81"/>
        <v>#REF!</v>
      </c>
      <c r="BS225" s="79">
        <f>Tableau5617192223242425262827293031333432353620383961719241822254140424344104746[[#This Row],[Consommé global Enregistré à date (€ HT)]]-IFERROR(VLOOKUP(H225,#REF!,50,FALSE),0)</f>
        <v>0</v>
      </c>
      <c r="BT225" s="80" t="e">
        <f t="shared" si="82"/>
        <v>#REF!</v>
      </c>
      <c r="BU225" s="121">
        <f>BD225-IFERROR(VLOOKUP(H225,#REF!,47,FALSE),0)</f>
        <v>0</v>
      </c>
      <c r="BV225" s="122" t="e">
        <f>+BF225+Tableau5617192223242425262827293031333432353620383961719241822254140424344104746[[#This Row],[CA fin N-1]]-IFERROR(VLOOKUP(H225,#REF!,49,FALSE),0)-IFERROR(VLOOKUP(H225,#REF!,50,FALSE),0)</f>
        <v>#REF!</v>
      </c>
      <c r="BW225" s="151">
        <f>BG225-IFERROR(VLOOKUP(H225,#REF!,51,FALSE),0)</f>
        <v>0</v>
      </c>
      <c r="BX225" s="152" t="e">
        <f t="shared" si="83"/>
        <v>#REF!</v>
      </c>
      <c r="BY225" s="138">
        <f>BD225-IFERROR(VLOOKUP(H225,#REF!,48,FALSE),0)</f>
        <v>0</v>
      </c>
      <c r="BZ225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5" s="39" t="e">
        <f>VLOOKUP(Tableau5617192223242425262827293031333432353620383961719241822254140424344104746[[#This Row],[Num Projets]],#REF!,1,FALSE)</f>
        <v>#REF!</v>
      </c>
      <c r="CB225" s="40">
        <v>0</v>
      </c>
      <c r="CC225" s="40">
        <v>26.666666666666668</v>
      </c>
      <c r="CD225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26" spans="1:82" x14ac:dyDescent="0.25">
      <c r="A226" s="4"/>
      <c r="B226" s="324"/>
      <c r="C226" s="229" t="e">
        <f>_xlfn.XLOOKUP(Tableau5617192223242425262827293031333432353620383961719241822254140424344104746[[#This Row],[Num Projets]],#REF!,#REF!,FALSE)</f>
        <v>#REF!</v>
      </c>
      <c r="D226" s="192" t="s">
        <v>1</v>
      </c>
      <c r="E226" s="3" t="e">
        <f>_xlfn.XLOOKUP(Tableau5617192223242425262827293031333432353620383961719241822254140424344104746[[#This Row],[Num Projets]],#REF!,#REF!,FALSE)</f>
        <v>#REF!</v>
      </c>
      <c r="F226" s="3" t="e">
        <f>_xlfn.XLOOKUP(Tableau5617192223242425262827293031333432353620383961719241822254140424344104746[[#This Row],[Num Projets]],#REF!,#REF!,"new mai",0)</f>
        <v>#REF!</v>
      </c>
      <c r="G226" s="325"/>
      <c r="H226" s="15" t="s">
        <v>388</v>
      </c>
      <c r="I226" s="4" t="e">
        <f>IF(LEFT(VLOOKUP(Tableau5617192223242425262827293031333432353620383961719241822254140424344104746[[#This Row],[Num Projets]],#REF!,4,FALSE),1)="Z",VLOOKUP(Tableau5617192223242425262827293031333432353620383961719241822254140424344104746[[#This Row],[Num Projets]],#REF!,5,FALSE),VLOOKUP(Tableau5617192223242425262827293031333432353620383961719241822254140424344104746[[#This Row],[Num Projets]],#REF!,4,FALSE))</f>
        <v>#REF!</v>
      </c>
      <c r="J226" s="326" t="e">
        <f>VLOOKUP(Tableau5617192223242425262827293031333432353620383961719241822254140424344104746[[#This Row],[Num Projets]],#REF!,36,FALSE)</f>
        <v>#REF!</v>
      </c>
      <c r="K226" s="5" t="s">
        <v>21</v>
      </c>
      <c r="L226" s="6" t="e">
        <f>_xlfn.XLOOKUP(Tableau5617192223242425262827293031333432353620383961719241822254140424344104746[[#This Row],[Num Projets]],#REF!,#REF!,_xlfn.XLOOKUP(Tableau5617192223242425262827293031333432353620383961719241822254140424344104746[[#This Row],[Num Projets]],#REF!,#REF!,0,0),0)</f>
        <v>#REF!</v>
      </c>
      <c r="M226" s="166" t="e">
        <f>SUBSTITUTE(VLOOKUP(Tableau5617192223242425262827293031333432353620383961719241822254140424344104746[[#This Row],[Num Projets]],#REF!,8,FALSE)&amp;VLOOKUP(Tableau5617192223242425262827293031333432353620383961719241822254140424344104746[[#This Row],[Num Projets]],#REF!,7,FALSE)," ","")</f>
        <v>#REF!</v>
      </c>
      <c r="N226" s="168" t="e">
        <f>VLOOKUP(H226,#REF!,7,FALSE)</f>
        <v>#REF!</v>
      </c>
      <c r="O226" s="168"/>
      <c r="P226" s="107" t="e">
        <f>VLOOKUP(H226,#REF!,2,FALSE)</f>
        <v>#REF!</v>
      </c>
      <c r="Q226" s="102" t="e">
        <f>Tableau5617192223242425262827293031333432353620383961719241822254140424344104746[[#This Row],[Total Budget
€]]-IFERROR(VLOOKUP(H226,#REF!,8,FALSE),0)</f>
        <v>#REF!</v>
      </c>
      <c r="R226" s="68">
        <f>AD226+AI226+Tableau5617192223242425262827293031333432353620383961719241822254140424344104746[[#This Row],[Int Commandé OT
€]]+AX226</f>
        <v>0</v>
      </c>
      <c r="S226" s="10">
        <f>AD226+AJ226+Tableau5617192223242425262827293031333432353620383961719241822254140424344104746[[#This Row],[Int Réalisé OT
€]]+AX226</f>
        <v>0</v>
      </c>
      <c r="T226" s="69" t="e">
        <f>IF(P226=0,0,1-(((AD226+AI226+AX226+AP226)+(AE226+AM226+AY226+BC226+AR226))/P226))</f>
        <v>#REF!</v>
      </c>
      <c r="U226" s="11" t="e">
        <f>Tableau5617192223242425262827293031333432353620383961719241822254140424344104746[[#This Row],[Total Marge Projeté
%]]-IFERROR(VLOOKUP(Tableau5617192223242425262827293031333432353620383961719241822254140424344104746[[#This Row],[Num Projets]],#REF!,12,FALSE),0)</f>
        <v>#REF!</v>
      </c>
      <c r="V226" s="193" t="e">
        <f>IF(Tableau5617192223242425262827293031333432353620383961719241822254140424344104746[[#This Row],[Total Budget
€]]&lt;&gt;0,Tableau5617192223242425262827293031333432353620383961719241822254140424344104746[[#This Row],[Budget Heures Valorisées
€]]/Tableau5617192223242425262827293031333432353620383961719241822254140424344104746[[#This Row],[Total Budget
€]]*59%+(1-Tableau5617192223242425262827293031333432353620383961719241822254140424344104746[[#This Row],[Budget Heures Valorisées
€]]/Tableau5617192223242425262827293031333432353620383961719241822254140424344104746[[#This Row],[Total Budget
€]])*16.7%,0%)</f>
        <v>#REF!</v>
      </c>
      <c r="W226" s="12">
        <f>IFERROR(VLOOKUP(H226,#REF!,2,FALSE),0)</f>
        <v>0</v>
      </c>
      <c r="X226" s="13">
        <f>IFERROR(VLOOKUP(H226,#REF!,2,FALSE),0)</f>
        <v>0</v>
      </c>
      <c r="Y226" s="68">
        <f>IFERROR(VLOOKUP(H226,#REF!,3,FALSE),0)</f>
        <v>0</v>
      </c>
      <c r="Z226" s="14">
        <f>Tableau5617192223242425262827293031333432353620383961719241822254140424344104746[[#This Row],[hrs à fin s21]]+Tableau5617192223242425262827293031333432353620383961719241822254140424344104746[[#This Row],[RaF (h) MO à fin s21]]-Tableau5617192223242425262827293031333432353620383961719241822254140424344104746[[#This Row],[Réel Heures Internes
Hrs]]-Tableau5617192223242425262827293031333432353620383961719241822254140424344104746[[#This Row],[Réel Heures ST
Hrs]]</f>
        <v>40</v>
      </c>
      <c r="AA226" s="68">
        <f>IFERROR(VLOOKUP(H226,#REF!,18,FALSE),0)</f>
        <v>0</v>
      </c>
      <c r="AB226" s="68">
        <f>SUM(X226:Y226)-IFERROR(VLOOKUP(H226,#REF!,16,FALSE),0)-IFERROR(VLOOKUP(H226,#REF!,17,FALSE),0)</f>
        <v>0</v>
      </c>
      <c r="AC226" s="68" t="e">
        <f>VLOOKUP(Tableau5617192223242425262827293031333432353620383961719241822254140424344104746[[#This Row],[Num Projets]],#REF!,2,FALSE)</f>
        <v>#REF!</v>
      </c>
      <c r="AD226" s="103">
        <f>IFERROR(VLOOKUP(Tableau5617192223242425262827293031333432353620383961719241822254140424344104746[[#This Row],[Num Projets]],#REF!,2,FALSE),0)</f>
        <v>0</v>
      </c>
      <c r="AE226" s="46">
        <f>Z226*47.8</f>
        <v>1912</v>
      </c>
      <c r="AF226" s="69" t="e">
        <f>IF(AC226=0,0,1-((AD226+AE226)/AC226))</f>
        <v>#REF!</v>
      </c>
      <c r="AG226" s="107">
        <f>IFERROR(VLOOKUP(H226,#REF!,3,FALSE),0)+IFERROR(VLOOKUP(H226,#REF!,3,FALSE),0)</f>
        <v>0</v>
      </c>
      <c r="AH226" s="107">
        <f>IFERROR(VLOOKUP(Tableau5617192223242425262827293031333432353620383961719241822254140424344104746[[#This Row],[Num Projets]],#REF!,2,FALSE),0)</f>
        <v>0</v>
      </c>
      <c r="AI226" s="17">
        <f>+IFERROR(VLOOKUP(H226,#REF!,2,FALSE),0)-Tableau5617192223242425262827293031333432353620383961719241822254140424344104746[[#This Row],[Int Commandé OT
€]]</f>
        <v>0</v>
      </c>
      <c r="AJ226" s="107">
        <f>IFERROR(VLOOKUP(H226,#REF!,11,FALSE),0)-IFERROR(VLOOKUP(H226,#REF!,10,FALSE),0)+Tableau5617192223242425262827293031333432353620383961719241822254140424344104746[[#This Row],[dont FNP à date (€ HT)]]</f>
        <v>0</v>
      </c>
      <c r="AK226" s="15">
        <f>AI226-AJ226</f>
        <v>0</v>
      </c>
      <c r="AL226" s="108">
        <f>_xlfn.XLOOKUP(Tableau5617192223242425262827293031333432353620383961719241822254140424344104746[[#This Row],[Num Projets]],[2]Synth!$A:$A,[2]Synth!$B:$B,0,FALSE)+_xlfn.XLOOKUP(Tableau5617192223242425262827293031333432353620383961719241822254140424344104746[[#This Row],[Num Projets]],[2]Synth!$I:$I,[2]Synth!$J:$J,0,FALSE)</f>
        <v>0</v>
      </c>
      <c r="AM226" s="19">
        <f>IF(Tableau5617192223242425262827293031333432353620383961719241822254140424344104746[[#This Row],[RAF Achats M-1
€]]=0,0,AN226-AO226)</f>
        <v>0</v>
      </c>
      <c r="AN226" s="46">
        <f>IFERROR(VLOOKUP(H226,#REF!,31,FALSE),0)</f>
        <v>0</v>
      </c>
      <c r="AO226" s="46">
        <f>AI226+-IFERROR(VLOOKUP(H226,#REF!,27,FALSE),0)</f>
        <v>0</v>
      </c>
      <c r="AP226" s="17">
        <f>IFERROR(VLOOKUP(Tableau5617192223242425262827293031333432353620383961719241822254140424344104746[[#This Row],[Num Projets]],#REF!,2,FALSE),0)</f>
        <v>0</v>
      </c>
      <c r="AQ226" s="20">
        <f>_xlfn.XLOOKUP(H226,[2]Synth!$N:$N,[2]Synth!$O:$O,0,FALSE)+_xlfn.XLOOKUP(Tableau5617192223242425262827293031333432353620383961719241822254140424344104746[[#This Row],[Num Projets]],[2]Synth!$V:$V,[2]Synth!$W:$W,0,FALSE)+_xlfn.XLOOKUP(Tableau5617192223242425262827293031333432353620383961719241822254140424344104746[[#This Row],[Num Projets]],[2]Synth!$AB:$AB,[2]Synth!$AC:$AC,0,FALSE)</f>
        <v>0</v>
      </c>
      <c r="AR226" s="110">
        <v>0</v>
      </c>
      <c r="AS226" s="20">
        <f>+IFERROR(VLOOKUP(H226,#REF!,36,FALSE),0)</f>
        <v>0</v>
      </c>
      <c r="AT226" s="20">
        <f>Tableau5617192223242425262827293031333432353620383961719241822254140424344104746[[#This Row],[Int Commandé OT
€]]-IFERROR(VLOOKUP(Tableau5617192223242425262827293031333432353620383961719241822254140424344104746[[#This Row],[Num Projets]],#REF!,34,FALSE),0)</f>
        <v>0</v>
      </c>
      <c r="AU226" s="69">
        <f>IF(AG226=0,0,1-((AI226+AM226+Tableau5617192223242425262827293031333432353620383961719241822254140424344104746[[#This Row],[Int Commandé OT
€]]+Tableau5617192223242425262827293031333432353620383961719241822254140424344104746[[#This Row],[RAF Int OT
€]])/AG226))</f>
        <v>0</v>
      </c>
      <c r="AV226" s="107">
        <f>IFERROR(VLOOKUP(H226,#REF!,4,FALSE),0)+IFERROR(VLOOKUP(H226,#REF!,4,FALSE),0)</f>
        <v>0</v>
      </c>
      <c r="AW226" s="233">
        <f>IFERROR(VLOOKUP(Tableau5617192223242425262827293031333432353620383961719241822254140424344104746[[#This Row],[Num Projets]],#REF!,3,FALSE),0)</f>
        <v>0</v>
      </c>
      <c r="AX226" s="112">
        <f>IFERROR(VLOOKUP(Tableau5617192223242425262827293031333432353620383961719241822254140424344104746[[#This Row],[Num Projets]],#REF!,10,FALSE),0)</f>
        <v>0</v>
      </c>
      <c r="AY226" s="23">
        <f>Tableau5617192223242425262827293031333432353620383961719241822254140424344104746[[#This Row],[Budget Mission
 €]]/1.2-AX226</f>
        <v>0</v>
      </c>
      <c r="AZ226" s="46">
        <f>IFERROR(VLOOKUP(H226,#REF!,43,FALSE),0)</f>
        <v>0</v>
      </c>
      <c r="BA226" s="46">
        <f>AX226-IFERROR(VLOOKUP(H226,#REF!,42,FALSE),0)</f>
        <v>0</v>
      </c>
      <c r="BB226" s="87">
        <f>IF(AV226=0,0,(1-((AX226+AY226)/AV226)))</f>
        <v>0</v>
      </c>
      <c r="BC226" s="71">
        <f>IFERROR(VLOOKUP(H226,#REF!,47,FALSE),IFERROR(VLOOKUP(H226,#REF!,5,FALSE),0)+IFERROR(VLOOKUP(H226,#REF!,5,FALSE),0))</f>
        <v>0</v>
      </c>
      <c r="BD226" s="114">
        <f>IFERROR(VLOOKUP(H226,#REF!,2,FALSE),0)</f>
        <v>0</v>
      </c>
      <c r="BE226" s="114">
        <f>IFERROR(VLOOKUP(H226,#REF!,49,FALSE),0)</f>
        <v>0</v>
      </c>
      <c r="BF226" s="72" t="e">
        <f>BI226*P226-BE226</f>
        <v>#REF!</v>
      </c>
      <c r="BG226" s="72">
        <f>S226</f>
        <v>0</v>
      </c>
      <c r="BH226" s="115">
        <f>AE226+ (AI226-AJ226+AM226+Tableau5617192223242425262827293031333432353620383961719241822254140424344104746[[#This Row],[Int Commandé OT
€]]-Tableau5617192223242425262827293031333432353620383961719241822254140424344104746[[#This Row],[Int Réalisé OT
€]]+AR226) +AY226+BC226</f>
        <v>1912</v>
      </c>
      <c r="BI226" s="87">
        <f>IF(BG226+BH226=0,100%,BG226/(BG226+BH226))</f>
        <v>0</v>
      </c>
      <c r="BJ226" s="87" t="e">
        <f>IF(P226=0, 0, BD226/P226)</f>
        <v>#REF!</v>
      </c>
      <c r="BK226" s="52" t="e">
        <f>IF((BI226-BJ226)&gt;0,0,(BI226-BJ226)*P226)</f>
        <v>#REF!</v>
      </c>
      <c r="BL226" s="53" t="e">
        <f>IF((BI226-BJ226)&gt;0,(BI226-BJ226)*P226,0)</f>
        <v>#REF!</v>
      </c>
      <c r="BM226" s="137">
        <f>IFERROR(VLOOKUP(H226,'[1]2023sep'!H:CA,54,FALSE),105)</f>
        <v>105</v>
      </c>
      <c r="BN226" s="75">
        <v>1</v>
      </c>
      <c r="BO226" s="118" t="e">
        <f>P226-AC226-AG226-AV226-Tableau5617192223242425262827293031333432353620383961719241822254140424344104746[[#This Row],[Provisions pour risques]]</f>
        <v>#REF!</v>
      </c>
      <c r="BP226" s="119">
        <f>Tableau5617192223242425262827293031333432353620383961719241822254140424344104746[[#This Row],[RaF Global à terminaison à date (€ HT)]]+Tableau5617192223242425262827293031333432353620383961719241822254140424344104746[[#This Row],[Consommé global Enregistré à date (€ HT)]]-IFERROR(VLOOKUP(Tableau5617192223242425262827293031333432353620383961719241822254140424344104746[[#This Row],[Num Projets]],#REF!,51,FALSE),0)-IFERROR(VLOOKUP(Tableau5617192223242425262827293031333432353620383961719241822254140424344104746[[#This Row],[Num Projets]],#REF!,52,FALSE),0)</f>
        <v>1912</v>
      </c>
      <c r="BQ226" s="56">
        <f>Tableau5617192223242425262827293031333432353620383961719241822254140424344104746[[#This Row],[Avancement Global Financier basé sur Enregistré à date (%)]]-IFERROR(VLOOKUP(Tableau5617192223242425262827293031333432353620383961719241822254140424344104746[[#This Row],[Num Projets]],#REF!,53,FALSE),0)</f>
        <v>0</v>
      </c>
      <c r="BR226" s="120" t="e">
        <f>BF226</f>
        <v>#REF!</v>
      </c>
      <c r="BS226" s="79">
        <f>Tableau5617192223242425262827293031333432353620383961719241822254140424344104746[[#This Row],[Consommé global Enregistré à date (€ HT)]]-IFERROR(VLOOKUP(H226,#REF!,50,FALSE),0)</f>
        <v>0</v>
      </c>
      <c r="BT226" s="80" t="e">
        <f>BR226-BS226</f>
        <v>#REF!</v>
      </c>
      <c r="BU226" s="121">
        <f>BD226-IFERROR(VLOOKUP(H226,#REF!,47,FALSE),0)</f>
        <v>0</v>
      </c>
      <c r="BV226" s="122" t="e">
        <f>+BF226+Tableau5617192223242425262827293031333432353620383961719241822254140424344104746[[#This Row],[CA fin N-1]]-IFERROR(VLOOKUP(H226,#REF!,49,FALSE),0)-IFERROR(VLOOKUP(H226,#REF!,50,FALSE),0)</f>
        <v>#REF!</v>
      </c>
      <c r="BW226" s="151">
        <f>BG226-IFERROR(VLOOKUP(H226,#REF!,51,FALSE),0)</f>
        <v>0</v>
      </c>
      <c r="BX226" s="152" t="e">
        <f>BV226-BW226</f>
        <v>#REF!</v>
      </c>
      <c r="BY226" s="138">
        <f>BD226-IFERROR(VLOOKUP(H226,#REF!,48,FALSE),0)</f>
        <v>0</v>
      </c>
      <c r="BZ226" s="139" t="e">
        <f>Tableau5617192223242425262827293031333432353620383961719241822254140424344104746[[#This Row],[Objectif fin d''année]]*Tableau5617192223242425262827293031333432353620383961719241822254140424344104746[[#This Row],[Total Budget
€]]-Tableau5617192223242425262827293031333432353620383961719241822254140424344104746[[#This Row],[CA fin N-1]]-Tableau5617192223242425262827293031333432353620383961719241822254140424344104746[[#This Row],[CA N à date (€ HT) ]]</f>
        <v>#REF!</v>
      </c>
      <c r="CA226" s="39" t="e">
        <f>VLOOKUP(Tableau5617192223242425262827293031333432353620383961719241822254140424344104746[[#This Row],[Num Projets]],#REF!,1,FALSE)</f>
        <v>#REF!</v>
      </c>
      <c r="CB226" s="40">
        <v>0</v>
      </c>
      <c r="CC226" s="40">
        <v>40</v>
      </c>
      <c r="CD226" s="40">
        <f>Tableau5617192223242425262827293031333432353620383961719241822254140424344104746[[#This Row],[Réel Heures Internes
Hrs]]+Tableau5617192223242425262827293031333432353620383961719241822254140424344104746[[#This Row],[Réel Heures ST
Hrs]]-Tableau5617192223242425262827293031333432353620383961719241822254140424344104746[[#This Row],[hrs à fin s21]]</f>
        <v>0</v>
      </c>
    </row>
    <row r="230" spans="1:82" x14ac:dyDescent="0.2">
      <c r="BH230" s="235"/>
    </row>
    <row r="231" spans="1:82" x14ac:dyDescent="0.2">
      <c r="BF231" s="334"/>
    </row>
  </sheetData>
  <conditionalFormatting sqref="A4">
    <cfRule type="duplicateValues" dxfId="182" priority="9"/>
    <cfRule type="duplicateValues" dxfId="181" priority="10"/>
  </conditionalFormatting>
  <conditionalFormatting sqref="H227:H1048576 H207:H209 H194 H160:H192 H1:H151">
    <cfRule type="duplicateValues" dxfId="180" priority="16"/>
  </conditionalFormatting>
  <conditionalFormatting sqref="U2:U1048576">
    <cfRule type="cellIs" dxfId="179" priority="6" operator="lessThan">
      <formula>-0.01</formula>
    </cfRule>
  </conditionalFormatting>
  <conditionalFormatting sqref="AB2">
    <cfRule type="cellIs" dxfId="178" priority="11" operator="lessThan">
      <formula>0</formula>
    </cfRule>
  </conditionalFormatting>
  <conditionalFormatting sqref="BI100 BI170 BI171:BJ226">
    <cfRule type="cellIs" dxfId="177" priority="3" operator="greaterThan">
      <formula>1</formula>
    </cfRule>
  </conditionalFormatting>
  <conditionalFormatting sqref="BI116">
    <cfRule type="cellIs" dxfId="176" priority="2" operator="greaterThan">
      <formula>1</formula>
    </cfRule>
  </conditionalFormatting>
  <conditionalFormatting sqref="BI124">
    <cfRule type="cellIs" dxfId="175" priority="1" operator="greaterThan">
      <formula>1</formula>
    </cfRule>
  </conditionalFormatting>
  <conditionalFormatting sqref="BI5:BJ99">
    <cfRule type="cellIs" dxfId="174" priority="8" operator="greaterThan">
      <formula>1</formula>
    </cfRule>
  </conditionalFormatting>
  <conditionalFormatting sqref="BI101:BJ115 BJ116 BI117:BJ123 BJ124 BI125:BJ169">
    <cfRule type="cellIs" dxfId="173" priority="4" operator="greaterThan">
      <formula>1</formula>
    </cfRule>
  </conditionalFormatting>
  <conditionalFormatting sqref="BJ100">
    <cfRule type="cellIs" dxfId="172" priority="7" operator="greaterThan">
      <formula>1</formula>
    </cfRule>
  </conditionalFormatting>
  <conditionalFormatting sqref="BJ170">
    <cfRule type="cellIs" dxfId="171" priority="5" operator="greaterThan">
      <formula>1</formula>
    </cfRule>
  </conditionalFormatting>
  <conditionalFormatting sqref="BO4:BO226 BY227:BY1048576">
    <cfRule type="cellIs" dxfId="170" priority="12" operator="notBetween">
      <formula>-0.5</formula>
      <formula>0.5</formula>
    </cfRule>
  </conditionalFormatting>
  <conditionalFormatting sqref="BS4">
    <cfRule type="cellIs" dxfId="169" priority="15" operator="lessThan">
      <formula>0</formula>
    </cfRule>
  </conditionalFormatting>
  <conditionalFormatting sqref="BT4:BU4 BZ4">
    <cfRule type="cellIs" dxfId="168" priority="14" operator="lessThan">
      <formula>0</formula>
    </cfRule>
  </conditionalFormatting>
  <conditionalFormatting sqref="BY4">
    <cfRule type="cellIs" dxfId="167" priority="13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ZOUAOUI</dc:creator>
  <cp:lastModifiedBy>Mahdi ZOUAOUI</cp:lastModifiedBy>
  <dcterms:created xsi:type="dcterms:W3CDTF">2015-06-05T18:17:20Z</dcterms:created>
  <dcterms:modified xsi:type="dcterms:W3CDTF">2025-10-16T08:53:33Z</dcterms:modified>
</cp:coreProperties>
</file>