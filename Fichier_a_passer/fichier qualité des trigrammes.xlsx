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Q:\Z-02 - Documentations Qualité &amp; SGS\05 - DOCUMENTS ASSOCIES\SQ (QUALITE)\"/>
    </mc:Choice>
  </mc:AlternateContent>
  <xr:revisionPtr revIDLastSave="0" documentId="13_ncr:1_{6317B722-DF33-4510-9B7C-1C7D534C29BB}" xr6:coauthVersionLast="47" xr6:coauthVersionMax="47" xr10:uidLastSave="{00000000-0000-0000-0000-000000000000}"/>
  <bookViews>
    <workbookView xWindow="-108" yWindow="-108" windowWidth="23256" windowHeight="12456" xr2:uid="{06BB1771-A88D-4A61-93B9-C23E1FC4C25C}"/>
  </bookViews>
  <sheets>
    <sheet name="PDG" sheetId="3" r:id="rId1"/>
    <sheet name="Liste" sheetId="1" r:id="rId2"/>
  </sheets>
  <externalReferences>
    <externalReference r:id="rId3"/>
  </externalReferences>
  <definedNames>
    <definedName name="_xlnm._FilterDatabase" localSheetId="1" hidden="1">Liste!$A$9:$G$209</definedName>
    <definedName name="_xlnm.Print_Titles" localSheetId="1">Liste!$9:$9</definedName>
    <definedName name="Liste_Employés_Full">[1]LISTE_EMPLOYES!$A$3:$E$65</definedName>
    <definedName name="Liste_Employés_Name">[1]LISTE_EMPLOYES!$D$3:$D$65</definedName>
    <definedName name="Print_Area" localSheetId="0">PDG!$A$1:$J$11</definedName>
    <definedName name="Print_Titles" localSheetId="0">PDG!$1:$9</definedName>
    <definedName name="_xlnm.Print_Area" localSheetId="1">Liste!$A$1:$G$191</definedName>
    <definedName name="_xlnm.Print_Area" localSheetId="0">PDG!$A$1:$J$29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" i="1" l="1"/>
  <c r="B199" i="1"/>
  <c r="B184" i="1"/>
  <c r="B165" i="1"/>
  <c r="B161" i="1"/>
  <c r="B145" i="1"/>
  <c r="B140" i="1"/>
  <c r="B128" i="1"/>
  <c r="B124" i="1"/>
  <c r="B114" i="1"/>
  <c r="B111" i="1"/>
  <c r="B88" i="1"/>
  <c r="B72" i="1"/>
  <c r="B57" i="1"/>
  <c r="B55" i="1"/>
  <c r="B40" i="1"/>
  <c r="B25" i="1"/>
  <c r="B14" i="1"/>
  <c r="A8" i="1"/>
  <c r="A8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Sylvain CELARIES</author>
    <author>tc={5553CB21-342F-41D3-B90D-FAC3C23414CB}</author>
    <author>tc={FD641D89-9486-4C26-9A59-3F15099E3FFC}</author>
  </authors>
  <commentList>
    <comment ref="E9" authorId="0" shapeId="0" xr:uid="{58B801F0-4195-4B31-9522-6761DEE8AA2B}">
      <text>
        <r>
          <rPr>
            <sz val="9"/>
            <color indexed="81"/>
            <rFont val="Tahoma"/>
            <family val="2"/>
          </rPr>
          <t>La date d'attribution au 21/05/24 est la date de création de la liste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1" shapeId="0" xr:uid="{5553CB21-342F-41D3-B90D-FAC3C23414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Stage du 17/02 AU 15/08/2025</t>
      </text>
    </comment>
    <comment ref="F129" authorId="2" shapeId="0" xr:uid="{FD641D89-9486-4C26-9A59-3F15099E3FF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Sorti le 07/03/2025 - retour 09/04/2025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<sst xmlns="http://schemas.openxmlformats.org/spreadsheetml/2006/main" count="849" uniqueCount="439">
  <si>
    <t>Nom  - prénom</t>
  </si>
  <si>
    <t>Trig.</t>
  </si>
  <si>
    <t>GALTIE Franck</t>
  </si>
  <si>
    <t>GLE</t>
  </si>
  <si>
    <t>DUQUESNE Guillaume</t>
  </si>
  <si>
    <t>DQE</t>
  </si>
  <si>
    <t>MTE</t>
  </si>
  <si>
    <t>SERVEAUX David</t>
  </si>
  <si>
    <t>SVX</t>
  </si>
  <si>
    <t>SSP</t>
  </si>
  <si>
    <t>RUEDA Vincent</t>
  </si>
  <si>
    <t>QUINIOU Sébastien</t>
  </si>
  <si>
    <t>QNU</t>
  </si>
  <si>
    <t>BEAUSSART Etienne</t>
  </si>
  <si>
    <t>BST</t>
  </si>
  <si>
    <t>FOLIO Alan</t>
  </si>
  <si>
    <t>FLO</t>
  </si>
  <si>
    <t>LINDEBOOM Alexandre</t>
  </si>
  <si>
    <t>LDB</t>
  </si>
  <si>
    <t>GEIL Nelly</t>
  </si>
  <si>
    <t>GEL</t>
  </si>
  <si>
    <t>MORVAN Hervé</t>
  </si>
  <si>
    <t>MVN</t>
  </si>
  <si>
    <t>LAMBERT Corentin</t>
  </si>
  <si>
    <t>CLT</t>
  </si>
  <si>
    <t>BSA</t>
  </si>
  <si>
    <t>BERDON Alexis</t>
  </si>
  <si>
    <t>ABE</t>
  </si>
  <si>
    <t>HERVY Cyril</t>
  </si>
  <si>
    <t>CHE</t>
  </si>
  <si>
    <t>CEZERAC Cédric</t>
  </si>
  <si>
    <t>CCE</t>
  </si>
  <si>
    <t>DAVALAN Alexandre</t>
  </si>
  <si>
    <t>ADA</t>
  </si>
  <si>
    <t>RRE</t>
  </si>
  <si>
    <t>MORENO CORRALES Juan David</t>
  </si>
  <si>
    <t>JMO</t>
  </si>
  <si>
    <t>Date d'attribution</t>
  </si>
  <si>
    <t>Date de retrait</t>
  </si>
  <si>
    <t>Personnel int/ext</t>
  </si>
  <si>
    <t>Site</t>
  </si>
  <si>
    <t>AEB</t>
  </si>
  <si>
    <t>AEG</t>
  </si>
  <si>
    <t>AEY</t>
  </si>
  <si>
    <t>DA-SQ-0027 LISTE DES TRIGRAMMES ET MARQUES DE CONTRÔLE</t>
  </si>
  <si>
    <t>Règle d'attribution avant le 01/06/2024</t>
  </si>
  <si>
    <t>Règle d'attribution après le 01/06/2024</t>
  </si>
  <si>
    <t>ADJEROUD Bastian</t>
  </si>
  <si>
    <t>BAD</t>
  </si>
  <si>
    <t>ALIAS Séverine née HERAL</t>
  </si>
  <si>
    <t>ALS</t>
  </si>
  <si>
    <t>ANDREU Gilles</t>
  </si>
  <si>
    <t>GAN</t>
  </si>
  <si>
    <t>BELINGA Yannick</t>
  </si>
  <si>
    <t>YBE</t>
  </si>
  <si>
    <t>BELMONTE Sandra</t>
  </si>
  <si>
    <t>BEN JOMAA Mohamed Ali</t>
  </si>
  <si>
    <t>MBJ</t>
  </si>
  <si>
    <t>Externe</t>
  </si>
  <si>
    <t>BERGON Ludovic</t>
  </si>
  <si>
    <t>LBE</t>
  </si>
  <si>
    <t>AEC</t>
  </si>
  <si>
    <t>BERGUER Sébastien</t>
  </si>
  <si>
    <t>BIRENBAUM Thierry</t>
  </si>
  <si>
    <t>TBI</t>
  </si>
  <si>
    <t>BOSNJAKOVIC Marija</t>
  </si>
  <si>
    <t>MBO</t>
  </si>
  <si>
    <t>BOUCHICOT François</t>
  </si>
  <si>
    <t>FBO</t>
  </si>
  <si>
    <t>BRUANT Grégory</t>
  </si>
  <si>
    <t>GBR</t>
  </si>
  <si>
    <t>BUISSON Emilie née GRIENCHE</t>
  </si>
  <si>
    <t>EBU</t>
  </si>
  <si>
    <t>CADEI Pierre</t>
  </si>
  <si>
    <t>PCA</t>
  </si>
  <si>
    <t>CELARIES Sylvain</t>
  </si>
  <si>
    <t>SCE</t>
  </si>
  <si>
    <t>CELMA Christophe</t>
  </si>
  <si>
    <t>CLA</t>
  </si>
  <si>
    <t>CIANI Marie Noelle</t>
  </si>
  <si>
    <t>CUFFY Quinola</t>
  </si>
  <si>
    <t>QCU</t>
  </si>
  <si>
    <t>DA COSTA Pierre</t>
  </si>
  <si>
    <t>PDA</t>
  </si>
  <si>
    <t>DANEL VAMILLER Malika</t>
  </si>
  <si>
    <t>MDA</t>
  </si>
  <si>
    <t>DECOCK Martin</t>
  </si>
  <si>
    <t>DEJEAN Laura</t>
  </si>
  <si>
    <t>LDE</t>
  </si>
  <si>
    <t>DELAYE Ludovic</t>
  </si>
  <si>
    <t>LUD</t>
  </si>
  <si>
    <t>DEMAY Mathilde</t>
  </si>
  <si>
    <t>MDE</t>
  </si>
  <si>
    <t>DEMEYERE Fabien</t>
  </si>
  <si>
    <t>FDE</t>
  </si>
  <si>
    <t>DONNADIEU Nicolas</t>
  </si>
  <si>
    <t>NDO</t>
  </si>
  <si>
    <t>DOPPEL Patrice</t>
  </si>
  <si>
    <t>PDO</t>
  </si>
  <si>
    <t>FAJON Jérémy</t>
  </si>
  <si>
    <t>JFA</t>
  </si>
  <si>
    <t>FAUCHEUX Guillaume</t>
  </si>
  <si>
    <t>FCX</t>
  </si>
  <si>
    <t>FRANCO ESPEJEL Rodrigo Augusto</t>
  </si>
  <si>
    <t>GAILLARD Vincent</t>
  </si>
  <si>
    <t>VGA</t>
  </si>
  <si>
    <t>GILABERT Jean François</t>
  </si>
  <si>
    <t>GONCALVES Emmanuel</t>
  </si>
  <si>
    <t>EGO</t>
  </si>
  <si>
    <t>GUILLERAULT Mélanie</t>
  </si>
  <si>
    <t>MGU</t>
  </si>
  <si>
    <t>HAINAULT William</t>
  </si>
  <si>
    <t>WHA</t>
  </si>
  <si>
    <t>HIPOLITO Frédéric</t>
  </si>
  <si>
    <t>FHI</t>
  </si>
  <si>
    <t>IMBERT Guillaume</t>
  </si>
  <si>
    <t>GIM</t>
  </si>
  <si>
    <t>JAPAUD Laurent</t>
  </si>
  <si>
    <t>LJA</t>
  </si>
  <si>
    <t>JOSUE Gilles</t>
  </si>
  <si>
    <t>GJO</t>
  </si>
  <si>
    <t>LABEYRIE Laurent</t>
  </si>
  <si>
    <t>LLA</t>
  </si>
  <si>
    <t>LACOUR Isabelle née VILLETTE</t>
  </si>
  <si>
    <t>IVI</t>
  </si>
  <si>
    <t>LINDEBOOM Corinne</t>
  </si>
  <si>
    <t>BDL</t>
  </si>
  <si>
    <t>LONGCHAMPS Elza née JEAN-MARIE-MARIE-LUCE</t>
  </si>
  <si>
    <t>ELO</t>
  </si>
  <si>
    <t>MAHABOUBATCHA Mohammed Ismail</t>
  </si>
  <si>
    <t>IMA</t>
  </si>
  <si>
    <t>MARQUES MENDES Sylvain</t>
  </si>
  <si>
    <t>SMM</t>
  </si>
  <si>
    <t>MASENENELLI Jean-Marc</t>
  </si>
  <si>
    <t>JMA</t>
  </si>
  <si>
    <t>MATHIEU Jean Christophe</t>
  </si>
  <si>
    <t>MENIN Sophie</t>
  </si>
  <si>
    <t>SME</t>
  </si>
  <si>
    <t>MILLET Laurent</t>
  </si>
  <si>
    <t>LMI</t>
  </si>
  <si>
    <t>MORAIS Aurélie</t>
  </si>
  <si>
    <t>AMO</t>
  </si>
  <si>
    <t>NADON Pierre</t>
  </si>
  <si>
    <t>PNA</t>
  </si>
  <si>
    <t>NANTHASOM Sophie</t>
  </si>
  <si>
    <t>NTM</t>
  </si>
  <si>
    <t>NAVARIDAS Marie-Jeanne</t>
  </si>
  <si>
    <t>ODIEUX Angélique</t>
  </si>
  <si>
    <t>AOD</t>
  </si>
  <si>
    <t>PATUREL Marc</t>
  </si>
  <si>
    <t>MPA</t>
  </si>
  <si>
    <t>PLATET Aurore</t>
  </si>
  <si>
    <t>PAT</t>
  </si>
  <si>
    <t>REVOL Rémi</t>
  </si>
  <si>
    <t>REY Sébastien</t>
  </si>
  <si>
    <t>SRE</t>
  </si>
  <si>
    <t>ROUSSELIN Pierre-Yves</t>
  </si>
  <si>
    <t>PRO</t>
  </si>
  <si>
    <t>ROUX Thierry</t>
  </si>
  <si>
    <t>TRO</t>
  </si>
  <si>
    <t>SABENCH Benoit</t>
  </si>
  <si>
    <t>SANS PICHE Sébastien</t>
  </si>
  <si>
    <t>SCOARNEC Romane née MAUDET</t>
  </si>
  <si>
    <t>RSC</t>
  </si>
  <si>
    <t>SERGENT Christophe</t>
  </si>
  <si>
    <t>CSE</t>
  </si>
  <si>
    <t>SEVRIT Valentin</t>
  </si>
  <si>
    <t>VSE</t>
  </si>
  <si>
    <t>STEFANELLI Frédéric</t>
  </si>
  <si>
    <t>FST</t>
  </si>
  <si>
    <t>MSU</t>
  </si>
  <si>
    <t>TOURNIER Marine</t>
  </si>
  <si>
    <t>MTO</t>
  </si>
  <si>
    <t>TURBELIN Patrick</t>
  </si>
  <si>
    <t>WOLF Vincent</t>
  </si>
  <si>
    <t>VWO</t>
  </si>
  <si>
    <t>ZIOUCHE Ahmed</t>
  </si>
  <si>
    <t>ZCH</t>
  </si>
  <si>
    <t>Interne</t>
  </si>
  <si>
    <t>/</t>
  </si>
  <si>
    <t>SBE</t>
  </si>
  <si>
    <t>MDK</t>
  </si>
  <si>
    <t xml:space="preserve">Date de mise à jour : </t>
  </si>
  <si>
    <t>Première lettre prénom + 2 Premières lettre nom</t>
  </si>
  <si>
    <t xml:space="preserve">Première lettre nom + lettre au milieu nom + dernière lettre nom </t>
  </si>
  <si>
    <t>BTE</t>
  </si>
  <si>
    <t>GLT</t>
  </si>
  <si>
    <t>VOSSAERS Martin</t>
  </si>
  <si>
    <t>VSS</t>
  </si>
  <si>
    <t>MOUAOUYA Kamal</t>
  </si>
  <si>
    <t>MYA</t>
  </si>
  <si>
    <t>RENE Fabrice</t>
  </si>
  <si>
    <t>RNE</t>
  </si>
  <si>
    <t>LAURENT Ewan</t>
  </si>
  <si>
    <t>MARTIN Titouan</t>
  </si>
  <si>
    <t>LRT</t>
  </si>
  <si>
    <t>MRN</t>
  </si>
  <si>
    <t>RAGEOT Yann</t>
  </si>
  <si>
    <t>RGT</t>
  </si>
  <si>
    <t>ZANELLA Cyril</t>
  </si>
  <si>
    <t>REA</t>
  </si>
  <si>
    <t>GPI</t>
  </si>
  <si>
    <t>COUTURIER Yves</t>
  </si>
  <si>
    <t>CTR</t>
  </si>
  <si>
    <t>LMR</t>
  </si>
  <si>
    <t>LEMONNIER CEDRIC</t>
  </si>
  <si>
    <t>PAULHIAC Dave</t>
  </si>
  <si>
    <t>PHC</t>
  </si>
  <si>
    <t>DUCLOS Sylvain</t>
  </si>
  <si>
    <t>NGUYEN Huy Duc</t>
  </si>
  <si>
    <t>MONDON Christian</t>
  </si>
  <si>
    <t>GIMBEREDE Lucas</t>
  </si>
  <si>
    <t>STAMMINGER Céline</t>
  </si>
  <si>
    <t>SMR</t>
  </si>
  <si>
    <t>NUN</t>
  </si>
  <si>
    <t>MDN</t>
  </si>
  <si>
    <t>DCS</t>
  </si>
  <si>
    <t>CHAUVEL Gaetan</t>
  </si>
  <si>
    <t>DEMONT Sébastien</t>
  </si>
  <si>
    <t>FEUGAROL Yannick</t>
  </si>
  <si>
    <t>FOULON Renaud</t>
  </si>
  <si>
    <t>GARGAM Stéphanie</t>
  </si>
  <si>
    <t>GRANDSAIGNE Florence</t>
  </si>
  <si>
    <t>JOURDAN Thomas</t>
  </si>
  <si>
    <t>KESZNER Mallaury</t>
  </si>
  <si>
    <t>LESUEUR Matt</t>
  </si>
  <si>
    <t>MALANDAIN Christophe</t>
  </si>
  <si>
    <t>OPARIN André</t>
  </si>
  <si>
    <t>PAON Louis</t>
  </si>
  <si>
    <t>YAD</t>
  </si>
  <si>
    <t>BLY</t>
  </si>
  <si>
    <t>MCV</t>
  </si>
  <si>
    <t>EDU</t>
  </si>
  <si>
    <t>PGO</t>
  </si>
  <si>
    <t>PLA</t>
  </si>
  <si>
    <t>CADILLAC-VIGUIER Maëlle</t>
  </si>
  <si>
    <t>DUCROS Elisabeth</t>
  </si>
  <si>
    <t>GOMBAULT Philippe</t>
  </si>
  <si>
    <t>LAKHDAR Philippe</t>
  </si>
  <si>
    <t>LSR</t>
  </si>
  <si>
    <t>SGA</t>
  </si>
  <si>
    <t>CMA</t>
  </si>
  <si>
    <t>JRE</t>
  </si>
  <si>
    <t xml:space="preserve">ALBERTON YANNICK </t>
  </si>
  <si>
    <t>ABA</t>
  </si>
  <si>
    <t>BELON FABRICE</t>
  </si>
  <si>
    <t>BUGEIA DAVID</t>
  </si>
  <si>
    <t>CLOCHET JOHAN</t>
  </si>
  <si>
    <t>COMBES CEDRIC (Expleo)</t>
  </si>
  <si>
    <t>COLLIER JULIEN</t>
  </si>
  <si>
    <t>JCO</t>
  </si>
  <si>
    <t xml:space="preserve">COLTRO GILLES </t>
  </si>
  <si>
    <t>DCU</t>
  </si>
  <si>
    <t>DEVAUX XAVIER</t>
  </si>
  <si>
    <t>DURAN NICOLAS</t>
  </si>
  <si>
    <t>NDU</t>
  </si>
  <si>
    <t>DURAND SANDRINE</t>
  </si>
  <si>
    <t>SDU</t>
  </si>
  <si>
    <t>FADELLI CHRISTOPHE</t>
  </si>
  <si>
    <t>CFA</t>
  </si>
  <si>
    <t>EFE</t>
  </si>
  <si>
    <t>FORESTIER JEAN-CHRISTOPHE</t>
  </si>
  <si>
    <t>GATTIBOINA SRINIVAS</t>
  </si>
  <si>
    <t>GINO  MAGALI</t>
  </si>
  <si>
    <t>MGI</t>
  </si>
  <si>
    <t xml:space="preserve">HILSELBERGER SANDRA </t>
  </si>
  <si>
    <t>ISURE AURÉLIE</t>
  </si>
  <si>
    <t>MJA</t>
  </si>
  <si>
    <t>TJO</t>
  </si>
  <si>
    <t>LAINÉ MOULIN AMANDINE</t>
  </si>
  <si>
    <t>LE GOFF FLORIAN</t>
  </si>
  <si>
    <t>LERNOULD JULIEN</t>
  </si>
  <si>
    <t>JLE</t>
  </si>
  <si>
    <t>LIGNIER  STÉPHANE (ObO IAERO)</t>
  </si>
  <si>
    <t>SLI</t>
  </si>
  <si>
    <t>MARMIER SYLVESTRE</t>
  </si>
  <si>
    <t>MENARD AUBIN</t>
  </si>
  <si>
    <t>MINON PHILIPPE</t>
  </si>
  <si>
    <t>PMI</t>
  </si>
  <si>
    <t>DMI</t>
  </si>
  <si>
    <t xml:space="preserve">ONGLEY STEPHEN </t>
  </si>
  <si>
    <t>PANNETIER MIKAEL</t>
  </si>
  <si>
    <t>MIP</t>
  </si>
  <si>
    <t>PAQUIEN THOMAS</t>
  </si>
  <si>
    <t>SALGUES Lydie (DO IT)</t>
  </si>
  <si>
    <t>LSA</t>
  </si>
  <si>
    <t>SAINTE MARIE PRICOT CAROLINE</t>
  </si>
  <si>
    <t>SURUGUE MICKAEL</t>
  </si>
  <si>
    <t>AVA</t>
  </si>
  <si>
    <t>VERONESE DAVID</t>
  </si>
  <si>
    <t>ZAFRA CÉDRIC</t>
  </si>
  <si>
    <t>ZERROUKI HAYAT</t>
  </si>
  <si>
    <t>HZE</t>
  </si>
  <si>
    <t>NA</t>
  </si>
  <si>
    <t>PAN</t>
  </si>
  <si>
    <t>BAILLY Célian</t>
  </si>
  <si>
    <t>A quitté la société</t>
  </si>
  <si>
    <t>CUMMINGS DAVID J.
(Obo AVENGER AEROSPCACE SOLUTIONS)</t>
  </si>
  <si>
    <t>BALEMBOIS AXEL 
(ObO Portalliance)</t>
  </si>
  <si>
    <t>MISENCIK DAVID 
(ObO AVENGER AEROSPACE SOLUTIONS)</t>
  </si>
  <si>
    <t>DIV</t>
  </si>
  <si>
    <t>VALAT AXEL 
(ObO XENON)</t>
  </si>
  <si>
    <t>JAMET MICKAEL
(ObO BERTRAND)</t>
  </si>
  <si>
    <t>FECIL ERWAN 
(ObO PORT ALLIANCE)</t>
  </si>
  <si>
    <t>GROS PALMIERI Julia</t>
  </si>
  <si>
    <t>AEX</t>
  </si>
  <si>
    <t>SUIVI DES EVOLUTIONS</t>
  </si>
  <si>
    <t>Edition</t>
  </si>
  <si>
    <t>Date</t>
  </si>
  <si>
    <t>Motif</t>
  </si>
  <si>
    <t xml:space="preserve">Rédacteur </t>
  </si>
  <si>
    <t>Création</t>
  </si>
  <si>
    <t>Y. RAGEOT</t>
  </si>
  <si>
    <t>S. BELMONTE</t>
  </si>
  <si>
    <t>Ajout nouveaux arrivants</t>
  </si>
  <si>
    <t>Ajout couturier</t>
  </si>
  <si>
    <t>CARENANT Jean Maurice</t>
  </si>
  <si>
    <t>CRT</t>
  </si>
  <si>
    <t>Div</t>
  </si>
  <si>
    <t>FABRE François Xavier</t>
  </si>
  <si>
    <t>FXF</t>
  </si>
  <si>
    <t>APG</t>
  </si>
  <si>
    <t>RIVAUX Nicolas</t>
  </si>
  <si>
    <t>NRI</t>
  </si>
  <si>
    <t>VERRIER Philippe</t>
  </si>
  <si>
    <t>PVE</t>
  </si>
  <si>
    <t>div</t>
  </si>
  <si>
    <t>RFR</t>
  </si>
  <si>
    <t>DSA</t>
  </si>
  <si>
    <t>AOP</t>
  </si>
  <si>
    <t>BOULHABEL Feriel</t>
  </si>
  <si>
    <t>BHL</t>
  </si>
  <si>
    <r>
      <t xml:space="preserve">Mise à jour des dates d'entrée 
Ajout des habilitations (PEN,APRS,APMS,@digit)
Ajout des trigramme de la liste DOA - </t>
    </r>
    <r>
      <rPr>
        <i/>
        <sz val="8"/>
        <rFont val="Calibri"/>
        <family val="2"/>
      </rPr>
      <t>SQ-0189_TRIGRAMS AND DIGITAL CERTIFICATES LIST</t>
    </r>
  </si>
  <si>
    <t>Départ de Yann RAGEOT</t>
  </si>
  <si>
    <t>F.BOULHABEL</t>
  </si>
  <si>
    <t>VAUCHERE Frederick</t>
  </si>
  <si>
    <t>VAE</t>
  </si>
  <si>
    <t>BURGAUD Lionel</t>
  </si>
  <si>
    <t>CARCEL Arnaud</t>
  </si>
  <si>
    <t>LEVESQUE Camille</t>
  </si>
  <si>
    <t>LVE</t>
  </si>
  <si>
    <t>Ajout de nouveaux arrivants - 4 personnes - Frédérick VAUCHERE/Lionel BURGAUD/Arnaud CARCEL/Camille LEVESQUE</t>
  </si>
  <si>
    <t>Ajout de nouvel arrivant - 1 personne - Loris CABANIS</t>
  </si>
  <si>
    <t>Ajout nouvelle arrivante - 1 personne - Feriel BOULHABEL</t>
  </si>
  <si>
    <t>CABANEL Loris</t>
  </si>
  <si>
    <t>CBL</t>
  </si>
  <si>
    <t>Ajout de Julien KWASNIK / Sylvain HENNETON- externes - APG AIRLINES</t>
  </si>
  <si>
    <t>KWASNIK Julien</t>
  </si>
  <si>
    <t>HENNETON Sylvain</t>
  </si>
  <si>
    <t>JKW</t>
  </si>
  <si>
    <t>SHE</t>
  </si>
  <si>
    <t>Départ de Camille LEVESQUE- sortie le 27/01/2025-Création trig magasin Blagnac: MAG</t>
  </si>
  <si>
    <t>MAGASIN BLAGNAC</t>
  </si>
  <si>
    <t>MAG</t>
  </si>
  <si>
    <t>CASTEL Christophe</t>
  </si>
  <si>
    <t>MKE</t>
  </si>
  <si>
    <t>Rattrapage nouveaux arrivants fin 2024 - Christophe CASTE / Martinelle BLANDEYE (alernante)/ Noah BEZOMBES (stagiaire) - Rattrapage sortie J.F GILABERT</t>
  </si>
  <si>
    <t>BEZOMBES Noah</t>
  </si>
  <si>
    <t>BMS</t>
  </si>
  <si>
    <t>SALLES GIMENEZ Déborah</t>
  </si>
  <si>
    <t>SDE</t>
  </si>
  <si>
    <t>FYA</t>
  </si>
  <si>
    <t>CCL</t>
  </si>
  <si>
    <t>GCH</t>
  </si>
  <si>
    <t xml:space="preserve">RFO </t>
  </si>
  <si>
    <t>GEE</t>
  </si>
  <si>
    <t>CCA</t>
  </si>
  <si>
    <t>BLANDEYE Martinelle</t>
  </si>
  <si>
    <t>GAMBA Janini</t>
  </si>
  <si>
    <t>PEN</t>
  </si>
  <si>
    <t>MCI</t>
  </si>
  <si>
    <t>TBN</t>
  </si>
  <si>
    <t xml:space="preserve">Ajout nouvelles arrivantes Janini GAMBA / MOTACH Mona/ Lilia AGREBI - Externe-Maj trigramme MCI / </t>
  </si>
  <si>
    <t>AGREBI Lilia</t>
  </si>
  <si>
    <t>ARI</t>
  </si>
  <si>
    <t>MOTACH Mona</t>
  </si>
  <si>
    <t>MNA</t>
  </si>
  <si>
    <t>BOUYEGHSSANE Aymane</t>
  </si>
  <si>
    <t>ZOVEDA Jordan</t>
  </si>
  <si>
    <t>ABAT Nicolas</t>
  </si>
  <si>
    <t>BGE</t>
  </si>
  <si>
    <t>ZEA</t>
  </si>
  <si>
    <t>ABT</t>
  </si>
  <si>
    <t>BDE</t>
  </si>
  <si>
    <t>RENDY Johan</t>
  </si>
  <si>
    <t>PERIGORD Patrice</t>
  </si>
  <si>
    <t>GRESSET Olivier</t>
  </si>
  <si>
    <t>GST</t>
  </si>
  <si>
    <t>Départ de Jean Maurice CARENANT - sortie le 31/12/2024 /Ajout de David SERVEAUX externe</t>
  </si>
  <si>
    <t>CZA</t>
  </si>
  <si>
    <t>ALLARD Yann</t>
  </si>
  <si>
    <t>TBC 2 tri sur AD REY total</t>
  </si>
  <si>
    <t>SYI</t>
  </si>
  <si>
    <t>YIN Sok</t>
  </si>
  <si>
    <t>Départ de Renaud FOULON / Pierre CADEI-Ajouts nouveaux arrivants: Aymane BOUYEGHSSANE/ Jordan ZOVEDA / Nicolas ABAT (stage 6 mois)/ GRESSET Olivier- Rattrapage YIN Sok externe</t>
  </si>
  <si>
    <t>Ajout nouvel arrivant Gael FRAZIER</t>
  </si>
  <si>
    <t>FRAZIER Gael</t>
  </si>
  <si>
    <t>FZR</t>
  </si>
  <si>
    <t>INTERNE</t>
  </si>
  <si>
    <t>Ajout nouveaux arrivants Frédéric FAURE/ Yannis SADOUDI/Sylvie KANZHA/Jordan ZOVEDA</t>
  </si>
  <si>
    <t>FAURE Frédéric</t>
  </si>
  <si>
    <t>SADOUDI Yannis</t>
  </si>
  <si>
    <t>KANZHA Sylvie</t>
  </si>
  <si>
    <t>FUE</t>
  </si>
  <si>
    <t>SDI</t>
  </si>
  <si>
    <t>KZA</t>
  </si>
  <si>
    <t>Départ de STAMMINGER Céline / Ajout Laure CIVIT-COLOMIES</t>
  </si>
  <si>
    <t>CIVIT-COLOMIES Laure</t>
  </si>
  <si>
    <t>COS</t>
  </si>
  <si>
    <t>FGR</t>
  </si>
  <si>
    <t>PPE</t>
  </si>
  <si>
    <t>ALLARD Jean-François</t>
  </si>
  <si>
    <t>ALD</t>
  </si>
  <si>
    <t>BOA</t>
  </si>
  <si>
    <t>BVY</t>
  </si>
  <si>
    <t>BNE</t>
  </si>
  <si>
    <t>BARREIRO BOUCA Hugo (stagiaire)</t>
  </si>
  <si>
    <t>BOVAY Boris (stagiaire)</t>
  </si>
  <si>
    <t>BONE Luc (stagiaire)</t>
  </si>
  <si>
    <t>Départ de Yves COUTURIER/ Ajout JF ALLARD (régul)/Ajout 3 stagiaires: BARREIRO BOUCA - BOVAY-BONE / Départ Sok YIN/Ajout ABDELLAOUI Schéhérazade</t>
  </si>
  <si>
    <t>ABDELLAOUI Schéhérazade</t>
  </si>
  <si>
    <t>ADI</t>
  </si>
  <si>
    <t>RODRIGUEZ Matéo</t>
  </si>
  <si>
    <t>RDZ</t>
  </si>
  <si>
    <t>Départ de Olivier GRESSET/ Ajout Matéo RODRIGUEZ/ Départ deYannis SADOUDI</t>
  </si>
  <si>
    <t>RODIER Fabien</t>
  </si>
  <si>
    <t>GAUDIER Gabriel</t>
  </si>
  <si>
    <t>VGR</t>
  </si>
  <si>
    <t>VIGUIER Didier</t>
  </si>
  <si>
    <t>RDR</t>
  </si>
  <si>
    <t>GUR</t>
  </si>
  <si>
    <t>EDITION : 21 du 16/05/2025</t>
  </si>
  <si>
    <t>BGD</t>
  </si>
  <si>
    <t>(BUD remplacé par BGD le 19/5/25)</t>
  </si>
  <si>
    <t>Ajout nouvel arrivant: Didier VIGUIER (Externe) / GAUDIER Gabriel (externe) / Anne-Cécile DE ROBILLARD (interne), modification Date d'attribution de BOUYEGHSSANE Aymane
Trigramme de Lionel Burgaud: BUD remplacé par BGD</t>
  </si>
  <si>
    <t>DE ROBILLARD Anne-Cécile</t>
  </si>
  <si>
    <t>DRD</t>
  </si>
  <si>
    <r>
      <t xml:space="preserve">
</t>
    </r>
    <r>
      <rPr>
        <sz val="10"/>
        <color theme="1"/>
        <rFont val="Calibri"/>
        <family val="2"/>
      </rPr>
      <t xml:space="preserve">
Aérodrome - 81300 GRAULHET
</t>
    </r>
  </si>
  <si>
    <t xml:space="preserve">Aérodrome - 81300 GRAULHET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</si>
</sst>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16"/>
      <color theme="1"/>
      <name val="Calibri"/>
      <family val="2"/>
    </font>
    <font>
      <b/>
      <sz val="9"/>
      <color theme="0"/>
      <name val="Calibri"/>
      <family val="2"/>
    </font>
    <font>
      <sz val="9"/>
      <color indexed="81"/>
      <name val="Tahoma"/>
      <family val="2"/>
    </font>
    <font>
      <b/>
      <sz val="10"/>
      <name val="Calibri"/>
      <family val="2"/>
    </font>
    <font>
      <b/>
      <sz val="13"/>
      <color theme="1"/>
      <name val="Calibri"/>
      <family val="2"/>
    </font>
    <font>
      <sz val="10"/>
      <color rgb="FF0000FF"/>
      <name val="Calibri"/>
      <family val="2"/>
    </font>
    <font>
      <b/>
      <sz val="10"/>
      <color rgb="FF0000FF"/>
      <name val="Calibri"/>
      <family val="2"/>
    </font>
    <font>
      <sz val="9"/>
      <color indexed="12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B0F0"/>
      <name val="Aptos Narrow"/>
      <family val="2"/>
      <scheme val="minor"/>
    </font>
    <font>
      <sz val="10"/>
      <name val="Calibri"/>
      <family val="2"/>
    </font>
    <font>
      <i/>
      <sz val="8"/>
      <name val="Calibri"/>
      <family val="2"/>
    </font>
    <font>
      <sz val="9"/>
      <color rgb="FF00B0F0"/>
      <name val="Calibri"/>
      <family val="2"/>
    </font>
    <font>
      <sz val="9"/>
      <color rgb="FF0000FF"/>
      <name val="Calibri"/>
      <family val="2"/>
    </font>
    <font>
      <sz val="9"/>
      <color rgb="FFFF0000"/>
      <name val="Calibri"/>
      <family val="2"/>
    </font>
    <font>
      <sz val="9"/>
      <name val="Aptos Narrow"/>
      <family val="2"/>
      <scheme val="minor"/>
    </font>
    <font>
      <i/>
      <sz val="9"/>
      <name val="Calibri"/>
      <family val="2"/>
    </font>
    <font>
      <sz val="9"/>
      <color rgb="FF0070C0"/>
      <name val="Calibri"/>
      <family val="2"/>
    </font>
    <font>
      <sz val="10"/>
      <color rgb="FF0070C0"/>
      <name val="Calibri"/>
      <family val="2"/>
    </font>
    <font>
      <sz val="11"/>
      <name val="Aptos Narrow"/>
      <family val="2"/>
      <scheme val="minor"/>
    </font>
    <font>
      <sz val="6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3" fillId="0" borderId="0" xfId="0" applyFont="1"/>
    <xf numFmtId="0" fontId="14" fillId="0" borderId="0" xfId="0" applyFont="1" applyAlignment="1">
      <alignment wrapText="1"/>
    </xf>
    <xf numFmtId="0" fontId="2" fillId="7" borderId="17" xfId="0" applyFont="1" applyFill="1" applyBorder="1" applyAlignment="1">
      <alignment horizontal="center" vertical="center" wrapText="1"/>
    </xf>
    <xf numFmtId="14" fontId="2" fillId="7" borderId="18" xfId="0" applyNumberFormat="1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14" fontId="2" fillId="7" borderId="2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 wrapText="1"/>
    </xf>
    <xf numFmtId="14" fontId="18" fillId="0" borderId="23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23" fillId="0" borderId="1" xfId="0" applyFont="1" applyBorder="1"/>
    <xf numFmtId="14" fontId="24" fillId="4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14" fontId="5" fillId="5" borderId="0" xfId="0" applyNumberFormat="1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14" fontId="18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14" fontId="26" fillId="5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5" fillId="2" borderId="1" xfId="0" applyFont="1" applyFill="1" applyBorder="1"/>
    <xf numFmtId="0" fontId="27" fillId="2" borderId="1" xfId="0" applyFont="1" applyFill="1" applyBorder="1"/>
    <xf numFmtId="14" fontId="23" fillId="2" borderId="1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14" fontId="20" fillId="5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top" wrapText="1"/>
    </xf>
    <xf numFmtId="0" fontId="2" fillId="7" borderId="19" xfId="0" applyFont="1" applyFill="1" applyBorder="1" applyAlignment="1">
      <alignment horizontal="left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top" wrapText="1"/>
    </xf>
    <xf numFmtId="0" fontId="26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105508</xdr:colOff>
      <xdr:row>1</xdr:row>
      <xdr:rowOff>5861</xdr:rowOff>
    </xdr:from>
    <xdr:to>
      <xdr:col>2</xdr:col>
      <xdr:colOff>630348</xdr:colOff>
      <xdr:row>3</xdr:row>
      <xdr:rowOff>169985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6255B83-F91A-4F08-90A9-53411B41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08" y="199292"/>
          <a:ext cx="1843686" cy="556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301779</xdr:colOff>
      <xdr:row>0</xdr:row>
      <xdr:rowOff>94886</xdr:rowOff>
    </xdr:from>
    <xdr:to>
      <xdr:col>0</xdr:col>
      <xdr:colOff>2575561</xdr:colOff>
      <xdr:row>0</xdr:row>
      <xdr:rowOff>781634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4DCEDAC-F58B-F546-5B17-A4869984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79" y="94886"/>
          <a:ext cx="2273782" cy="6867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02%20-%20Documentations%20Qualit&#233;%20&amp;%20SGS\05%20-%20DOCUMENTS%20ASSOCIES\DO%20(DOA)\old\AEC%20DL-0067_QFU%20EDITION%2025%20(sept%202023)_draft_deverouill&#233;e.xlsm" TargetMode="External"/><Relationship Id="rId1" Type="http://schemas.openxmlformats.org/officeDocument/2006/relationships/externalLinkPath" Target="/Z-02%20-%20Documentations%20Qualit&#233;%20&amp;%20SGS/05%20-%20DOCUMENTS%20ASSOCIES/DO%20(DOA)/old/AEC%20DL-0067_QFU%20EDITION%2025%20(sept%202023)_draft_deverouill&#233;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 FOLLOW-UP"/>
      <sheetName val="DL-0067_QUALIF_FOLLOW_UP"/>
      <sheetName val="SQ-0189_SIGNATURES"/>
      <sheetName val="LISTE_EMPLOYES"/>
      <sheetName val="DL-0062_NOMINATION"/>
      <sheetName val="DL-0068_NOMINATION_SCE"/>
      <sheetName val="DL-0239_NOMINATION_DE"/>
      <sheetName val="CLASSIFICATIONS"/>
      <sheetName val="DATA_FROM_IMPUTATION"/>
      <sheetName val="TRAININGS"/>
      <sheetName val="EXPERIENCES"/>
      <sheetName val="EVOLUTIONS"/>
      <sheetName val="ACTIVITY_ANALYSIS"/>
      <sheetName val="SQ-0186_BACKGROUND"/>
      <sheetName val="FORM_DL0055_AUTHORIZATION"/>
      <sheetName val="CUMUL_IMPUTATION"/>
      <sheetName val="TEMP01"/>
      <sheetName val="REFERENCES"/>
      <sheetName val="REVISION_FOLLOW-UP2"/>
      <sheetName val="REVISION_FOLLOW-UP1"/>
      <sheetName val="REVISION_FOLLOW-UP"/>
      <sheetName val="REVISION_FOLLOW-UP3"/>
    </sheetNames>
    <sheetDataSet>
      <sheetData sheetId="0"/>
      <sheetData sheetId="1"/>
      <sheetData sheetId="2"/>
      <sheetData sheetId="3">
        <row r="3">
          <cell r="A3" t="str">
            <v>ALBERTON</v>
          </cell>
          <cell r="B3" t="str">
            <v>Yannick</v>
          </cell>
          <cell r="C3" t="str">
            <v>YAL</v>
          </cell>
          <cell r="D3" t="str">
            <v>ALBERTON YANNICK</v>
          </cell>
          <cell r="E3" t="str">
            <v xml:space="preserve">Yannick ALBERTON </v>
          </cell>
        </row>
        <row r="4">
          <cell r="A4" t="str">
            <v>BELON</v>
          </cell>
          <cell r="B4" t="str">
            <v>Fabrice</v>
          </cell>
          <cell r="C4" t="str">
            <v>FBE</v>
          </cell>
          <cell r="D4" t="str">
            <v>BELON FABRICE</v>
          </cell>
          <cell r="E4"/>
        </row>
        <row r="5">
          <cell r="A5" t="str">
            <v>BERGON</v>
          </cell>
          <cell r="B5" t="str">
            <v>Ludovic</v>
          </cell>
          <cell r="C5" t="str">
            <v>LBE</v>
          </cell>
          <cell r="D5" t="str">
            <v>BERGON LUDOVIC</v>
          </cell>
          <cell r="E5"/>
        </row>
        <row r="6">
          <cell r="A6" t="str">
            <v>BIRENBAUM</v>
          </cell>
          <cell r="B6" t="str">
            <v>Thierry</v>
          </cell>
          <cell r="C6" t="str">
            <v>TBI</v>
          </cell>
          <cell r="D6" t="str">
            <v>BIRENBAUM THIERRY</v>
          </cell>
          <cell r="E6" t="str">
            <v>Thierry BIRENBAUM</v>
          </cell>
        </row>
        <row r="7">
          <cell r="A7" t="str">
            <v>BOSNJAKOVIC</v>
          </cell>
          <cell r="B7" t="str">
            <v>Marija</v>
          </cell>
          <cell r="C7" t="str">
            <v>MBO</v>
          </cell>
          <cell r="D7" t="str">
            <v>BOSNJAKOVIC MARIJA</v>
          </cell>
          <cell r="E7"/>
        </row>
        <row r="8">
          <cell r="A8" t="str">
            <v>BUGEAU</v>
          </cell>
          <cell r="B8" t="str">
            <v>Alain</v>
          </cell>
          <cell r="C8" t="str">
            <v>ABU</v>
          </cell>
          <cell r="D8" t="str">
            <v>BUGEAU ALAIN</v>
          </cell>
          <cell r="E8"/>
        </row>
        <row r="9">
          <cell r="A9" t="str">
            <v>BUGEIA</v>
          </cell>
          <cell r="B9" t="str">
            <v>David</v>
          </cell>
          <cell r="C9" t="str">
            <v>DBU</v>
          </cell>
          <cell r="D9" t="str">
            <v>BUGEIA DAVID</v>
          </cell>
          <cell r="E9" t="str">
            <v>DAVID BUGEIA</v>
          </cell>
        </row>
        <row r="10">
          <cell r="A10" t="str">
            <v>CAZENAVE</v>
          </cell>
          <cell r="B10" t="str">
            <v>Jean-Michel</v>
          </cell>
          <cell r="C10" t="str">
            <v>JMC</v>
          </cell>
          <cell r="D10" t="str">
            <v>CAZENAVE JEAN-MICHEL</v>
          </cell>
          <cell r="E10"/>
        </row>
        <row r="11">
          <cell r="A11" t="str">
            <v>CLOCHET</v>
          </cell>
          <cell r="B11" t="str">
            <v>Johan</v>
          </cell>
          <cell r="C11" t="str">
            <v>JCL</v>
          </cell>
          <cell r="D11" t="str">
            <v>CLOCHET JOHAN</v>
          </cell>
          <cell r="E11"/>
        </row>
        <row r="12">
          <cell r="A12" t="str">
            <v>COLLIER</v>
          </cell>
          <cell r="B12" t="str">
            <v>Julien</v>
          </cell>
          <cell r="C12" t="str">
            <v>JCO</v>
          </cell>
          <cell r="D12" t="str">
            <v>COLLIER JULIEN</v>
          </cell>
          <cell r="E12"/>
        </row>
        <row r="13">
          <cell r="A13" t="str">
            <v>COLTRO</v>
          </cell>
          <cell r="B13" t="str">
            <v>Gilles</v>
          </cell>
          <cell r="C13" t="str">
            <v>GCO</v>
          </cell>
          <cell r="D13" t="str">
            <v>COLTRO GILLES</v>
          </cell>
          <cell r="E13" t="str">
            <v>Gilles COLTRO</v>
          </cell>
        </row>
        <row r="14">
          <cell r="A14" t="str">
            <v>DA COSTA</v>
          </cell>
          <cell r="B14" t="str">
            <v>Pierre</v>
          </cell>
          <cell r="C14" t="str">
            <v>PDA</v>
          </cell>
          <cell r="D14" t="str">
            <v>DA COSTA PIERRE</v>
          </cell>
          <cell r="E14"/>
        </row>
        <row r="15">
          <cell r="A15" t="str">
            <v>DANIEL</v>
          </cell>
          <cell r="B15" t="str">
            <v>Benoit</v>
          </cell>
          <cell r="C15" t="str">
            <v>BDA</v>
          </cell>
          <cell r="D15" t="str">
            <v>DANIEL BENOIT</v>
          </cell>
          <cell r="E15"/>
        </row>
        <row r="16">
          <cell r="A16" t="str">
            <v>DELAYE</v>
          </cell>
          <cell r="B16" t="str">
            <v>Ludovic</v>
          </cell>
          <cell r="C16" t="str">
            <v>LUD</v>
          </cell>
          <cell r="D16" t="str">
            <v>DELAYE LUDOVIC</v>
          </cell>
          <cell r="E16"/>
        </row>
        <row r="17">
          <cell r="A17" t="str">
            <v>DEMEYERE</v>
          </cell>
          <cell r="B17" t="str">
            <v>Fabien</v>
          </cell>
          <cell r="C17" t="str">
            <v>FDE</v>
          </cell>
          <cell r="D17" t="str">
            <v>DEMEYERE FABIEN</v>
          </cell>
          <cell r="E17" t="str">
            <v>Fabien DEMEYERE</v>
          </cell>
        </row>
        <row r="18">
          <cell r="A18" t="str">
            <v>DEVAUX</v>
          </cell>
          <cell r="B18" t="str">
            <v>Xavier</v>
          </cell>
          <cell r="C18" t="str">
            <v>XDE</v>
          </cell>
          <cell r="D18" t="str">
            <v>DEVAUX XAVIER</v>
          </cell>
          <cell r="E18" t="str">
            <v>XAVIER DEVAUX</v>
          </cell>
        </row>
        <row r="19">
          <cell r="A19" t="str">
            <v>DURAN</v>
          </cell>
          <cell r="B19" t="str">
            <v>Nicolas</v>
          </cell>
          <cell r="C19" t="str">
            <v>NDU</v>
          </cell>
          <cell r="D19" t="str">
            <v>DURAN NICOLAS</v>
          </cell>
          <cell r="E19"/>
        </row>
        <row r="20">
          <cell r="A20" t="str">
            <v>DURAND</v>
          </cell>
          <cell r="B20" t="str">
            <v>Sandrine</v>
          </cell>
          <cell r="C20" t="str">
            <v>SDU</v>
          </cell>
          <cell r="D20" t="str">
            <v>DURAND SANDRINE</v>
          </cell>
          <cell r="E20" t="str">
            <v>SANDRINE DURAND</v>
          </cell>
        </row>
        <row r="21">
          <cell r="A21" t="str">
            <v>FADELLI</v>
          </cell>
          <cell r="B21" t="str">
            <v>Christophe</v>
          </cell>
          <cell r="C21" t="str">
            <v>CFA</v>
          </cell>
          <cell r="D21" t="str">
            <v>FADELLI CHRISTOPHE</v>
          </cell>
          <cell r="E21"/>
        </row>
        <row r="22">
          <cell r="A22" t="str">
            <v>FAJON</v>
          </cell>
          <cell r="B22" t="str">
            <v>Jérémy</v>
          </cell>
          <cell r="C22" t="str">
            <v>JFA</v>
          </cell>
          <cell r="D22" t="str">
            <v>FAJON JÉRÉMY</v>
          </cell>
          <cell r="E22"/>
        </row>
        <row r="23">
          <cell r="A23" t="str">
            <v>FECIL</v>
          </cell>
          <cell r="B23" t="str">
            <v>ERWAN</v>
          </cell>
          <cell r="C23" t="str">
            <v>EFE</v>
          </cell>
          <cell r="D23" t="str">
            <v>FECIL ERWAN</v>
          </cell>
          <cell r="E23"/>
        </row>
        <row r="24">
          <cell r="A24" t="str">
            <v>FORESTIER</v>
          </cell>
          <cell r="B24" t="str">
            <v>Jean-Christophe</v>
          </cell>
          <cell r="C24" t="str">
            <v>JCF</v>
          </cell>
          <cell r="D24" t="str">
            <v>FORESTIER JEAN-CHRISTOPHE</v>
          </cell>
          <cell r="E24" t="str">
            <v>Jean-Christophe Forestier</v>
          </cell>
        </row>
        <row r="25">
          <cell r="A25" t="str">
            <v>FRANCO</v>
          </cell>
          <cell r="B25" t="str">
            <v>Rodrigo</v>
          </cell>
          <cell r="C25" t="str">
            <v>RFR</v>
          </cell>
          <cell r="D25" t="str">
            <v>FRANCO RODRIGO</v>
          </cell>
          <cell r="E25"/>
        </row>
        <row r="26">
          <cell r="A26" t="str">
            <v>GAILLARD</v>
          </cell>
          <cell r="B26" t="str">
            <v>Vincent</v>
          </cell>
          <cell r="C26" t="str">
            <v>VGA</v>
          </cell>
          <cell r="D26" t="str">
            <v>GAILLARD VINCENT</v>
          </cell>
          <cell r="E26" t="str">
            <v>Vincent Gaillard</v>
          </cell>
        </row>
        <row r="27">
          <cell r="A27" t="str">
            <v>GATTIBOINA</v>
          </cell>
          <cell r="B27" t="str">
            <v>Srinivas</v>
          </cell>
          <cell r="C27" t="str">
            <v>SGA</v>
          </cell>
          <cell r="D27" t="str">
            <v>GATTIBOINA SRINIVAS</v>
          </cell>
          <cell r="E27"/>
        </row>
        <row r="28">
          <cell r="A28" t="str">
            <v xml:space="preserve">GINO </v>
          </cell>
          <cell r="B28" t="str">
            <v>Magali</v>
          </cell>
          <cell r="C28" t="str">
            <v>MGI</v>
          </cell>
          <cell r="D28" t="str">
            <v>GINO  MAGALI</v>
          </cell>
          <cell r="E28"/>
        </row>
        <row r="29">
          <cell r="A29" t="str">
            <v>HILSELBERGER</v>
          </cell>
          <cell r="B29" t="str">
            <v>Sandra</v>
          </cell>
          <cell r="C29" t="str">
            <v>SHI</v>
          </cell>
          <cell r="D29" t="str">
            <v>HILSELBERGER SANDRA</v>
          </cell>
          <cell r="E29"/>
        </row>
        <row r="30">
          <cell r="A30" t="str">
            <v>HIPOLITO</v>
          </cell>
          <cell r="B30" t="str">
            <v>Frédéric</v>
          </cell>
          <cell r="C30" t="str">
            <v>FHI</v>
          </cell>
          <cell r="D30" t="str">
            <v>HIPOLITO FRÉDÉRIC</v>
          </cell>
          <cell r="E30"/>
        </row>
        <row r="31">
          <cell r="A31" t="str">
            <v>ISURE</v>
          </cell>
          <cell r="B31" t="str">
            <v>Aurélie</v>
          </cell>
          <cell r="C31" t="str">
            <v>AIS</v>
          </cell>
          <cell r="D31" t="str">
            <v>ISURE AURÉLIE</v>
          </cell>
          <cell r="E31"/>
        </row>
        <row r="32">
          <cell r="A32" t="str">
            <v>JAPAUD</v>
          </cell>
          <cell r="B32" t="str">
            <v>Laurent</v>
          </cell>
          <cell r="C32" t="str">
            <v>LJA</v>
          </cell>
          <cell r="D32" t="str">
            <v>JAPAUD LAURENT</v>
          </cell>
          <cell r="E32" t="str">
            <v>Laurent JAPAUD</v>
          </cell>
        </row>
        <row r="33">
          <cell r="A33" t="str">
            <v>LAINÉ MOULIN</v>
          </cell>
          <cell r="B33" t="str">
            <v>Amandine</v>
          </cell>
          <cell r="C33" t="str">
            <v xml:space="preserve">ALA </v>
          </cell>
          <cell r="D33" t="str">
            <v>LAINÉ MOULIN AMANDINE</v>
          </cell>
          <cell r="E33" t="str">
            <v>Amandine LAINE</v>
          </cell>
        </row>
        <row r="34">
          <cell r="A34" t="str">
            <v>LAKHDAR</v>
          </cell>
          <cell r="B34" t="str">
            <v>Philippe</v>
          </cell>
          <cell r="C34" t="str">
            <v>PLA</v>
          </cell>
          <cell r="D34" t="str">
            <v>LAKHDAR PHILIPPE</v>
          </cell>
          <cell r="E34"/>
        </row>
        <row r="35">
          <cell r="A35" t="str">
            <v>LE GOFF</v>
          </cell>
          <cell r="B35" t="str">
            <v>Florian</v>
          </cell>
          <cell r="C35" t="str">
            <v>LGF</v>
          </cell>
          <cell r="D35" t="str">
            <v>LE GOFF FLORIAN</v>
          </cell>
          <cell r="E35" t="str">
            <v>FLORIAN LE GOFF</v>
          </cell>
        </row>
        <row r="36">
          <cell r="A36" t="str">
            <v>LERNOULD</v>
          </cell>
          <cell r="B36" t="str">
            <v>Julien</v>
          </cell>
          <cell r="C36" t="str">
            <v>JLE</v>
          </cell>
          <cell r="D36" t="str">
            <v>LERNOULD JULIEN</v>
          </cell>
          <cell r="E36"/>
        </row>
        <row r="37">
          <cell r="A37" t="str">
            <v xml:space="preserve">LIGNIER </v>
          </cell>
          <cell r="B37" t="str">
            <v>Stéphane</v>
          </cell>
          <cell r="C37" t="str">
            <v>SLI</v>
          </cell>
          <cell r="D37" t="str">
            <v>LIGNIER  STÉPHANE</v>
          </cell>
          <cell r="E37"/>
        </row>
        <row r="38">
          <cell r="A38" t="str">
            <v>LONGCHAMPS</v>
          </cell>
          <cell r="B38" t="str">
            <v>Elza</v>
          </cell>
          <cell r="C38" t="str">
            <v>ELO</v>
          </cell>
          <cell r="D38" t="str">
            <v>LONGCHAMPS ELZA</v>
          </cell>
          <cell r="E38"/>
        </row>
        <row r="39">
          <cell r="A39" t="str">
            <v>MAHABOUBATCHA</v>
          </cell>
          <cell r="B39" t="str">
            <v>Ismail</v>
          </cell>
          <cell r="C39" t="str">
            <v>IMA</v>
          </cell>
          <cell r="D39" t="str">
            <v>MAHABOUBATCHA ISMAIL</v>
          </cell>
          <cell r="E39"/>
        </row>
        <row r="40">
          <cell r="A40" t="str">
            <v>MARMIER</v>
          </cell>
          <cell r="B40" t="str">
            <v>Sylvestre</v>
          </cell>
          <cell r="C40" t="str">
            <v>SMA</v>
          </cell>
          <cell r="D40" t="str">
            <v>MARMIER SYLVESTRE</v>
          </cell>
          <cell r="E40"/>
        </row>
        <row r="41">
          <cell r="A41" t="str">
            <v>MARTY</v>
          </cell>
          <cell r="B41" t="str">
            <v>Philippe</v>
          </cell>
          <cell r="C41" t="str">
            <v>PMA</v>
          </cell>
          <cell r="D41" t="str">
            <v>MARTY PHILIPPE</v>
          </cell>
          <cell r="E41"/>
        </row>
        <row r="42">
          <cell r="A42" t="str">
            <v>MENARD</v>
          </cell>
          <cell r="B42" t="str">
            <v>Aubin</v>
          </cell>
          <cell r="C42" t="str">
            <v>AME</v>
          </cell>
          <cell r="D42" t="str">
            <v>MENARD AUBIN</v>
          </cell>
          <cell r="E42" t="str">
            <v>Aubin MENARD</v>
          </cell>
        </row>
        <row r="43">
          <cell r="A43" t="str">
            <v>MINON</v>
          </cell>
          <cell r="B43" t="str">
            <v>Philippe</v>
          </cell>
          <cell r="C43" t="str">
            <v>PMI</v>
          </cell>
          <cell r="D43" t="str">
            <v>MINON PHILIPPE</v>
          </cell>
          <cell r="E43"/>
        </row>
        <row r="44">
          <cell r="A44" t="str">
            <v>NADON</v>
          </cell>
          <cell r="B44" t="str">
            <v>PIERRE</v>
          </cell>
          <cell r="C44" t="str">
            <v>PNA</v>
          </cell>
          <cell r="D44" t="str">
            <v>NADON PIERRE</v>
          </cell>
          <cell r="E44"/>
        </row>
        <row r="45">
          <cell r="A45" t="str">
            <v>ONGLEY</v>
          </cell>
          <cell r="B45" t="str">
            <v>Stephen</v>
          </cell>
          <cell r="C45" t="str">
            <v>SON</v>
          </cell>
          <cell r="D45" t="str">
            <v>ONGLEY STEPHEN</v>
          </cell>
          <cell r="E45" t="str">
            <v>Stephen ONGLEY</v>
          </cell>
        </row>
        <row r="46">
          <cell r="A46" t="str">
            <v>PANNETIER</v>
          </cell>
          <cell r="B46" t="str">
            <v>Mikael</v>
          </cell>
          <cell r="C46" t="str">
            <v>MIP</v>
          </cell>
          <cell r="D46" t="str">
            <v>PANNETIER MIKAEL</v>
          </cell>
          <cell r="E46"/>
        </row>
        <row r="47">
          <cell r="A47" t="str">
            <v>PAQUIEN</v>
          </cell>
          <cell r="B47" t="str">
            <v>Thomas</v>
          </cell>
          <cell r="C47" t="str">
            <v>TPA</v>
          </cell>
          <cell r="D47" t="str">
            <v>PAQUIEN THOMAS</v>
          </cell>
          <cell r="E47" t="str">
            <v>Thomas PAQUIEN</v>
          </cell>
        </row>
        <row r="48">
          <cell r="A48" t="str">
            <v>PATUREL</v>
          </cell>
          <cell r="B48" t="str">
            <v>MARC</v>
          </cell>
          <cell r="C48" t="str">
            <v>MPA</v>
          </cell>
          <cell r="D48" t="str">
            <v>PATUREL MARC</v>
          </cell>
          <cell r="E48"/>
        </row>
        <row r="49">
          <cell r="A49" t="str">
            <v>PIATEK</v>
          </cell>
          <cell r="B49" t="str">
            <v>Jean</v>
          </cell>
          <cell r="C49" t="str">
            <v>JPI</v>
          </cell>
          <cell r="D49" t="str">
            <v>PIATEK JEAN</v>
          </cell>
          <cell r="E49"/>
        </row>
        <row r="50">
          <cell r="A50" t="str">
            <v>POTHON</v>
          </cell>
          <cell r="B50" t="str">
            <v>Frédéric</v>
          </cell>
          <cell r="C50" t="str">
            <v>FPO</v>
          </cell>
          <cell r="D50" t="str">
            <v>POTHON FRÉDÉRIC</v>
          </cell>
          <cell r="E50"/>
        </row>
        <row r="51">
          <cell r="A51" t="str">
            <v>ROUSSELIN</v>
          </cell>
          <cell r="B51" t="str">
            <v>Pierre-Yes</v>
          </cell>
          <cell r="C51" t="str">
            <v>PRO</v>
          </cell>
          <cell r="D51" t="str">
            <v>ROUSSELIN PIERRE-YES</v>
          </cell>
          <cell r="E51"/>
        </row>
        <row r="52">
          <cell r="A52" t="str">
            <v>ROUX</v>
          </cell>
          <cell r="B52" t="str">
            <v>Thierry</v>
          </cell>
          <cell r="C52" t="str">
            <v>TRO</v>
          </cell>
          <cell r="D52" t="str">
            <v>ROUX THIERRY</v>
          </cell>
          <cell r="E52" t="str">
            <v>Thierry ROUX</v>
          </cell>
        </row>
        <row r="53">
          <cell r="A53" t="str">
            <v>SAINTE MARIE PRICOT</v>
          </cell>
          <cell r="B53" t="str">
            <v>Caroline</v>
          </cell>
          <cell r="C53" t="str">
            <v>CSM</v>
          </cell>
          <cell r="D53" t="str">
            <v>SAINTE MARIE PRICOT CAROLINE</v>
          </cell>
          <cell r="E53" t="str">
            <v>CAROLINE SAINTE MARIE PRICOT</v>
          </cell>
        </row>
        <row r="54">
          <cell r="A54" t="str">
            <v>SERGENT</v>
          </cell>
          <cell r="B54" t="str">
            <v>Christophe</v>
          </cell>
          <cell r="C54" t="str">
            <v>CSE</v>
          </cell>
          <cell r="D54" t="str">
            <v>SERGENT CHRISTOPHE</v>
          </cell>
          <cell r="E54"/>
        </row>
        <row r="55">
          <cell r="A55" t="str">
            <v>SEVRIT</v>
          </cell>
          <cell r="B55" t="str">
            <v>Valentin</v>
          </cell>
          <cell r="C55" t="str">
            <v>VSE</v>
          </cell>
          <cell r="D55" t="str">
            <v>SEVRIT VALENTIN</v>
          </cell>
          <cell r="E55" t="str">
            <v>Valentin SEVRIT</v>
          </cell>
        </row>
        <row r="56">
          <cell r="A56" t="str">
            <v>SHULTER</v>
          </cell>
          <cell r="B56" t="str">
            <v>Kai</v>
          </cell>
          <cell r="C56" t="str">
            <v>KSH</v>
          </cell>
          <cell r="D56" t="str">
            <v>SHULTER KAI</v>
          </cell>
          <cell r="E56"/>
        </row>
        <row r="57">
          <cell r="A57" t="str">
            <v>STEFANELLI</v>
          </cell>
          <cell r="B57" t="str">
            <v>Frédéric</v>
          </cell>
          <cell r="C57" t="str">
            <v>FST</v>
          </cell>
          <cell r="D57" t="str">
            <v>STEFANELLI FRÉDÉRIC</v>
          </cell>
          <cell r="E57" t="str">
            <v>Frédéric STEFANELLI</v>
          </cell>
        </row>
        <row r="58">
          <cell r="A58" t="str">
            <v>SURUGUE</v>
          </cell>
          <cell r="B58" t="str">
            <v>Mickael</v>
          </cell>
          <cell r="C58" t="str">
            <v>MSU</v>
          </cell>
          <cell r="D58" t="str">
            <v>SURUGUE MICKAEL</v>
          </cell>
          <cell r="E58" t="str">
            <v>Mickaël SURUGUE</v>
          </cell>
        </row>
        <row r="59">
          <cell r="A59" t="str">
            <v>VALAT</v>
          </cell>
          <cell r="B59" t="str">
            <v>Axel</v>
          </cell>
          <cell r="C59" t="str">
            <v>AVA</v>
          </cell>
          <cell r="D59" t="str">
            <v>VALAT AXEL</v>
          </cell>
          <cell r="E59"/>
        </row>
        <row r="60">
          <cell r="A60" t="str">
            <v>VERONESE</v>
          </cell>
          <cell r="B60" t="str">
            <v>David</v>
          </cell>
          <cell r="C60" t="str">
            <v>DVE</v>
          </cell>
          <cell r="D60" t="str">
            <v>VERONESE DAVID</v>
          </cell>
          <cell r="E60" t="str">
            <v>David Veronese</v>
          </cell>
        </row>
        <row r="61">
          <cell r="A61" t="str">
            <v>VILLETTE</v>
          </cell>
          <cell r="B61" t="str">
            <v>Isabelle</v>
          </cell>
          <cell r="C61" t="str">
            <v>IVI</v>
          </cell>
          <cell r="D61" t="str">
            <v>VILLETTE ISABELLE</v>
          </cell>
          <cell r="E61" t="str">
            <v>Isabelle VILLETTE</v>
          </cell>
        </row>
        <row r="62">
          <cell r="A62" t="str">
            <v>WOLF</v>
          </cell>
          <cell r="B62" t="str">
            <v>Vincent</v>
          </cell>
          <cell r="C62" t="str">
            <v>VWO</v>
          </cell>
          <cell r="D62" t="str">
            <v>WOLF VINCENT</v>
          </cell>
          <cell r="E62"/>
        </row>
        <row r="63">
          <cell r="A63" t="str">
            <v>ZAFRA</v>
          </cell>
          <cell r="B63" t="str">
            <v>Cédric</v>
          </cell>
          <cell r="C63" t="str">
            <v>CZA</v>
          </cell>
          <cell r="D63" t="str">
            <v>ZAFRA CÉDRIC</v>
          </cell>
          <cell r="E63" t="str">
            <v>Cédric ZAFRA</v>
          </cell>
        </row>
        <row r="64">
          <cell r="A64" t="str">
            <v>ZERROUKI</v>
          </cell>
          <cell r="B64" t="str">
            <v>Hayat</v>
          </cell>
          <cell r="C64" t="str">
            <v>HZE</v>
          </cell>
          <cell r="D64" t="str">
            <v>ZERROUKI HAYAT</v>
          </cell>
          <cell r="E64"/>
        </row>
        <row r="65">
          <cell r="A65" t="str">
            <v>ZUCCOLOTTO</v>
          </cell>
          <cell r="B65" t="str">
            <v>Baptiste</v>
          </cell>
          <cell r="C65" t="str">
            <v>BZU</v>
          </cell>
          <cell r="D65" t="str">
            <v>ZUCCOLOTTO BAPTISTE</v>
          </cell>
          <cell r="E65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riel BOULHABEL" id="{6200E5A4-FCCD-486E-91E5-D6CBDB1EB167}" userId="S::f.boulhabel@aerotec.fr::eecb6045-9f6b-40c6-8131-055667a27b02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5-02-18T12:20:09.16" personId="{6200E5A4-FCCD-486E-91E5-D6CBDB1EB167}" id="{5553CB21-342F-41D3-B90D-FAC3C23414CB}">
    <text>Stage du 17/02 AU 15/08/2025</text>
  </threadedComment>
  <threadedComment ref="F129" dT="2025-04-15T09:58:48.02" personId="{6200E5A4-FCCD-486E-91E5-D6CBDB1EB167}" id="{FD641D89-9486-4C26-9A59-3F15099E3FFC}">
    <text xml:space="preserve">Sorti le 07/03/2025 - retour 09/04/2025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7F01-56A1-42E7-B794-7BDD4B467487}">
  <sheetPr>
    <pageSetUpPr fitToPage="1"/>
  </sheetPr>
  <dimension ref="A1:BE29"/>
  <sheetViews>
    <sheetView tabSelected="1" view="pageBreakPreview" zoomScale="130" zoomScaleNormal="100" zoomScaleSheetLayoutView="130" workbookViewId="0">
      <selection activeCell="A7" sqref="A7:J7"/>
    </sheetView>
  </sheetViews>
  <sheetFormatPr baseColWidth="10" defaultColWidth="10.88671875" defaultRowHeight="14.4" x14ac:dyDescent="0.3"/>
  <cols>
    <col min="1" max="1" width="7.6640625" customWidth="1"/>
    <col min="2" max="2" width="11.5546875" bestFit="1" customWidth="1"/>
    <col min="8" max="8" width="13.6640625" customWidth="1"/>
    <col min="9" max="9" width="8.109375" customWidth="1"/>
    <col min="10" max="10" width="7.33203125" customWidth="1"/>
  </cols>
  <sheetData>
    <row r="1" spans="1:57" ht="15" customHeight="1" x14ac:dyDescent="0.3">
      <c r="A1" s="124" t="s">
        <v>438</v>
      </c>
      <c r="B1" s="94"/>
      <c r="C1" s="94"/>
      <c r="D1" s="99" t="s">
        <v>44</v>
      </c>
      <c r="E1" s="99"/>
      <c r="F1" s="99"/>
      <c r="G1" s="99"/>
      <c r="H1" s="99"/>
      <c r="I1" s="99"/>
      <c r="J1" s="100"/>
    </row>
    <row r="2" spans="1:57" ht="15" customHeight="1" x14ac:dyDescent="0.3">
      <c r="A2" s="95"/>
      <c r="B2" s="96"/>
      <c r="C2" s="96"/>
      <c r="D2" s="101"/>
      <c r="E2" s="101"/>
      <c r="F2" s="101"/>
      <c r="G2" s="101"/>
      <c r="H2" s="101"/>
      <c r="I2" s="101"/>
      <c r="J2" s="102"/>
    </row>
    <row r="3" spans="1:57" ht="15.75" customHeight="1" x14ac:dyDescent="0.3">
      <c r="A3" s="95"/>
      <c r="B3" s="96"/>
      <c r="C3" s="96"/>
      <c r="D3" s="101"/>
      <c r="E3" s="101"/>
      <c r="F3" s="101"/>
      <c r="G3" s="101"/>
      <c r="H3" s="101"/>
      <c r="I3" s="101"/>
      <c r="J3" s="102"/>
    </row>
    <row r="4" spans="1:57" ht="53.25" customHeight="1" thickBot="1" x14ac:dyDescent="0.35">
      <c r="A4" s="97"/>
      <c r="B4" s="98"/>
      <c r="C4" s="98"/>
      <c r="D4" s="103" t="s">
        <v>431</v>
      </c>
      <c r="E4" s="104"/>
      <c r="F4" s="104"/>
      <c r="G4" s="104"/>
      <c r="H4" s="104"/>
      <c r="I4" s="104"/>
      <c r="J4" s="105"/>
    </row>
    <row r="5" spans="1:57" ht="8.25" customHeight="1" x14ac:dyDescent="0.3"/>
    <row r="6" spans="1:57" ht="8.25" customHeight="1" thickBot="1" x14ac:dyDescent="0.35"/>
    <row r="7" spans="1:57" ht="15.75" customHeight="1" thickBot="1" x14ac:dyDescent="0.35">
      <c r="A7" s="106" t="s">
        <v>306</v>
      </c>
      <c r="B7" s="107"/>
      <c r="C7" s="107"/>
      <c r="D7" s="107"/>
      <c r="E7" s="107"/>
      <c r="F7" s="107"/>
      <c r="G7" s="107"/>
      <c r="H7" s="107"/>
      <c r="I7" s="107"/>
      <c r="J7" s="108"/>
    </row>
    <row r="8" spans="1:57" x14ac:dyDescent="0.3">
      <c r="A8" s="109" t="s">
        <v>307</v>
      </c>
      <c r="B8" s="111" t="s">
        <v>308</v>
      </c>
      <c r="C8" s="111" t="s">
        <v>309</v>
      </c>
      <c r="D8" s="111"/>
      <c r="E8" s="111"/>
      <c r="F8" s="111"/>
      <c r="G8" s="111"/>
      <c r="H8" s="111"/>
      <c r="I8" s="111" t="s">
        <v>310</v>
      </c>
      <c r="J8" s="113"/>
    </row>
    <row r="9" spans="1:57" ht="8.25" customHeight="1" thickBot="1" x14ac:dyDescent="0.35">
      <c r="A9" s="110"/>
      <c r="B9" s="112"/>
      <c r="C9" s="112"/>
      <c r="D9" s="112"/>
      <c r="E9" s="112"/>
      <c r="F9" s="112"/>
      <c r="G9" s="112"/>
      <c r="H9" s="112"/>
      <c r="I9" s="112"/>
      <c r="J9" s="114"/>
    </row>
    <row r="10" spans="1:57" x14ac:dyDescent="0.3">
      <c r="A10" s="23">
        <v>1</v>
      </c>
      <c r="B10" s="24">
        <v>45453</v>
      </c>
      <c r="C10" s="90" t="s">
        <v>311</v>
      </c>
      <c r="D10" s="90"/>
      <c r="E10" s="90"/>
      <c r="F10" s="90"/>
      <c r="G10" s="90"/>
      <c r="H10" s="90"/>
      <c r="I10" s="91" t="s">
        <v>313</v>
      </c>
      <c r="J10" s="92"/>
    </row>
    <row r="11" spans="1:57" ht="24" customHeight="1" x14ac:dyDescent="0.3">
      <c r="A11" s="25">
        <v>2</v>
      </c>
      <c r="B11" s="26">
        <v>45551</v>
      </c>
      <c r="C11" s="82" t="s">
        <v>314</v>
      </c>
      <c r="D11" s="83"/>
      <c r="E11" s="83"/>
      <c r="F11" s="83"/>
      <c r="G11" s="83"/>
      <c r="H11" s="84"/>
      <c r="I11" s="80" t="s">
        <v>312</v>
      </c>
      <c r="J11" s="81"/>
      <c r="AA11" s="21"/>
      <c r="BE11" s="22"/>
    </row>
    <row r="12" spans="1:57" ht="24" customHeight="1" x14ac:dyDescent="0.3">
      <c r="A12" s="27">
        <v>3</v>
      </c>
      <c r="B12" s="28">
        <v>45586</v>
      </c>
      <c r="C12" s="82" t="s">
        <v>315</v>
      </c>
      <c r="D12" s="83"/>
      <c r="E12" s="83"/>
      <c r="F12" s="83"/>
      <c r="G12" s="83"/>
      <c r="H12" s="84"/>
      <c r="I12" s="80" t="s">
        <v>312</v>
      </c>
      <c r="J12" s="81"/>
      <c r="AA12" s="21"/>
      <c r="BE12" s="22"/>
    </row>
    <row r="13" spans="1:57" ht="24" customHeight="1" x14ac:dyDescent="0.3">
      <c r="A13" s="32">
        <v>4</v>
      </c>
      <c r="B13" s="33">
        <v>45593</v>
      </c>
      <c r="C13" s="77" t="s">
        <v>332</v>
      </c>
      <c r="D13" s="78"/>
      <c r="E13" s="78"/>
      <c r="F13" s="78"/>
      <c r="G13" s="78"/>
      <c r="H13" s="79"/>
      <c r="I13" s="80" t="s">
        <v>312</v>
      </c>
      <c r="J13" s="81"/>
      <c r="AA13" s="21"/>
      <c r="BE13" s="22"/>
    </row>
    <row r="14" spans="1:57" ht="24" customHeight="1" x14ac:dyDescent="0.3">
      <c r="A14" s="32">
        <v>5</v>
      </c>
      <c r="B14" s="33">
        <v>45642</v>
      </c>
      <c r="C14" s="77" t="s">
        <v>343</v>
      </c>
      <c r="D14" s="78"/>
      <c r="E14" s="78"/>
      <c r="F14" s="78"/>
      <c r="G14" s="78"/>
      <c r="H14" s="79"/>
      <c r="I14" s="88" t="s">
        <v>334</v>
      </c>
      <c r="J14" s="88"/>
      <c r="AA14" s="21"/>
      <c r="BE14" s="22"/>
    </row>
    <row r="15" spans="1:57" ht="22.8" customHeight="1" x14ac:dyDescent="0.3">
      <c r="A15" s="32">
        <v>6</v>
      </c>
      <c r="B15" s="33">
        <v>45644</v>
      </c>
      <c r="C15" s="77" t="s">
        <v>333</v>
      </c>
      <c r="D15" s="78"/>
      <c r="E15" s="78"/>
      <c r="F15" s="78"/>
      <c r="G15" s="78"/>
      <c r="H15" s="79"/>
      <c r="I15" s="80" t="s">
        <v>313</v>
      </c>
      <c r="J15" s="81"/>
    </row>
    <row r="16" spans="1:57" ht="25.2" customHeight="1" x14ac:dyDescent="0.3">
      <c r="A16" s="36">
        <v>7</v>
      </c>
      <c r="B16" s="37">
        <v>45645</v>
      </c>
      <c r="C16" s="93" t="s">
        <v>341</v>
      </c>
      <c r="D16" s="93"/>
      <c r="E16" s="93"/>
      <c r="F16" s="93"/>
      <c r="G16" s="93"/>
      <c r="H16" s="93"/>
      <c r="I16" s="88" t="s">
        <v>334</v>
      </c>
      <c r="J16" s="88"/>
    </row>
    <row r="17" spans="1:10" ht="25.8" customHeight="1" x14ac:dyDescent="0.3">
      <c r="A17" s="36">
        <v>8</v>
      </c>
      <c r="B17" s="37">
        <v>45646</v>
      </c>
      <c r="C17" s="93" t="s">
        <v>342</v>
      </c>
      <c r="D17" s="93"/>
      <c r="E17" s="93"/>
      <c r="F17" s="93"/>
      <c r="G17" s="93"/>
      <c r="H17" s="93"/>
      <c r="I17" s="88" t="s">
        <v>334</v>
      </c>
      <c r="J17" s="88"/>
    </row>
    <row r="18" spans="1:10" ht="36.6" customHeight="1" x14ac:dyDescent="0.3">
      <c r="A18" s="36">
        <v>9</v>
      </c>
      <c r="B18" s="37">
        <v>45660</v>
      </c>
      <c r="C18" s="89" t="s">
        <v>388</v>
      </c>
      <c r="D18" s="89"/>
      <c r="E18" s="89"/>
      <c r="F18" s="89"/>
      <c r="G18" s="89"/>
      <c r="H18" s="89"/>
      <c r="I18" s="88" t="s">
        <v>334</v>
      </c>
      <c r="J18" s="88"/>
    </row>
    <row r="19" spans="1:10" ht="28.8" customHeight="1" x14ac:dyDescent="0.3">
      <c r="A19" s="36">
        <v>10</v>
      </c>
      <c r="B19" s="37">
        <v>45663</v>
      </c>
      <c r="C19" s="89" t="s">
        <v>346</v>
      </c>
      <c r="D19" s="89"/>
      <c r="E19" s="89"/>
      <c r="F19" s="89"/>
      <c r="G19" s="89"/>
      <c r="H19" s="89"/>
      <c r="I19" s="88" t="s">
        <v>334</v>
      </c>
      <c r="J19" s="88"/>
    </row>
    <row r="20" spans="1:10" x14ac:dyDescent="0.3">
      <c r="A20" s="36">
        <v>11</v>
      </c>
      <c r="B20" s="37">
        <v>45685</v>
      </c>
      <c r="C20" s="89" t="s">
        <v>351</v>
      </c>
      <c r="D20" s="89"/>
      <c r="E20" s="89"/>
      <c r="F20" s="89"/>
      <c r="G20" s="89"/>
      <c r="H20" s="89"/>
      <c r="I20" s="88" t="s">
        <v>334</v>
      </c>
      <c r="J20" s="88"/>
    </row>
    <row r="21" spans="1:10" ht="26.4" customHeight="1" x14ac:dyDescent="0.3">
      <c r="A21" s="36">
        <v>12</v>
      </c>
      <c r="B21" s="37">
        <v>45686</v>
      </c>
      <c r="C21" s="89" t="s">
        <v>356</v>
      </c>
      <c r="D21" s="89"/>
      <c r="E21" s="89"/>
      <c r="F21" s="89"/>
      <c r="G21" s="89"/>
      <c r="H21" s="89"/>
      <c r="I21" s="88" t="s">
        <v>334</v>
      </c>
      <c r="J21" s="88"/>
    </row>
    <row r="22" spans="1:10" ht="27.6" customHeight="1" x14ac:dyDescent="0.3">
      <c r="A22" s="36">
        <v>13</v>
      </c>
      <c r="B22" s="37">
        <v>45694</v>
      </c>
      <c r="C22" s="89" t="s">
        <v>372</v>
      </c>
      <c r="D22" s="89"/>
      <c r="E22" s="89"/>
      <c r="F22" s="89"/>
      <c r="G22" s="89"/>
      <c r="H22" s="89"/>
      <c r="I22" s="88" t="s">
        <v>334</v>
      </c>
      <c r="J22" s="88"/>
    </row>
    <row r="23" spans="1:10" ht="30" customHeight="1" x14ac:dyDescent="0.3">
      <c r="A23" s="36">
        <v>14</v>
      </c>
      <c r="B23" s="37">
        <v>45706</v>
      </c>
      <c r="C23" s="87" t="s">
        <v>394</v>
      </c>
      <c r="D23" s="87"/>
      <c r="E23" s="87"/>
      <c r="F23" s="87"/>
      <c r="G23" s="87"/>
      <c r="H23" s="87"/>
      <c r="I23" s="88" t="s">
        <v>334</v>
      </c>
      <c r="J23" s="88"/>
    </row>
    <row r="24" spans="1:10" x14ac:dyDescent="0.3">
      <c r="A24" s="36">
        <v>15</v>
      </c>
      <c r="B24" s="37">
        <v>45720</v>
      </c>
      <c r="C24" s="87" t="s">
        <v>395</v>
      </c>
      <c r="D24" s="87"/>
      <c r="E24" s="87"/>
      <c r="F24" s="87"/>
      <c r="G24" s="87"/>
      <c r="H24" s="87"/>
      <c r="I24" s="88" t="s">
        <v>334</v>
      </c>
      <c r="J24" s="88"/>
    </row>
    <row r="25" spans="1:10" x14ac:dyDescent="0.3">
      <c r="A25" s="36">
        <v>16</v>
      </c>
      <c r="B25" s="37">
        <v>45727</v>
      </c>
      <c r="C25" s="87" t="s">
        <v>399</v>
      </c>
      <c r="D25" s="87"/>
      <c r="E25" s="87"/>
      <c r="F25" s="87"/>
      <c r="G25" s="87"/>
      <c r="H25" s="87"/>
      <c r="I25" s="88" t="s">
        <v>334</v>
      </c>
      <c r="J25" s="88"/>
    </row>
    <row r="26" spans="1:10" x14ac:dyDescent="0.3">
      <c r="A26" s="36">
        <v>17</v>
      </c>
      <c r="B26" s="37">
        <v>45730</v>
      </c>
      <c r="C26" s="87" t="s">
        <v>406</v>
      </c>
      <c r="D26" s="87"/>
      <c r="E26" s="87"/>
      <c r="F26" s="87"/>
      <c r="G26" s="87"/>
      <c r="H26" s="87"/>
      <c r="I26" s="88" t="s">
        <v>334</v>
      </c>
      <c r="J26" s="88"/>
    </row>
    <row r="27" spans="1:10" ht="28.8" customHeight="1" x14ac:dyDescent="0.3">
      <c r="A27" s="58">
        <v>19</v>
      </c>
      <c r="B27" s="59">
        <v>45754</v>
      </c>
      <c r="C27" s="85" t="s">
        <v>419</v>
      </c>
      <c r="D27" s="85"/>
      <c r="E27" s="85"/>
      <c r="F27" s="85"/>
      <c r="G27" s="85"/>
      <c r="H27" s="85"/>
      <c r="I27" s="86" t="s">
        <v>334</v>
      </c>
      <c r="J27" s="86"/>
    </row>
    <row r="28" spans="1:10" x14ac:dyDescent="0.3">
      <c r="A28" s="58">
        <v>20</v>
      </c>
      <c r="B28" s="59">
        <v>45776</v>
      </c>
      <c r="C28" s="85" t="s">
        <v>424</v>
      </c>
      <c r="D28" s="85"/>
      <c r="E28" s="85"/>
      <c r="F28" s="85"/>
      <c r="G28" s="85"/>
      <c r="H28" s="85"/>
      <c r="I28" s="86" t="s">
        <v>334</v>
      </c>
      <c r="J28" s="86"/>
    </row>
    <row r="29" spans="1:10" ht="42" customHeight="1" x14ac:dyDescent="0.3">
      <c r="A29" s="60">
        <v>21</v>
      </c>
      <c r="B29" s="61">
        <v>45793</v>
      </c>
      <c r="C29" s="115" t="s">
        <v>434</v>
      </c>
      <c r="D29" s="115"/>
      <c r="E29" s="115"/>
      <c r="F29" s="115"/>
      <c r="G29" s="115"/>
      <c r="H29" s="115"/>
      <c r="I29" s="116" t="s">
        <v>334</v>
      </c>
      <c r="J29" s="116"/>
    </row>
  </sheetData>
  <mergeCells count="48">
    <mergeCell ref="C16:H16"/>
    <mergeCell ref="I16:J16"/>
    <mergeCell ref="C29:H29"/>
    <mergeCell ref="I29:J29"/>
    <mergeCell ref="C28:H28"/>
    <mergeCell ref="I28:J28"/>
    <mergeCell ref="C26:H26"/>
    <mergeCell ref="I26:J26"/>
    <mergeCell ref="A1:C4"/>
    <mergeCell ref="D1:J3"/>
    <mergeCell ref="D4:J4"/>
    <mergeCell ref="A7:J7"/>
    <mergeCell ref="A8:A9"/>
    <mergeCell ref="B8:B9"/>
    <mergeCell ref="C8:H9"/>
    <mergeCell ref="I8:J9"/>
    <mergeCell ref="C10:H10"/>
    <mergeCell ref="I10:J10"/>
    <mergeCell ref="C18:H18"/>
    <mergeCell ref="I18:J18"/>
    <mergeCell ref="C21:H21"/>
    <mergeCell ref="I21:J21"/>
    <mergeCell ref="C20:H20"/>
    <mergeCell ref="I20:J20"/>
    <mergeCell ref="C19:H19"/>
    <mergeCell ref="I19:J19"/>
    <mergeCell ref="C11:H11"/>
    <mergeCell ref="I11:J11"/>
    <mergeCell ref="C14:H14"/>
    <mergeCell ref="I14:J14"/>
    <mergeCell ref="C17:H17"/>
    <mergeCell ref="I17:J17"/>
    <mergeCell ref="C13:H13"/>
    <mergeCell ref="I13:J13"/>
    <mergeCell ref="I12:J12"/>
    <mergeCell ref="C12:H12"/>
    <mergeCell ref="C27:H27"/>
    <mergeCell ref="I27:J27"/>
    <mergeCell ref="C25:H25"/>
    <mergeCell ref="I25:J25"/>
    <mergeCell ref="C23:H23"/>
    <mergeCell ref="I23:J23"/>
    <mergeCell ref="C22:H22"/>
    <mergeCell ref="I22:J22"/>
    <mergeCell ref="C24:H24"/>
    <mergeCell ref="I24:J24"/>
    <mergeCell ref="C15:H15"/>
    <mergeCell ref="I15:J15"/>
  </mergeCells>
  <pageMargins left="0.23622047244094491" right="0.23622047244094491" top="0.23622047244094491" bottom="0.74803149606299213" header="0.23622047244094491" footer="0.31496062992125984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8702-3F16-444B-977A-22E9B2FB840B}">
  <sheetPr codeName="Feuil1"/>
  <dimension ref="A1:G210"/>
  <sheetViews>
    <sheetView showGridLines="0" zoomScaleNormal="100" zoomScaleSheetLayoutView="110" workbookViewId="0"/>
  </sheetViews>
  <sheetFormatPr baseColWidth="10" defaultRowHeight="14.4" x14ac:dyDescent="0.3"/>
  <cols>
    <col min="1" max="1" width="41.77734375" bestFit="1" customWidth="1"/>
    <col min="2" max="2" width="12.44140625" customWidth="1"/>
    <col min="4" max="4" width="8.6640625" customWidth="1"/>
    <col min="6" max="6" width="10.88671875" customWidth="1"/>
    <col min="7" max="7" width="10.5546875" style="12" customWidth="1"/>
  </cols>
  <sheetData>
    <row r="1" spans="1:7" ht="86.4" customHeight="1" x14ac:dyDescent="0.3">
      <c r="A1" s="123" t="s">
        <v>437</v>
      </c>
      <c r="B1" s="120" t="s">
        <v>44</v>
      </c>
      <c r="C1" s="121"/>
      <c r="D1" s="121"/>
      <c r="E1" s="121"/>
      <c r="F1" s="121"/>
      <c r="G1" s="122"/>
    </row>
    <row r="2" spans="1:7" ht="12.75" customHeight="1" x14ac:dyDescent="0.3">
      <c r="A2" s="6"/>
      <c r="B2" s="7"/>
      <c r="C2" s="7"/>
      <c r="D2" s="7"/>
      <c r="E2" s="7"/>
      <c r="F2" s="7"/>
    </row>
    <row r="3" spans="1:7" x14ac:dyDescent="0.3">
      <c r="A3" s="13" t="s">
        <v>45</v>
      </c>
      <c r="B3" s="117" t="s">
        <v>183</v>
      </c>
      <c r="C3" s="117"/>
      <c r="D3" s="117"/>
      <c r="E3" s="117"/>
      <c r="F3" s="117"/>
    </row>
    <row r="4" spans="1:7" x14ac:dyDescent="0.3">
      <c r="A4" s="19" t="s">
        <v>46</v>
      </c>
      <c r="B4" s="118" t="s">
        <v>184</v>
      </c>
      <c r="C4" s="118"/>
      <c r="D4" s="118"/>
      <c r="E4" s="118"/>
      <c r="F4" s="118"/>
    </row>
    <row r="5" spans="1:7" x14ac:dyDescent="0.3">
      <c r="A5" s="20" t="s">
        <v>296</v>
      </c>
      <c r="B5" s="119"/>
      <c r="C5" s="119"/>
      <c r="D5" s="119"/>
      <c r="E5" s="119"/>
      <c r="F5" s="119"/>
    </row>
    <row r="6" spans="1:7" s="16" customFormat="1" x14ac:dyDescent="0.3">
      <c r="A6" s="13"/>
      <c r="B6" s="14"/>
      <c r="C6" s="14"/>
      <c r="D6" s="14"/>
      <c r="E6" s="14"/>
      <c r="F6" s="14"/>
      <c r="G6" s="15"/>
    </row>
    <row r="7" spans="1:7" x14ac:dyDescent="0.3">
      <c r="A7" s="6" t="s">
        <v>182</v>
      </c>
      <c r="B7" s="17">
        <v>45776</v>
      </c>
      <c r="C7" s="7"/>
      <c r="D7" s="7" t="s">
        <v>307</v>
      </c>
      <c r="E7" s="18">
        <v>20</v>
      </c>
      <c r="F7" s="7"/>
    </row>
    <row r="8" spans="1:7" ht="15" thickBot="1" x14ac:dyDescent="0.35">
      <c r="A8" s="1" cm="1">
        <f t="array" aca="1" ref="A8" ca="1">8:158</f>
        <v>0</v>
      </c>
      <c r="B8" s="2"/>
      <c r="C8" s="2"/>
      <c r="D8" s="2"/>
      <c r="E8" s="1"/>
    </row>
    <row r="9" spans="1:7" ht="24" x14ac:dyDescent="0.3">
      <c r="A9" s="5" t="s">
        <v>0</v>
      </c>
      <c r="B9" s="5" t="s">
        <v>1</v>
      </c>
      <c r="C9" s="5" t="s">
        <v>39</v>
      </c>
      <c r="D9" s="5" t="s">
        <v>40</v>
      </c>
      <c r="E9" s="5" t="s">
        <v>37</v>
      </c>
      <c r="F9" s="5" t="s">
        <v>38</v>
      </c>
      <c r="G9"/>
    </row>
    <row r="10" spans="1:7" x14ac:dyDescent="0.3">
      <c r="A10" s="4" t="s">
        <v>379</v>
      </c>
      <c r="B10" s="3" t="s">
        <v>382</v>
      </c>
      <c r="C10" s="3" t="s">
        <v>178</v>
      </c>
      <c r="D10" s="3" t="s">
        <v>61</v>
      </c>
      <c r="E10" s="8">
        <v>45705</v>
      </c>
      <c r="F10" s="3"/>
    </row>
    <row r="11" spans="1:7" x14ac:dyDescent="0.3">
      <c r="A11" s="4" t="s">
        <v>420</v>
      </c>
      <c r="B11" s="3" t="s">
        <v>421</v>
      </c>
      <c r="C11" s="3" t="s">
        <v>178</v>
      </c>
      <c r="D11" s="3" t="s">
        <v>41</v>
      </c>
      <c r="E11" s="8">
        <v>45782</v>
      </c>
      <c r="F11" s="3"/>
    </row>
    <row r="12" spans="1:7" x14ac:dyDescent="0.3">
      <c r="A12" s="4" t="s">
        <v>47</v>
      </c>
      <c r="B12" s="3" t="s">
        <v>48</v>
      </c>
      <c r="C12" s="3" t="s">
        <v>178</v>
      </c>
      <c r="D12" s="3" t="s">
        <v>305</v>
      </c>
      <c r="E12" s="8">
        <v>45433</v>
      </c>
      <c r="F12" s="3"/>
      <c r="G12"/>
    </row>
    <row r="13" spans="1:7" x14ac:dyDescent="0.3">
      <c r="A13" s="4" t="s">
        <v>373</v>
      </c>
      <c r="B13" s="3" t="s">
        <v>374</v>
      </c>
      <c r="C13" s="3" t="s">
        <v>178</v>
      </c>
      <c r="D13" s="3" t="s">
        <v>61</v>
      </c>
      <c r="E13" s="8">
        <v>45712</v>
      </c>
      <c r="F13" s="3"/>
      <c r="G13"/>
    </row>
    <row r="14" spans="1:7" x14ac:dyDescent="0.3">
      <c r="A14" s="9" t="s">
        <v>243</v>
      </c>
      <c r="B14" s="10" t="str">
        <f>VLOOKUP(A14,Liste_Employés_Full,3)</f>
        <v>YAL</v>
      </c>
      <c r="C14" s="10" t="s">
        <v>178</v>
      </c>
      <c r="D14" s="10" t="s">
        <v>61</v>
      </c>
      <c r="E14" s="11">
        <v>43409</v>
      </c>
      <c r="F14" s="11">
        <v>44449</v>
      </c>
    </row>
    <row r="15" spans="1:7" x14ac:dyDescent="0.3">
      <c r="A15" s="38" t="s">
        <v>49</v>
      </c>
      <c r="B15" s="3" t="s">
        <v>50</v>
      </c>
      <c r="C15" s="3" t="s">
        <v>178</v>
      </c>
      <c r="D15" s="3" t="s">
        <v>42</v>
      </c>
      <c r="E15" s="8">
        <v>45433</v>
      </c>
      <c r="F15" s="3"/>
    </row>
    <row r="16" spans="1:7" x14ac:dyDescent="0.3">
      <c r="A16" s="38" t="s">
        <v>411</v>
      </c>
      <c r="B16" s="3" t="s">
        <v>412</v>
      </c>
      <c r="C16" s="3" t="s">
        <v>58</v>
      </c>
      <c r="D16" s="3" t="s">
        <v>61</v>
      </c>
      <c r="E16" s="8"/>
      <c r="F16" s="3"/>
    </row>
    <row r="17" spans="1:6" x14ac:dyDescent="0.3">
      <c r="A17" s="4" t="s">
        <v>390</v>
      </c>
      <c r="B17" s="3" t="s">
        <v>229</v>
      </c>
      <c r="C17" s="3" t="s">
        <v>178</v>
      </c>
      <c r="D17" s="3" t="s">
        <v>61</v>
      </c>
      <c r="E17" s="8">
        <v>45446</v>
      </c>
      <c r="F17" s="3"/>
    </row>
    <row r="18" spans="1:6" x14ac:dyDescent="0.3">
      <c r="A18" s="4" t="s">
        <v>51</v>
      </c>
      <c r="B18" s="3" t="s">
        <v>52</v>
      </c>
      <c r="C18" s="3" t="s">
        <v>178</v>
      </c>
      <c r="D18" s="3" t="s">
        <v>42</v>
      </c>
      <c r="E18" s="8">
        <v>45433</v>
      </c>
      <c r="F18" s="3"/>
    </row>
    <row r="19" spans="1:6" x14ac:dyDescent="0.3">
      <c r="A19" s="38" t="s">
        <v>295</v>
      </c>
      <c r="B19" s="3" t="s">
        <v>230</v>
      </c>
      <c r="C19" s="3" t="s">
        <v>178</v>
      </c>
      <c r="D19" s="3" t="s">
        <v>41</v>
      </c>
      <c r="E19" s="8">
        <v>45593</v>
      </c>
      <c r="F19" s="3"/>
    </row>
    <row r="20" spans="1:6" x14ac:dyDescent="0.3">
      <c r="A20" s="42" t="s">
        <v>298</v>
      </c>
      <c r="B20" s="3" t="s">
        <v>244</v>
      </c>
      <c r="C20" s="3" t="s">
        <v>58</v>
      </c>
      <c r="D20" s="3" t="s">
        <v>61</v>
      </c>
      <c r="E20" s="8" t="s">
        <v>293</v>
      </c>
      <c r="F20" s="3"/>
    </row>
    <row r="21" spans="1:6" x14ac:dyDescent="0.3">
      <c r="A21" s="4" t="s">
        <v>416</v>
      </c>
      <c r="B21" s="3" t="s">
        <v>413</v>
      </c>
      <c r="C21" s="3" t="s">
        <v>178</v>
      </c>
      <c r="D21" s="3" t="s">
        <v>41</v>
      </c>
      <c r="E21" s="8">
        <v>45775</v>
      </c>
      <c r="F21" s="54">
        <v>45800</v>
      </c>
    </row>
    <row r="22" spans="1:6" x14ac:dyDescent="0.3">
      <c r="A22" s="9" t="s">
        <v>13</v>
      </c>
      <c r="B22" s="10" t="s">
        <v>14</v>
      </c>
      <c r="C22" s="10" t="s">
        <v>178</v>
      </c>
      <c r="D22" s="10" t="s">
        <v>41</v>
      </c>
      <c r="E22" s="11">
        <v>45433</v>
      </c>
      <c r="F22" s="52">
        <v>45443</v>
      </c>
    </row>
    <row r="23" spans="1:6" x14ac:dyDescent="0.3">
      <c r="A23" s="4" t="s">
        <v>53</v>
      </c>
      <c r="B23" s="3" t="s">
        <v>54</v>
      </c>
      <c r="C23" s="3" t="s">
        <v>178</v>
      </c>
      <c r="D23" s="3" t="s">
        <v>42</v>
      </c>
      <c r="E23" s="8">
        <v>45433</v>
      </c>
      <c r="F23" s="53"/>
    </row>
    <row r="24" spans="1:6" x14ac:dyDescent="0.3">
      <c r="A24" s="38" t="s">
        <v>55</v>
      </c>
      <c r="B24" s="3" t="s">
        <v>185</v>
      </c>
      <c r="C24" s="3" t="s">
        <v>178</v>
      </c>
      <c r="D24" s="3" t="s">
        <v>41</v>
      </c>
      <c r="E24" s="8">
        <v>45413</v>
      </c>
      <c r="F24" s="53"/>
    </row>
    <row r="25" spans="1:6" x14ac:dyDescent="0.3">
      <c r="A25" s="9" t="s">
        <v>245</v>
      </c>
      <c r="B25" s="10" t="str">
        <f>VLOOKUP(A25,Liste_Employés_Full,3)</f>
        <v>FBE</v>
      </c>
      <c r="C25" s="10" t="s">
        <v>178</v>
      </c>
      <c r="D25" s="10" t="s">
        <v>61</v>
      </c>
      <c r="E25" s="11">
        <v>43794</v>
      </c>
      <c r="F25" s="52">
        <v>45317</v>
      </c>
    </row>
    <row r="26" spans="1:6" x14ac:dyDescent="0.3">
      <c r="A26" s="13" t="s">
        <v>56</v>
      </c>
      <c r="B26" s="3" t="s">
        <v>57</v>
      </c>
      <c r="C26" s="3" t="s">
        <v>178</v>
      </c>
      <c r="D26" s="3" t="s">
        <v>41</v>
      </c>
      <c r="E26" s="8">
        <v>45433</v>
      </c>
      <c r="F26" s="53"/>
    </row>
    <row r="27" spans="1:6" x14ac:dyDescent="0.3">
      <c r="A27" s="4" t="s">
        <v>26</v>
      </c>
      <c r="B27" s="3" t="s">
        <v>27</v>
      </c>
      <c r="C27" s="3" t="s">
        <v>58</v>
      </c>
      <c r="D27" s="3" t="s">
        <v>318</v>
      </c>
      <c r="E27" s="8">
        <v>45433</v>
      </c>
      <c r="F27" s="53"/>
    </row>
    <row r="28" spans="1:6" x14ac:dyDescent="0.3">
      <c r="A28" s="4" t="s">
        <v>59</v>
      </c>
      <c r="B28" s="3" t="s">
        <v>60</v>
      </c>
      <c r="C28" s="3" t="s">
        <v>178</v>
      </c>
      <c r="D28" s="3" t="s">
        <v>61</v>
      </c>
      <c r="E28" s="8">
        <v>44621</v>
      </c>
      <c r="F28" s="53"/>
    </row>
    <row r="29" spans="1:6" x14ac:dyDescent="0.3">
      <c r="A29" s="38" t="s">
        <v>62</v>
      </c>
      <c r="B29" s="3" t="s">
        <v>180</v>
      </c>
      <c r="C29" s="3" t="s">
        <v>58</v>
      </c>
      <c r="D29" s="3" t="s">
        <v>305</v>
      </c>
      <c r="E29" s="8">
        <v>45433</v>
      </c>
      <c r="F29" s="53"/>
    </row>
    <row r="30" spans="1:6" x14ac:dyDescent="0.3">
      <c r="A30" s="46" t="s">
        <v>357</v>
      </c>
      <c r="B30" s="3" t="s">
        <v>358</v>
      </c>
      <c r="C30" s="3" t="s">
        <v>178</v>
      </c>
      <c r="D30" s="3" t="s">
        <v>41</v>
      </c>
      <c r="E30" s="8">
        <v>45621</v>
      </c>
      <c r="F30" s="54">
        <v>45842</v>
      </c>
    </row>
    <row r="31" spans="1:6" x14ac:dyDescent="0.3">
      <c r="A31" s="4" t="s">
        <v>63</v>
      </c>
      <c r="B31" s="3" t="s">
        <v>64</v>
      </c>
      <c r="C31" s="3" t="s">
        <v>178</v>
      </c>
      <c r="D31" s="3" t="s">
        <v>61</v>
      </c>
      <c r="E31" s="8">
        <v>41102</v>
      </c>
      <c r="F31" s="53"/>
    </row>
    <row r="32" spans="1:6" x14ac:dyDescent="0.3">
      <c r="A32" s="38" t="s">
        <v>367</v>
      </c>
      <c r="B32" s="3" t="s">
        <v>383</v>
      </c>
      <c r="C32" s="3" t="s">
        <v>178</v>
      </c>
      <c r="D32" s="3" t="s">
        <v>61</v>
      </c>
      <c r="E32" s="8">
        <v>45616</v>
      </c>
      <c r="F32" s="53"/>
    </row>
    <row r="33" spans="1:7" x14ac:dyDescent="0.3">
      <c r="A33" s="4" t="s">
        <v>418</v>
      </c>
      <c r="B33" s="3" t="s">
        <v>415</v>
      </c>
      <c r="C33" s="3" t="s">
        <v>178</v>
      </c>
      <c r="D33" s="3" t="s">
        <v>41</v>
      </c>
      <c r="E33" s="8">
        <v>45803</v>
      </c>
      <c r="F33" s="54">
        <v>45842</v>
      </c>
    </row>
    <row r="34" spans="1:7" x14ac:dyDescent="0.3">
      <c r="A34" s="4" t="s">
        <v>65</v>
      </c>
      <c r="B34" s="3" t="s">
        <v>66</v>
      </c>
      <c r="C34" s="3" t="s">
        <v>178</v>
      </c>
      <c r="D34" s="3" t="s">
        <v>61</v>
      </c>
      <c r="E34" s="8">
        <v>44536</v>
      </c>
      <c r="F34" s="53"/>
    </row>
    <row r="35" spans="1:7" x14ac:dyDescent="0.3">
      <c r="A35" s="9" t="s">
        <v>67</v>
      </c>
      <c r="B35" s="10" t="s">
        <v>68</v>
      </c>
      <c r="C35" s="10" t="s">
        <v>178</v>
      </c>
      <c r="D35" s="10" t="s">
        <v>41</v>
      </c>
      <c r="E35" s="11">
        <v>45433</v>
      </c>
      <c r="F35" s="52">
        <v>45565</v>
      </c>
    </row>
    <row r="36" spans="1:7" x14ac:dyDescent="0.3">
      <c r="A36" s="4" t="s">
        <v>330</v>
      </c>
      <c r="B36" s="3" t="s">
        <v>331</v>
      </c>
      <c r="C36" s="3" t="s">
        <v>178</v>
      </c>
      <c r="D36" s="3" t="s">
        <v>41</v>
      </c>
      <c r="E36" s="8">
        <v>45642</v>
      </c>
      <c r="F36" s="54"/>
      <c r="G36" s="29"/>
    </row>
    <row r="37" spans="1:7" x14ac:dyDescent="0.3">
      <c r="A37" s="51" t="s">
        <v>377</v>
      </c>
      <c r="B37" s="3" t="s">
        <v>380</v>
      </c>
      <c r="C37" s="3" t="s">
        <v>178</v>
      </c>
      <c r="D37" s="3" t="s">
        <v>61</v>
      </c>
      <c r="E37" s="70">
        <v>45809</v>
      </c>
      <c r="F37" s="53"/>
    </row>
    <row r="38" spans="1:7" x14ac:dyDescent="0.3">
      <c r="A38" s="46" t="s">
        <v>417</v>
      </c>
      <c r="B38" s="3" t="s">
        <v>414</v>
      </c>
      <c r="C38" s="3" t="s">
        <v>178</v>
      </c>
      <c r="D38" s="3" t="s">
        <v>41</v>
      </c>
      <c r="E38" s="8">
        <v>45789</v>
      </c>
      <c r="F38" s="54">
        <v>45842</v>
      </c>
    </row>
    <row r="39" spans="1:7" x14ac:dyDescent="0.3">
      <c r="A39" s="4" t="s">
        <v>69</v>
      </c>
      <c r="B39" s="3" t="s">
        <v>70</v>
      </c>
      <c r="C39" s="3" t="s">
        <v>178</v>
      </c>
      <c r="D39" s="3" t="s">
        <v>42</v>
      </c>
      <c r="E39" s="8">
        <v>45433</v>
      </c>
      <c r="F39" s="3"/>
    </row>
    <row r="40" spans="1:7" x14ac:dyDescent="0.3">
      <c r="A40" s="9" t="s">
        <v>246</v>
      </c>
      <c r="B40" s="10" t="str">
        <f>VLOOKUP(A40,Liste_Employés_Full,3)</f>
        <v>DBU</v>
      </c>
      <c r="C40" s="10"/>
      <c r="D40" s="10"/>
      <c r="E40" s="11">
        <v>43500</v>
      </c>
      <c r="F40" s="10"/>
    </row>
    <row r="41" spans="1:7" x14ac:dyDescent="0.3">
      <c r="A41" s="9" t="s">
        <v>71</v>
      </c>
      <c r="B41" s="10" t="s">
        <v>72</v>
      </c>
      <c r="C41" s="10" t="s">
        <v>178</v>
      </c>
      <c r="D41" s="10" t="s">
        <v>61</v>
      </c>
      <c r="E41" s="11">
        <v>45019</v>
      </c>
      <c r="F41" s="11">
        <v>45471</v>
      </c>
    </row>
    <row r="42" spans="1:7" ht="15.6" x14ac:dyDescent="0.3">
      <c r="A42" s="38" t="s">
        <v>337</v>
      </c>
      <c r="B42" s="73" t="s">
        <v>432</v>
      </c>
      <c r="C42" s="35" t="s">
        <v>178</v>
      </c>
      <c r="D42" s="35" t="s">
        <v>61</v>
      </c>
      <c r="E42" s="39">
        <v>45663</v>
      </c>
      <c r="F42" s="74" t="s">
        <v>433</v>
      </c>
    </row>
    <row r="43" spans="1:7" x14ac:dyDescent="0.3">
      <c r="A43" s="38" t="s">
        <v>344</v>
      </c>
      <c r="B43" s="3" t="s">
        <v>345</v>
      </c>
      <c r="C43" s="3" t="s">
        <v>178</v>
      </c>
      <c r="D43" s="3" t="s">
        <v>41</v>
      </c>
      <c r="E43" s="8">
        <v>45691</v>
      </c>
      <c r="F43" s="3"/>
    </row>
    <row r="44" spans="1:7" x14ac:dyDescent="0.3">
      <c r="A44" s="34" t="s">
        <v>73</v>
      </c>
      <c r="B44" s="30" t="s">
        <v>74</v>
      </c>
      <c r="C44" s="30" t="s">
        <v>178</v>
      </c>
      <c r="D44" s="30" t="s">
        <v>41</v>
      </c>
      <c r="E44" s="31">
        <v>45433</v>
      </c>
      <c r="F44" s="31">
        <v>45716</v>
      </c>
    </row>
    <row r="45" spans="1:7" x14ac:dyDescent="0.3">
      <c r="A45" s="4" t="s">
        <v>235</v>
      </c>
      <c r="B45" s="3" t="s">
        <v>231</v>
      </c>
      <c r="C45" s="3" t="s">
        <v>178</v>
      </c>
      <c r="D45" s="3" t="s">
        <v>41</v>
      </c>
      <c r="E45" s="8">
        <v>45593</v>
      </c>
      <c r="F45" s="3"/>
    </row>
    <row r="46" spans="1:7" x14ac:dyDescent="0.3">
      <c r="A46" s="4" t="s">
        <v>338</v>
      </c>
      <c r="B46" s="3" t="s">
        <v>362</v>
      </c>
      <c r="C46" s="3" t="s">
        <v>178</v>
      </c>
      <c r="D46" s="3" t="s">
        <v>41</v>
      </c>
      <c r="E46" s="8">
        <v>45685</v>
      </c>
      <c r="F46" s="3"/>
    </row>
    <row r="47" spans="1:7" x14ac:dyDescent="0.3">
      <c r="A47" s="34" t="s">
        <v>316</v>
      </c>
      <c r="B47" s="30" t="s">
        <v>317</v>
      </c>
      <c r="C47" s="30" t="s">
        <v>178</v>
      </c>
      <c r="D47" s="30" t="s">
        <v>41</v>
      </c>
      <c r="E47" s="31">
        <v>45600</v>
      </c>
      <c r="F47" s="31">
        <v>45657</v>
      </c>
    </row>
    <row r="48" spans="1:7" x14ac:dyDescent="0.3">
      <c r="A48" s="38" t="s">
        <v>354</v>
      </c>
      <c r="B48" s="35" t="s">
        <v>366</v>
      </c>
      <c r="C48" s="35" t="s">
        <v>178</v>
      </c>
      <c r="D48" s="35" t="s">
        <v>41</v>
      </c>
      <c r="E48" s="39">
        <v>45608</v>
      </c>
      <c r="F48" s="39"/>
    </row>
    <row r="49" spans="1:6" x14ac:dyDescent="0.3">
      <c r="A49" s="9" t="s">
        <v>75</v>
      </c>
      <c r="B49" s="10" t="s">
        <v>76</v>
      </c>
      <c r="C49" s="10" t="s">
        <v>178</v>
      </c>
      <c r="D49" s="10" t="s">
        <v>41</v>
      </c>
      <c r="E49" s="11">
        <v>45433</v>
      </c>
      <c r="F49" s="11">
        <v>45477</v>
      </c>
    </row>
    <row r="50" spans="1:6" x14ac:dyDescent="0.3">
      <c r="A50" s="4" t="s">
        <v>77</v>
      </c>
      <c r="B50" s="3" t="s">
        <v>78</v>
      </c>
      <c r="C50" s="3" t="s">
        <v>178</v>
      </c>
      <c r="D50" s="3" t="s">
        <v>42</v>
      </c>
      <c r="E50" s="8">
        <v>45433</v>
      </c>
      <c r="F50" s="3"/>
    </row>
    <row r="51" spans="1:6" ht="15" customHeight="1" x14ac:dyDescent="0.3">
      <c r="A51" s="38" t="s">
        <v>30</v>
      </c>
      <c r="B51" s="3" t="s">
        <v>31</v>
      </c>
      <c r="C51" s="3" t="s">
        <v>178</v>
      </c>
      <c r="D51" s="3" t="s">
        <v>43</v>
      </c>
      <c r="E51" s="8">
        <v>45433</v>
      </c>
      <c r="F51" s="3"/>
    </row>
    <row r="52" spans="1:6" x14ac:dyDescent="0.3">
      <c r="A52" s="4" t="s">
        <v>217</v>
      </c>
      <c r="B52" s="3" t="s">
        <v>363</v>
      </c>
      <c r="C52" s="3" t="s">
        <v>178</v>
      </c>
      <c r="D52" s="3" t="s">
        <v>61</v>
      </c>
      <c r="E52" s="8">
        <v>45593</v>
      </c>
      <c r="F52" s="3"/>
    </row>
    <row r="53" spans="1:6" x14ac:dyDescent="0.3">
      <c r="A53" s="4" t="s">
        <v>79</v>
      </c>
      <c r="B53" s="3" t="s">
        <v>370</v>
      </c>
      <c r="C53" s="3" t="s">
        <v>178</v>
      </c>
      <c r="D53" s="3" t="s">
        <v>42</v>
      </c>
      <c r="E53" s="8">
        <v>45433</v>
      </c>
      <c r="F53" s="3"/>
    </row>
    <row r="54" spans="1:6" x14ac:dyDescent="0.3">
      <c r="A54" s="4" t="s">
        <v>407</v>
      </c>
      <c r="B54" s="3" t="s">
        <v>408</v>
      </c>
      <c r="C54" s="3" t="s">
        <v>178</v>
      </c>
      <c r="D54" s="3" t="s">
        <v>61</v>
      </c>
      <c r="E54" s="8">
        <v>45748</v>
      </c>
      <c r="F54" s="3"/>
    </row>
    <row r="55" spans="1:6" x14ac:dyDescent="0.3">
      <c r="A55" s="4" t="s">
        <v>247</v>
      </c>
      <c r="B55" s="3" t="str">
        <f>VLOOKUP(A55,Liste_Employés_Full,3)</f>
        <v>JCL</v>
      </c>
      <c r="C55" s="3" t="s">
        <v>178</v>
      </c>
      <c r="D55" s="3" t="s">
        <v>61</v>
      </c>
      <c r="E55" s="8">
        <v>40238</v>
      </c>
      <c r="F55" s="3"/>
    </row>
    <row r="56" spans="1:6" x14ac:dyDescent="0.3">
      <c r="A56" s="9" t="s">
        <v>249</v>
      </c>
      <c r="B56" s="10" t="s">
        <v>250</v>
      </c>
      <c r="C56" s="10" t="s">
        <v>178</v>
      </c>
      <c r="D56" s="10" t="s">
        <v>41</v>
      </c>
      <c r="E56" s="11">
        <v>44805</v>
      </c>
      <c r="F56" s="11">
        <v>44916</v>
      </c>
    </row>
    <row r="57" spans="1:6" x14ac:dyDescent="0.3">
      <c r="A57" s="9" t="s">
        <v>251</v>
      </c>
      <c r="B57" s="10" t="str">
        <f>VLOOKUP(A57,Liste_Employés_Full,3)</f>
        <v>GCO</v>
      </c>
      <c r="C57" s="10" t="s">
        <v>178</v>
      </c>
      <c r="D57" s="10" t="s">
        <v>41</v>
      </c>
      <c r="E57" s="11">
        <v>43101</v>
      </c>
      <c r="F57" s="11">
        <v>44681</v>
      </c>
    </row>
    <row r="58" spans="1:6" x14ac:dyDescent="0.3">
      <c r="A58" s="4" t="s">
        <v>248</v>
      </c>
      <c r="B58" s="3" t="s">
        <v>61</v>
      </c>
      <c r="C58" s="3" t="s">
        <v>58</v>
      </c>
      <c r="D58" s="3" t="s">
        <v>61</v>
      </c>
      <c r="E58" s="8" t="s">
        <v>293</v>
      </c>
      <c r="F58" s="3"/>
    </row>
    <row r="59" spans="1:6" x14ac:dyDescent="0.3">
      <c r="A59" s="34" t="s">
        <v>202</v>
      </c>
      <c r="B59" s="30" t="s">
        <v>203</v>
      </c>
      <c r="C59" s="30" t="s">
        <v>178</v>
      </c>
      <c r="D59" s="30" t="s">
        <v>41</v>
      </c>
      <c r="E59" s="31">
        <v>45586</v>
      </c>
      <c r="F59" s="31">
        <v>45747</v>
      </c>
    </row>
    <row r="60" spans="1:6" x14ac:dyDescent="0.3">
      <c r="A60" s="9" t="s">
        <v>80</v>
      </c>
      <c r="B60" s="10" t="s">
        <v>81</v>
      </c>
      <c r="C60" s="10" t="s">
        <v>178</v>
      </c>
      <c r="D60" s="10" t="s">
        <v>61</v>
      </c>
      <c r="E60" s="11">
        <v>45067</v>
      </c>
      <c r="F60" s="11">
        <v>45412</v>
      </c>
    </row>
    <row r="61" spans="1:6" x14ac:dyDescent="0.3">
      <c r="A61" s="41" t="s">
        <v>297</v>
      </c>
      <c r="B61" s="3" t="s">
        <v>252</v>
      </c>
      <c r="C61" s="3" t="s">
        <v>58</v>
      </c>
      <c r="D61" s="3" t="s">
        <v>61</v>
      </c>
      <c r="E61" s="8" t="s">
        <v>293</v>
      </c>
      <c r="F61" s="3"/>
    </row>
    <row r="62" spans="1:6" x14ac:dyDescent="0.3">
      <c r="A62" s="4" t="s">
        <v>82</v>
      </c>
      <c r="B62" s="3" t="s">
        <v>83</v>
      </c>
      <c r="C62" s="3" t="s">
        <v>178</v>
      </c>
      <c r="D62" s="3" t="s">
        <v>61</v>
      </c>
      <c r="E62" s="8">
        <v>44396</v>
      </c>
      <c r="F62" s="3"/>
    </row>
    <row r="63" spans="1:6" x14ac:dyDescent="0.3">
      <c r="A63" s="9" t="s">
        <v>84</v>
      </c>
      <c r="B63" s="10" t="s">
        <v>85</v>
      </c>
      <c r="C63" s="10" t="s">
        <v>178</v>
      </c>
      <c r="D63" s="10" t="s">
        <v>61</v>
      </c>
      <c r="E63" s="11">
        <v>44382</v>
      </c>
      <c r="F63" s="11">
        <v>45596</v>
      </c>
    </row>
    <row r="64" spans="1:6" x14ac:dyDescent="0.3">
      <c r="A64" s="38" t="s">
        <v>32</v>
      </c>
      <c r="B64" s="3" t="s">
        <v>33</v>
      </c>
      <c r="C64" s="3" t="s">
        <v>178</v>
      </c>
      <c r="D64" s="3" t="s">
        <v>42</v>
      </c>
      <c r="E64" s="8">
        <v>45433</v>
      </c>
      <c r="F64" s="3"/>
    </row>
    <row r="65" spans="1:6" x14ac:dyDescent="0.3">
      <c r="A65" s="4" t="s">
        <v>86</v>
      </c>
      <c r="B65" s="3" t="s">
        <v>181</v>
      </c>
      <c r="C65" s="3" t="s">
        <v>58</v>
      </c>
      <c r="D65" s="3" t="s">
        <v>179</v>
      </c>
      <c r="E65" s="8">
        <v>45433</v>
      </c>
      <c r="F65" s="3"/>
    </row>
    <row r="66" spans="1:6" x14ac:dyDescent="0.3">
      <c r="A66" s="38" t="s">
        <v>87</v>
      </c>
      <c r="B66" s="3" t="s">
        <v>88</v>
      </c>
      <c r="C66" s="3" t="s">
        <v>178</v>
      </c>
      <c r="D66" s="3" t="s">
        <v>41</v>
      </c>
      <c r="E66" s="8">
        <v>45433</v>
      </c>
      <c r="F66" s="3"/>
    </row>
    <row r="67" spans="1:6" x14ac:dyDescent="0.3">
      <c r="A67" s="4" t="s">
        <v>89</v>
      </c>
      <c r="B67" s="3" t="s">
        <v>90</v>
      </c>
      <c r="C67" s="3" t="s">
        <v>178</v>
      </c>
      <c r="D67" s="3" t="s">
        <v>61</v>
      </c>
      <c r="E67" s="8">
        <v>45048</v>
      </c>
      <c r="F67" s="3"/>
    </row>
    <row r="68" spans="1:6" x14ac:dyDescent="0.3">
      <c r="A68" s="9" t="s">
        <v>91</v>
      </c>
      <c r="B68" s="10" t="s">
        <v>92</v>
      </c>
      <c r="C68" s="10" t="s">
        <v>178</v>
      </c>
      <c r="D68" s="10" t="s">
        <v>61</v>
      </c>
      <c r="E68" s="11">
        <v>45433</v>
      </c>
      <c r="F68" s="11">
        <v>45535</v>
      </c>
    </row>
    <row r="69" spans="1:6" x14ac:dyDescent="0.3">
      <c r="A69" s="4" t="s">
        <v>93</v>
      </c>
      <c r="B69" s="3" t="s">
        <v>94</v>
      </c>
      <c r="C69" s="3" t="s">
        <v>178</v>
      </c>
      <c r="D69" s="3" t="s">
        <v>61</v>
      </c>
      <c r="E69" s="8">
        <v>40546</v>
      </c>
      <c r="F69" s="3"/>
    </row>
    <row r="70" spans="1:6" x14ac:dyDescent="0.3">
      <c r="A70" s="38" t="s">
        <v>218</v>
      </c>
      <c r="B70" s="3" t="s">
        <v>360</v>
      </c>
      <c r="C70" s="3" t="s">
        <v>178</v>
      </c>
      <c r="D70" s="3" t="s">
        <v>42</v>
      </c>
      <c r="E70" s="8">
        <v>45593</v>
      </c>
      <c r="F70" s="3"/>
    </row>
    <row r="71" spans="1:6" x14ac:dyDescent="0.3">
      <c r="A71" s="66" t="s">
        <v>435</v>
      </c>
      <c r="B71" s="75" t="s">
        <v>436</v>
      </c>
      <c r="C71" s="75" t="s">
        <v>178</v>
      </c>
      <c r="D71" s="75" t="s">
        <v>61</v>
      </c>
      <c r="E71" s="76">
        <v>45810</v>
      </c>
      <c r="F71" s="3"/>
    </row>
    <row r="72" spans="1:6" x14ac:dyDescent="0.3">
      <c r="A72" s="9" t="s">
        <v>253</v>
      </c>
      <c r="B72" s="10" t="str">
        <f>VLOOKUP(A72,Liste_Employés_Full,3)</f>
        <v>XDE</v>
      </c>
      <c r="C72" s="10" t="s">
        <v>178</v>
      </c>
      <c r="D72" s="10" t="s">
        <v>41</v>
      </c>
      <c r="E72" s="11">
        <v>43724</v>
      </c>
      <c r="F72" s="11">
        <v>44715</v>
      </c>
    </row>
    <row r="73" spans="1:6" x14ac:dyDescent="0.3">
      <c r="A73" s="38" t="s">
        <v>95</v>
      </c>
      <c r="B73" s="3" t="s">
        <v>96</v>
      </c>
      <c r="C73" s="3" t="s">
        <v>178</v>
      </c>
      <c r="D73" s="3" t="s">
        <v>43</v>
      </c>
      <c r="E73" s="8">
        <v>45433</v>
      </c>
      <c r="F73" s="3"/>
    </row>
    <row r="74" spans="1:6" x14ac:dyDescent="0.3">
      <c r="A74" s="38" t="s">
        <v>97</v>
      </c>
      <c r="B74" s="3" t="s">
        <v>98</v>
      </c>
      <c r="C74" s="3" t="s">
        <v>178</v>
      </c>
      <c r="D74" s="3" t="s">
        <v>41</v>
      </c>
      <c r="E74" s="8">
        <v>45433</v>
      </c>
      <c r="F74" s="3"/>
    </row>
    <row r="75" spans="1:6" x14ac:dyDescent="0.3">
      <c r="A75" s="4" t="s">
        <v>208</v>
      </c>
      <c r="B75" s="3" t="s">
        <v>216</v>
      </c>
      <c r="C75" s="3" t="s">
        <v>178</v>
      </c>
      <c r="D75" s="3" t="s">
        <v>61</v>
      </c>
      <c r="E75" s="8">
        <v>45593</v>
      </c>
      <c r="F75" s="3"/>
    </row>
    <row r="76" spans="1:6" x14ac:dyDescent="0.3">
      <c r="A76" s="38" t="s">
        <v>236</v>
      </c>
      <c r="B76" s="3" t="s">
        <v>232</v>
      </c>
      <c r="C76" s="3" t="s">
        <v>178</v>
      </c>
      <c r="D76" s="3" t="s">
        <v>41</v>
      </c>
      <c r="E76" s="8">
        <v>45593</v>
      </c>
      <c r="F76" s="3"/>
    </row>
    <row r="77" spans="1:6" x14ac:dyDescent="0.3">
      <c r="A77" s="38" t="s">
        <v>4</v>
      </c>
      <c r="B77" s="3" t="s">
        <v>5</v>
      </c>
      <c r="C77" s="3" t="s">
        <v>178</v>
      </c>
      <c r="D77" s="3" t="s">
        <v>41</v>
      </c>
      <c r="E77" s="8">
        <v>45433</v>
      </c>
      <c r="F77" s="3"/>
    </row>
    <row r="78" spans="1:6" x14ac:dyDescent="0.3">
      <c r="A78" s="9" t="s">
        <v>254</v>
      </c>
      <c r="B78" s="10" t="s">
        <v>255</v>
      </c>
      <c r="C78" s="10"/>
      <c r="D78" s="10"/>
      <c r="E78" s="11">
        <v>44291</v>
      </c>
      <c r="F78" s="10"/>
    </row>
    <row r="79" spans="1:6" x14ac:dyDescent="0.3">
      <c r="A79" s="9" t="s">
        <v>256</v>
      </c>
      <c r="B79" s="10" t="s">
        <v>257</v>
      </c>
      <c r="C79" s="10"/>
      <c r="D79" s="10"/>
      <c r="E79" s="11">
        <v>44074</v>
      </c>
      <c r="F79" s="10"/>
    </row>
    <row r="80" spans="1:6" x14ac:dyDescent="0.3">
      <c r="A80" s="4" t="s">
        <v>319</v>
      </c>
      <c r="B80" s="3" t="s">
        <v>320</v>
      </c>
      <c r="C80" s="3" t="s">
        <v>58</v>
      </c>
      <c r="D80" s="3" t="s">
        <v>321</v>
      </c>
      <c r="E80" s="8">
        <v>45257</v>
      </c>
      <c r="F80" s="3"/>
    </row>
    <row r="81" spans="1:6" x14ac:dyDescent="0.3">
      <c r="A81" s="9" t="s">
        <v>258</v>
      </c>
      <c r="B81" s="10" t="s">
        <v>259</v>
      </c>
      <c r="C81" s="10" t="s">
        <v>178</v>
      </c>
      <c r="D81" s="10" t="s">
        <v>41</v>
      </c>
      <c r="E81" s="11">
        <v>44719</v>
      </c>
      <c r="F81" s="11">
        <v>44835</v>
      </c>
    </row>
    <row r="82" spans="1:6" x14ac:dyDescent="0.3">
      <c r="A82" s="4" t="s">
        <v>99</v>
      </c>
      <c r="B82" s="3" t="s">
        <v>100</v>
      </c>
      <c r="C82" s="3" t="s">
        <v>178</v>
      </c>
      <c r="D82" s="3" t="s">
        <v>61</v>
      </c>
      <c r="E82" s="8">
        <v>44748</v>
      </c>
      <c r="F82" s="3"/>
    </row>
    <row r="83" spans="1:6" x14ac:dyDescent="0.3">
      <c r="A83" s="38" t="s">
        <v>101</v>
      </c>
      <c r="B83" s="3" t="s">
        <v>102</v>
      </c>
      <c r="C83" s="3" t="s">
        <v>178</v>
      </c>
      <c r="D83" s="3" t="s">
        <v>41</v>
      </c>
      <c r="E83" s="8">
        <v>45433</v>
      </c>
      <c r="F83" s="3"/>
    </row>
    <row r="84" spans="1:6" x14ac:dyDescent="0.3">
      <c r="A84" s="4" t="s">
        <v>400</v>
      </c>
      <c r="B84" s="3" t="s">
        <v>403</v>
      </c>
      <c r="C84" s="3" t="s">
        <v>178</v>
      </c>
      <c r="D84" s="3" t="s">
        <v>61</v>
      </c>
      <c r="E84" s="8">
        <v>45741</v>
      </c>
      <c r="F84" s="3"/>
    </row>
    <row r="85" spans="1:6" x14ac:dyDescent="0.3">
      <c r="A85" s="41" t="s">
        <v>303</v>
      </c>
      <c r="B85" s="3" t="s">
        <v>260</v>
      </c>
      <c r="C85" s="3" t="s">
        <v>58</v>
      </c>
      <c r="D85" s="3" t="s">
        <v>61</v>
      </c>
      <c r="E85" s="8">
        <v>43132</v>
      </c>
      <c r="F85" s="3"/>
    </row>
    <row r="86" spans="1:6" x14ac:dyDescent="0.3">
      <c r="A86" s="4" t="s">
        <v>219</v>
      </c>
      <c r="B86" s="3" t="s">
        <v>361</v>
      </c>
      <c r="C86" s="3" t="s">
        <v>178</v>
      </c>
      <c r="D86" s="3" t="s">
        <v>61</v>
      </c>
      <c r="E86" s="8">
        <v>45593</v>
      </c>
      <c r="F86" s="3"/>
    </row>
    <row r="87" spans="1:6" x14ac:dyDescent="0.3">
      <c r="A87" s="9" t="s">
        <v>15</v>
      </c>
      <c r="B87" s="10" t="s">
        <v>16</v>
      </c>
      <c r="C87" s="10" t="s">
        <v>178</v>
      </c>
      <c r="D87" s="10" t="s">
        <v>41</v>
      </c>
      <c r="E87" s="11">
        <v>45067</v>
      </c>
      <c r="F87" s="11">
        <v>45377</v>
      </c>
    </row>
    <row r="88" spans="1:6" x14ac:dyDescent="0.3">
      <c r="A88" s="9" t="s">
        <v>261</v>
      </c>
      <c r="B88" s="10" t="str">
        <f>VLOOKUP(A88,Liste_Employés_Full,3)</f>
        <v>JCF</v>
      </c>
      <c r="C88" s="10" t="s">
        <v>178</v>
      </c>
      <c r="D88" s="10" t="s">
        <v>61</v>
      </c>
      <c r="E88" s="11">
        <v>41568</v>
      </c>
      <c r="F88" s="11">
        <v>45331</v>
      </c>
    </row>
    <row r="89" spans="1:6" x14ac:dyDescent="0.3">
      <c r="A89" s="34" t="s">
        <v>220</v>
      </c>
      <c r="B89" s="30" t="s">
        <v>364</v>
      </c>
      <c r="C89" s="30" t="s">
        <v>178</v>
      </c>
      <c r="D89" s="30" t="s">
        <v>41</v>
      </c>
      <c r="E89" s="31">
        <v>45593</v>
      </c>
      <c r="F89" s="31">
        <v>45695</v>
      </c>
    </row>
    <row r="90" spans="1:6" x14ac:dyDescent="0.3">
      <c r="A90" s="38" t="s">
        <v>103</v>
      </c>
      <c r="B90" s="3" t="s">
        <v>327</v>
      </c>
      <c r="C90" s="3" t="s">
        <v>178</v>
      </c>
      <c r="D90" s="3" t="s">
        <v>61</v>
      </c>
      <c r="E90" s="8">
        <v>44614</v>
      </c>
      <c r="F90" s="3"/>
    </row>
    <row r="91" spans="1:6" x14ac:dyDescent="0.3">
      <c r="A91" s="46" t="s">
        <v>396</v>
      </c>
      <c r="B91" s="3" t="s">
        <v>397</v>
      </c>
      <c r="C91" s="3" t="s">
        <v>398</v>
      </c>
      <c r="D91" s="3" t="s">
        <v>61</v>
      </c>
      <c r="E91" s="50">
        <v>45733</v>
      </c>
      <c r="F91" s="43"/>
    </row>
    <row r="92" spans="1:6" x14ac:dyDescent="0.3">
      <c r="A92" s="4" t="s">
        <v>104</v>
      </c>
      <c r="B92" s="3" t="s">
        <v>105</v>
      </c>
      <c r="C92" s="3" t="s">
        <v>178</v>
      </c>
      <c r="D92" s="3" t="s">
        <v>61</v>
      </c>
      <c r="E92" s="8">
        <v>45433</v>
      </c>
      <c r="F92" s="3"/>
    </row>
    <row r="93" spans="1:6" x14ac:dyDescent="0.3">
      <c r="A93" s="38" t="s">
        <v>2</v>
      </c>
      <c r="B93" s="3" t="s">
        <v>3</v>
      </c>
      <c r="C93" s="3" t="s">
        <v>178</v>
      </c>
      <c r="D93" s="3" t="s">
        <v>41</v>
      </c>
      <c r="E93" s="8">
        <v>45433</v>
      </c>
      <c r="F93" s="3"/>
    </row>
    <row r="94" spans="1:6" x14ac:dyDescent="0.3">
      <c r="A94" s="4" t="s">
        <v>368</v>
      </c>
      <c r="B94" s="3" t="s">
        <v>369</v>
      </c>
      <c r="C94" s="3" t="s">
        <v>58</v>
      </c>
      <c r="D94" s="3" t="s">
        <v>41</v>
      </c>
      <c r="E94" s="8">
        <v>45693</v>
      </c>
      <c r="F94" s="3"/>
    </row>
    <row r="95" spans="1:6" x14ac:dyDescent="0.3">
      <c r="A95" s="4" t="s">
        <v>221</v>
      </c>
      <c r="B95" s="3" t="s">
        <v>240</v>
      </c>
      <c r="C95" s="3" t="s">
        <v>178</v>
      </c>
      <c r="D95" s="3" t="s">
        <v>61</v>
      </c>
      <c r="E95" s="8">
        <v>45453</v>
      </c>
      <c r="F95" s="3"/>
    </row>
    <row r="96" spans="1:6" x14ac:dyDescent="0.3">
      <c r="A96" s="9" t="s">
        <v>262</v>
      </c>
      <c r="B96" s="10" t="s">
        <v>240</v>
      </c>
      <c r="C96" s="10" t="s">
        <v>178</v>
      </c>
      <c r="D96" s="10" t="s">
        <v>41</v>
      </c>
      <c r="E96" s="11">
        <v>44292</v>
      </c>
      <c r="F96" s="11">
        <v>44970</v>
      </c>
    </row>
    <row r="97" spans="1:6" x14ac:dyDescent="0.3">
      <c r="A97" s="66" t="s">
        <v>426</v>
      </c>
      <c r="B97" s="67" t="s">
        <v>430</v>
      </c>
      <c r="C97" s="67" t="s">
        <v>58</v>
      </c>
      <c r="D97" s="67" t="s">
        <v>61</v>
      </c>
      <c r="E97" s="68">
        <v>45790</v>
      </c>
      <c r="F97" s="39"/>
    </row>
    <row r="98" spans="1:6" x14ac:dyDescent="0.3">
      <c r="A98" s="9" t="s">
        <v>19</v>
      </c>
      <c r="B98" s="10" t="s">
        <v>20</v>
      </c>
      <c r="C98" s="10" t="s">
        <v>178</v>
      </c>
      <c r="D98" s="10" t="s">
        <v>41</v>
      </c>
      <c r="E98" s="11">
        <v>45433</v>
      </c>
      <c r="F98" s="11">
        <v>45499</v>
      </c>
    </row>
    <row r="99" spans="1:6" x14ac:dyDescent="0.3">
      <c r="A99" s="34" t="s">
        <v>106</v>
      </c>
      <c r="B99" s="30" t="s">
        <v>186</v>
      </c>
      <c r="C99" s="30" t="s">
        <v>178</v>
      </c>
      <c r="D99" s="30" t="s">
        <v>41</v>
      </c>
      <c r="E99" s="31">
        <v>45433</v>
      </c>
      <c r="F99" s="31">
        <v>45609</v>
      </c>
    </row>
    <row r="100" spans="1:6" x14ac:dyDescent="0.3">
      <c r="A100" s="38" t="s">
        <v>211</v>
      </c>
      <c r="B100" s="3" t="s">
        <v>365</v>
      </c>
      <c r="C100" s="3" t="s">
        <v>178</v>
      </c>
      <c r="D100" s="3" t="s">
        <v>61</v>
      </c>
      <c r="E100" s="8">
        <v>45593</v>
      </c>
      <c r="F100" s="3"/>
    </row>
    <row r="101" spans="1:6" x14ac:dyDescent="0.3">
      <c r="A101" s="9" t="s">
        <v>263</v>
      </c>
      <c r="B101" s="10" t="s">
        <v>264</v>
      </c>
      <c r="C101" s="10" t="s">
        <v>178</v>
      </c>
      <c r="D101" s="10" t="s">
        <v>41</v>
      </c>
      <c r="E101" s="11">
        <v>44266</v>
      </c>
      <c r="F101" s="11">
        <v>45351</v>
      </c>
    </row>
    <row r="102" spans="1:6" x14ac:dyDescent="0.3">
      <c r="A102" s="38" t="s">
        <v>237</v>
      </c>
      <c r="B102" s="3" t="s">
        <v>233</v>
      </c>
      <c r="C102" s="3" t="s">
        <v>178</v>
      </c>
      <c r="D102" s="3" t="s">
        <v>41</v>
      </c>
      <c r="E102" s="8">
        <v>45593</v>
      </c>
      <c r="F102" s="3"/>
    </row>
    <row r="103" spans="1:6" x14ac:dyDescent="0.3">
      <c r="A103" s="38" t="s">
        <v>107</v>
      </c>
      <c r="B103" s="3" t="s">
        <v>108</v>
      </c>
      <c r="C103" s="3" t="s">
        <v>178</v>
      </c>
      <c r="D103" s="3" t="s">
        <v>305</v>
      </c>
      <c r="E103" s="8">
        <v>45433</v>
      </c>
      <c r="F103" s="3"/>
    </row>
    <row r="104" spans="1:6" x14ac:dyDescent="0.3">
      <c r="A104" s="38" t="s">
        <v>222</v>
      </c>
      <c r="B104" s="3" t="s">
        <v>409</v>
      </c>
      <c r="C104" s="3" t="s">
        <v>178</v>
      </c>
      <c r="D104" s="3" t="s">
        <v>42</v>
      </c>
      <c r="E104" s="8">
        <v>45593</v>
      </c>
      <c r="F104" s="3"/>
    </row>
    <row r="105" spans="1:6" x14ac:dyDescent="0.3">
      <c r="A105" s="47" t="s">
        <v>386</v>
      </c>
      <c r="B105" s="48" t="s">
        <v>387</v>
      </c>
      <c r="C105" s="48" t="s">
        <v>178</v>
      </c>
      <c r="D105" s="48" t="s">
        <v>41</v>
      </c>
      <c r="E105" s="49">
        <v>45719</v>
      </c>
      <c r="F105" s="49">
        <v>45777</v>
      </c>
    </row>
    <row r="106" spans="1:6" x14ac:dyDescent="0.3">
      <c r="A106" s="38" t="s">
        <v>304</v>
      </c>
      <c r="B106" s="3" t="s">
        <v>201</v>
      </c>
      <c r="C106" s="3" t="s">
        <v>178</v>
      </c>
      <c r="D106" s="3" t="s">
        <v>41</v>
      </c>
      <c r="E106" s="8">
        <v>45573</v>
      </c>
      <c r="F106" s="3"/>
    </row>
    <row r="107" spans="1:6" x14ac:dyDescent="0.3">
      <c r="A107" s="4" t="s">
        <v>109</v>
      </c>
      <c r="B107" s="3" t="s">
        <v>110</v>
      </c>
      <c r="C107" s="3" t="s">
        <v>178</v>
      </c>
      <c r="D107" s="3" t="s">
        <v>41</v>
      </c>
      <c r="E107" s="8">
        <v>45184</v>
      </c>
      <c r="F107" s="3"/>
    </row>
    <row r="108" spans="1:6" x14ac:dyDescent="0.3">
      <c r="A108" s="9" t="s">
        <v>111</v>
      </c>
      <c r="B108" s="10" t="s">
        <v>112</v>
      </c>
      <c r="C108" s="10" t="s">
        <v>178</v>
      </c>
      <c r="D108" s="10" t="s">
        <v>43</v>
      </c>
      <c r="E108" s="11">
        <v>45433</v>
      </c>
      <c r="F108" s="11">
        <v>45565</v>
      </c>
    </row>
    <row r="109" spans="1:6" x14ac:dyDescent="0.3">
      <c r="A109" s="38" t="s">
        <v>348</v>
      </c>
      <c r="B109" s="35" t="s">
        <v>350</v>
      </c>
      <c r="C109" s="3" t="s">
        <v>58</v>
      </c>
      <c r="D109" s="3" t="s">
        <v>41</v>
      </c>
      <c r="E109" s="39">
        <v>45663</v>
      </c>
      <c r="F109" s="35"/>
    </row>
    <row r="110" spans="1:6" x14ac:dyDescent="0.3">
      <c r="A110" s="38" t="s">
        <v>28</v>
      </c>
      <c r="B110" s="3" t="s">
        <v>29</v>
      </c>
      <c r="C110" s="3" t="s">
        <v>178</v>
      </c>
      <c r="D110" s="3" t="s">
        <v>43</v>
      </c>
      <c r="E110" s="8">
        <v>45433</v>
      </c>
      <c r="F110" s="3"/>
    </row>
    <row r="111" spans="1:6" x14ac:dyDescent="0.3">
      <c r="A111" s="9" t="s">
        <v>265</v>
      </c>
      <c r="B111" s="10" t="str">
        <f>VLOOKUP(A111,Liste_Employés_Full,3)</f>
        <v>SHI</v>
      </c>
      <c r="C111" s="10" t="s">
        <v>178</v>
      </c>
      <c r="D111" s="10" t="s">
        <v>61</v>
      </c>
      <c r="E111" s="11">
        <v>42948</v>
      </c>
      <c r="F111" s="11">
        <v>44720</v>
      </c>
    </row>
    <row r="112" spans="1:6" x14ac:dyDescent="0.3">
      <c r="A112" s="4" t="s">
        <v>113</v>
      </c>
      <c r="B112" s="3" t="s">
        <v>114</v>
      </c>
      <c r="C112" s="3" t="s">
        <v>178</v>
      </c>
      <c r="D112" s="3" t="s">
        <v>61</v>
      </c>
      <c r="E112" s="8">
        <v>44774</v>
      </c>
      <c r="F112" s="3"/>
    </row>
    <row r="113" spans="1:6" x14ac:dyDescent="0.3">
      <c r="A113" s="4" t="s">
        <v>115</v>
      </c>
      <c r="B113" s="3" t="s">
        <v>116</v>
      </c>
      <c r="C113" s="3" t="s">
        <v>178</v>
      </c>
      <c r="D113" s="3" t="s">
        <v>42</v>
      </c>
      <c r="E113" s="8">
        <v>45433</v>
      </c>
      <c r="F113" s="3"/>
    </row>
    <row r="114" spans="1:6" x14ac:dyDescent="0.3">
      <c r="A114" s="9" t="s">
        <v>266</v>
      </c>
      <c r="B114" s="10" t="str">
        <f>VLOOKUP(A114,Liste_Employés_Full,3)</f>
        <v>AIS</v>
      </c>
      <c r="C114" s="10" t="s">
        <v>58</v>
      </c>
      <c r="D114" s="10" t="s">
        <v>61</v>
      </c>
      <c r="E114" s="11">
        <v>43801</v>
      </c>
      <c r="F114" s="11">
        <v>44082</v>
      </c>
    </row>
    <row r="115" spans="1:6" x14ac:dyDescent="0.3">
      <c r="A115" s="41" t="s">
        <v>302</v>
      </c>
      <c r="B115" s="3" t="s">
        <v>267</v>
      </c>
      <c r="C115" s="3" t="s">
        <v>58</v>
      </c>
      <c r="D115" s="3" t="s">
        <v>61</v>
      </c>
      <c r="E115" s="8" t="s">
        <v>293</v>
      </c>
      <c r="F115" s="3"/>
    </row>
    <row r="116" spans="1:6" x14ac:dyDescent="0.3">
      <c r="A116" s="4" t="s">
        <v>117</v>
      </c>
      <c r="B116" s="3" t="s">
        <v>118</v>
      </c>
      <c r="C116" s="3" t="s">
        <v>178</v>
      </c>
      <c r="D116" s="3" t="s">
        <v>61</v>
      </c>
      <c r="E116" s="8">
        <v>43344</v>
      </c>
      <c r="F116" s="3"/>
    </row>
    <row r="117" spans="1:6" x14ac:dyDescent="0.3">
      <c r="A117" s="38" t="s">
        <v>119</v>
      </c>
      <c r="B117" s="3" t="s">
        <v>120</v>
      </c>
      <c r="C117" s="3" t="s">
        <v>178</v>
      </c>
      <c r="D117" s="3" t="s">
        <v>61</v>
      </c>
      <c r="E117" s="8">
        <v>45433</v>
      </c>
      <c r="F117" s="3"/>
    </row>
    <row r="118" spans="1:6" x14ac:dyDescent="0.3">
      <c r="A118" s="4" t="s">
        <v>223</v>
      </c>
      <c r="B118" s="3" t="s">
        <v>268</v>
      </c>
      <c r="C118" s="3" t="s">
        <v>178</v>
      </c>
      <c r="D118" s="3" t="s">
        <v>61</v>
      </c>
      <c r="E118" s="8">
        <v>44962</v>
      </c>
      <c r="F118" s="3"/>
    </row>
    <row r="119" spans="1:6" x14ac:dyDescent="0.3">
      <c r="A119" s="4" t="s">
        <v>402</v>
      </c>
      <c r="B119" s="3" t="s">
        <v>405</v>
      </c>
      <c r="C119" s="3" t="s">
        <v>178</v>
      </c>
      <c r="D119" s="3" t="s">
        <v>41</v>
      </c>
      <c r="E119" s="8">
        <v>45754</v>
      </c>
      <c r="F119" s="3"/>
    </row>
    <row r="120" spans="1:6" x14ac:dyDescent="0.3">
      <c r="A120" s="4" t="s">
        <v>224</v>
      </c>
      <c r="B120" s="3" t="s">
        <v>355</v>
      </c>
      <c r="C120" s="3" t="s">
        <v>178</v>
      </c>
      <c r="D120" s="3" t="s">
        <v>41</v>
      </c>
      <c r="E120" s="8">
        <v>45593</v>
      </c>
      <c r="F120" s="3"/>
    </row>
    <row r="121" spans="1:6" x14ac:dyDescent="0.3">
      <c r="A121" s="38" t="s">
        <v>347</v>
      </c>
      <c r="B121" s="35" t="s">
        <v>349</v>
      </c>
      <c r="C121" s="3" t="s">
        <v>58</v>
      </c>
      <c r="D121" s="3" t="s">
        <v>41</v>
      </c>
      <c r="E121" s="57">
        <v>45663</v>
      </c>
      <c r="F121" s="39"/>
    </row>
    <row r="122" spans="1:6" x14ac:dyDescent="0.3">
      <c r="A122" s="38" t="s">
        <v>121</v>
      </c>
      <c r="B122" s="3" t="s">
        <v>122</v>
      </c>
      <c r="C122" s="3" t="s">
        <v>178</v>
      </c>
      <c r="D122" s="3" t="s">
        <v>41</v>
      </c>
      <c r="E122" s="8">
        <v>45433</v>
      </c>
      <c r="F122" s="3"/>
    </row>
    <row r="123" spans="1:6" x14ac:dyDescent="0.3">
      <c r="A123" s="38" t="s">
        <v>123</v>
      </c>
      <c r="B123" s="3" t="s">
        <v>124</v>
      </c>
      <c r="C123" s="3" t="s">
        <v>178</v>
      </c>
      <c r="D123" s="3" t="s">
        <v>61</v>
      </c>
      <c r="E123" s="8">
        <v>45433</v>
      </c>
      <c r="F123" s="3"/>
    </row>
    <row r="124" spans="1:6" x14ac:dyDescent="0.3">
      <c r="A124" s="9" t="s">
        <v>269</v>
      </c>
      <c r="B124" s="10" t="str">
        <f>VLOOKUP(A124,Liste_Employés_Full,3)</f>
        <v xml:space="preserve">ALA </v>
      </c>
      <c r="C124" s="10" t="s">
        <v>178</v>
      </c>
      <c r="D124" s="10" t="s">
        <v>61</v>
      </c>
      <c r="E124" s="11">
        <v>43845</v>
      </c>
      <c r="F124" s="11">
        <v>44543</v>
      </c>
    </row>
    <row r="125" spans="1:6" x14ac:dyDescent="0.3">
      <c r="A125" s="4" t="s">
        <v>238</v>
      </c>
      <c r="B125" s="3" t="s">
        <v>234</v>
      </c>
      <c r="C125" s="3" t="s">
        <v>178</v>
      </c>
      <c r="D125" s="3" t="s">
        <v>61</v>
      </c>
      <c r="E125" s="8">
        <v>45474</v>
      </c>
      <c r="F125" s="3"/>
    </row>
    <row r="126" spans="1:6" x14ac:dyDescent="0.3">
      <c r="A126" s="9" t="s">
        <v>23</v>
      </c>
      <c r="B126" s="10" t="s">
        <v>24</v>
      </c>
      <c r="C126" s="10" t="s">
        <v>178</v>
      </c>
      <c r="D126" s="10" t="s">
        <v>41</v>
      </c>
      <c r="E126" s="11">
        <v>45433</v>
      </c>
      <c r="F126" s="11">
        <v>45441</v>
      </c>
    </row>
    <row r="127" spans="1:6" x14ac:dyDescent="0.3">
      <c r="A127" s="38" t="s">
        <v>193</v>
      </c>
      <c r="B127" s="3" t="s">
        <v>195</v>
      </c>
      <c r="C127" s="3" t="s">
        <v>178</v>
      </c>
      <c r="D127" s="3" t="s">
        <v>41</v>
      </c>
      <c r="E127" s="8">
        <v>45537</v>
      </c>
      <c r="F127" s="3"/>
    </row>
    <row r="128" spans="1:6" x14ac:dyDescent="0.3">
      <c r="A128" s="9" t="s">
        <v>270</v>
      </c>
      <c r="B128" s="10" t="str">
        <f>VLOOKUP(A128,Liste_Employés_Full,3)</f>
        <v>LGF</v>
      </c>
      <c r="C128" s="10" t="s">
        <v>178</v>
      </c>
      <c r="D128" s="10" t="s">
        <v>61</v>
      </c>
      <c r="E128" s="11">
        <v>43661</v>
      </c>
      <c r="F128" s="11">
        <v>44582</v>
      </c>
    </row>
    <row r="129" spans="1:6" x14ac:dyDescent="0.3">
      <c r="A129" s="38" t="s">
        <v>205</v>
      </c>
      <c r="B129" s="3" t="s">
        <v>204</v>
      </c>
      <c r="C129" s="3" t="s">
        <v>58</v>
      </c>
      <c r="D129" s="3" t="s">
        <v>41</v>
      </c>
      <c r="E129" s="8">
        <v>45586</v>
      </c>
      <c r="F129" s="3"/>
    </row>
    <row r="130" spans="1:6" x14ac:dyDescent="0.3">
      <c r="A130" s="4" t="s">
        <v>271</v>
      </c>
      <c r="B130" s="3" t="s">
        <v>272</v>
      </c>
      <c r="C130" s="3" t="s">
        <v>58</v>
      </c>
      <c r="D130" s="3" t="s">
        <v>42</v>
      </c>
      <c r="E130" s="8">
        <v>44972</v>
      </c>
      <c r="F130" s="3"/>
    </row>
    <row r="131" spans="1:6" x14ac:dyDescent="0.3">
      <c r="A131" s="4" t="s">
        <v>225</v>
      </c>
      <c r="B131" s="3" t="s">
        <v>239</v>
      </c>
      <c r="C131" s="3" t="s">
        <v>178</v>
      </c>
      <c r="D131" s="3" t="s">
        <v>42</v>
      </c>
      <c r="E131" s="8">
        <v>45579</v>
      </c>
      <c r="F131" s="3"/>
    </row>
    <row r="132" spans="1:6" ht="16.8" customHeight="1" x14ac:dyDescent="0.3">
      <c r="A132" s="47" t="s">
        <v>339</v>
      </c>
      <c r="B132" s="48" t="s">
        <v>340</v>
      </c>
      <c r="C132" s="48" t="s">
        <v>178</v>
      </c>
      <c r="D132" s="48" t="s">
        <v>61</v>
      </c>
      <c r="E132" s="49">
        <v>45663</v>
      </c>
      <c r="F132" s="49">
        <v>45684</v>
      </c>
    </row>
    <row r="133" spans="1:6" x14ac:dyDescent="0.3">
      <c r="A133" s="4" t="s">
        <v>273</v>
      </c>
      <c r="B133" s="3" t="s">
        <v>274</v>
      </c>
      <c r="C133" s="3" t="s">
        <v>58</v>
      </c>
      <c r="D133" s="3" t="s">
        <v>61</v>
      </c>
      <c r="E133" s="8" t="s">
        <v>293</v>
      </c>
      <c r="F133" s="3"/>
    </row>
    <row r="134" spans="1:6" x14ac:dyDescent="0.3">
      <c r="A134" s="38" t="s">
        <v>17</v>
      </c>
      <c r="B134" s="3" t="s">
        <v>18</v>
      </c>
      <c r="C134" s="3" t="s">
        <v>178</v>
      </c>
      <c r="D134" s="3" t="s">
        <v>305</v>
      </c>
      <c r="E134" s="8">
        <v>45433</v>
      </c>
      <c r="F134" s="3"/>
    </row>
    <row r="135" spans="1:6" x14ac:dyDescent="0.3">
      <c r="A135" s="38" t="s">
        <v>125</v>
      </c>
      <c r="B135" s="3" t="s">
        <v>126</v>
      </c>
      <c r="C135" s="3" t="s">
        <v>178</v>
      </c>
      <c r="D135" s="3" t="s">
        <v>41</v>
      </c>
      <c r="E135" s="8">
        <v>45433</v>
      </c>
      <c r="F135" s="3"/>
    </row>
    <row r="136" spans="1:6" x14ac:dyDescent="0.3">
      <c r="A136" s="38" t="s">
        <v>127</v>
      </c>
      <c r="B136" s="3" t="s">
        <v>128</v>
      </c>
      <c r="C136" s="3" t="s">
        <v>178</v>
      </c>
      <c r="D136" s="3" t="s">
        <v>61</v>
      </c>
      <c r="E136" s="8">
        <v>43123</v>
      </c>
      <c r="F136" s="3"/>
    </row>
    <row r="137" spans="1:6" x14ac:dyDescent="0.3">
      <c r="A137" s="4" t="s">
        <v>352</v>
      </c>
      <c r="B137" s="3" t="s">
        <v>353</v>
      </c>
      <c r="C137" s="3" t="s">
        <v>178</v>
      </c>
      <c r="D137" s="3" t="s">
        <v>41</v>
      </c>
      <c r="E137" s="8">
        <v>45685</v>
      </c>
      <c r="F137" s="3"/>
    </row>
    <row r="138" spans="1:6" x14ac:dyDescent="0.3">
      <c r="A138" s="4" t="s">
        <v>129</v>
      </c>
      <c r="B138" s="3" t="s">
        <v>130</v>
      </c>
      <c r="C138" s="3" t="s">
        <v>178</v>
      </c>
      <c r="D138" s="3" t="s">
        <v>61</v>
      </c>
      <c r="E138" s="8">
        <v>44739</v>
      </c>
      <c r="F138" s="3"/>
    </row>
    <row r="139" spans="1:6" x14ac:dyDescent="0.3">
      <c r="A139" s="4" t="s">
        <v>226</v>
      </c>
      <c r="B139" s="3" t="s">
        <v>241</v>
      </c>
      <c r="C139" s="3" t="s">
        <v>178</v>
      </c>
      <c r="D139" s="3" t="s">
        <v>61</v>
      </c>
      <c r="E139" s="8">
        <v>45474</v>
      </c>
      <c r="F139" s="3"/>
    </row>
    <row r="140" spans="1:6" x14ac:dyDescent="0.3">
      <c r="A140" s="9" t="s">
        <v>275</v>
      </c>
      <c r="B140" s="10" t="str">
        <f>VLOOKUP(A140,Liste_Employés_Full,3)</f>
        <v>SMA</v>
      </c>
      <c r="C140" s="10" t="s">
        <v>178</v>
      </c>
      <c r="D140" s="10" t="s">
        <v>42</v>
      </c>
      <c r="E140" s="11">
        <v>41611</v>
      </c>
      <c r="F140" s="11">
        <v>45149</v>
      </c>
    </row>
    <row r="141" spans="1:6" x14ac:dyDescent="0.3">
      <c r="A141" s="38" t="s">
        <v>131</v>
      </c>
      <c r="B141" s="3" t="s">
        <v>132</v>
      </c>
      <c r="C141" s="3" t="s">
        <v>178</v>
      </c>
      <c r="D141" s="3" t="s">
        <v>43</v>
      </c>
      <c r="E141" s="8">
        <v>45433</v>
      </c>
      <c r="F141" s="3"/>
    </row>
    <row r="142" spans="1:6" x14ac:dyDescent="0.3">
      <c r="A142" s="38" t="s">
        <v>194</v>
      </c>
      <c r="B142" s="3" t="s">
        <v>196</v>
      </c>
      <c r="C142" s="3" t="s">
        <v>178</v>
      </c>
      <c r="D142" s="3" t="s">
        <v>41</v>
      </c>
      <c r="E142" s="8">
        <v>45537</v>
      </c>
      <c r="F142" s="3"/>
    </row>
    <row r="143" spans="1:6" x14ac:dyDescent="0.3">
      <c r="A143" s="4" t="s">
        <v>133</v>
      </c>
      <c r="B143" s="3" t="s">
        <v>134</v>
      </c>
      <c r="C143" s="3" t="s">
        <v>58</v>
      </c>
      <c r="D143" s="3" t="s">
        <v>41</v>
      </c>
      <c r="E143" s="8">
        <v>45433</v>
      </c>
      <c r="F143" s="3"/>
    </row>
    <row r="144" spans="1:6" x14ac:dyDescent="0.3">
      <c r="A144" s="4" t="s">
        <v>135</v>
      </c>
      <c r="B144" s="3" t="s">
        <v>6</v>
      </c>
      <c r="C144" s="3" t="s">
        <v>178</v>
      </c>
      <c r="D144" s="3" t="s">
        <v>305</v>
      </c>
      <c r="E144" s="8">
        <v>45433</v>
      </c>
      <c r="F144" s="3"/>
    </row>
    <row r="145" spans="1:6" x14ac:dyDescent="0.3">
      <c r="A145" s="9" t="s">
        <v>276</v>
      </c>
      <c r="B145" s="10" t="str">
        <f>VLOOKUP(A145,Liste_Employés_Full,3)</f>
        <v>AME</v>
      </c>
      <c r="C145" s="10" t="s">
        <v>178</v>
      </c>
      <c r="D145" s="10" t="s">
        <v>61</v>
      </c>
      <c r="E145" s="11">
        <v>43424</v>
      </c>
      <c r="F145" s="11">
        <v>45212</v>
      </c>
    </row>
    <row r="146" spans="1:6" x14ac:dyDescent="0.3">
      <c r="A146" s="4" t="s">
        <v>136</v>
      </c>
      <c r="B146" s="3" t="s">
        <v>137</v>
      </c>
      <c r="C146" s="3" t="s">
        <v>178</v>
      </c>
      <c r="D146" s="3" t="s">
        <v>42</v>
      </c>
      <c r="E146" s="8">
        <v>45433</v>
      </c>
      <c r="F146" s="3"/>
    </row>
    <row r="147" spans="1:6" x14ac:dyDescent="0.3">
      <c r="A147" s="4" t="s">
        <v>138</v>
      </c>
      <c r="B147" s="3" t="s">
        <v>139</v>
      </c>
      <c r="C147" s="3" t="s">
        <v>178</v>
      </c>
      <c r="D147" s="3" t="s">
        <v>42</v>
      </c>
      <c r="E147" s="8">
        <v>45433</v>
      </c>
      <c r="F147" s="3"/>
    </row>
    <row r="148" spans="1:6" x14ac:dyDescent="0.3">
      <c r="A148" s="9" t="s">
        <v>277</v>
      </c>
      <c r="B148" s="10" t="s">
        <v>278</v>
      </c>
      <c r="C148" s="10" t="s">
        <v>178</v>
      </c>
      <c r="D148" s="10" t="s">
        <v>61</v>
      </c>
      <c r="E148" s="11">
        <v>44725</v>
      </c>
      <c r="F148" s="11">
        <v>45052</v>
      </c>
    </row>
    <row r="149" spans="1:6" ht="24" x14ac:dyDescent="0.3">
      <c r="A149" s="45" t="s">
        <v>299</v>
      </c>
      <c r="B149" s="3" t="s">
        <v>279</v>
      </c>
      <c r="C149" s="3" t="s">
        <v>58</v>
      </c>
      <c r="D149" s="3" t="s">
        <v>61</v>
      </c>
      <c r="E149" s="8" t="s">
        <v>293</v>
      </c>
      <c r="F149" s="3"/>
    </row>
    <row r="150" spans="1:6" x14ac:dyDescent="0.3">
      <c r="A150" s="38" t="s">
        <v>210</v>
      </c>
      <c r="B150" s="3" t="s">
        <v>215</v>
      </c>
      <c r="C150" s="3" t="s">
        <v>178</v>
      </c>
      <c r="D150" s="3" t="s">
        <v>41</v>
      </c>
      <c r="E150" s="8">
        <v>45593</v>
      </c>
      <c r="F150" s="3"/>
    </row>
    <row r="151" spans="1:6" x14ac:dyDescent="0.3">
      <c r="A151" s="38" t="s">
        <v>140</v>
      </c>
      <c r="B151" s="3" t="s">
        <v>141</v>
      </c>
      <c r="C151" s="3" t="s">
        <v>178</v>
      </c>
      <c r="D151" s="3" t="s">
        <v>42</v>
      </c>
      <c r="E151" s="8">
        <v>45433</v>
      </c>
      <c r="F151" s="3"/>
    </row>
    <row r="152" spans="1:6" x14ac:dyDescent="0.3">
      <c r="A152" s="38" t="s">
        <v>35</v>
      </c>
      <c r="B152" s="3" t="s">
        <v>36</v>
      </c>
      <c r="C152" s="3" t="s">
        <v>178</v>
      </c>
      <c r="D152" s="3" t="s">
        <v>41</v>
      </c>
      <c r="E152" s="8">
        <v>45433</v>
      </c>
      <c r="F152" s="3"/>
    </row>
    <row r="153" spans="1:6" x14ac:dyDescent="0.3">
      <c r="A153" s="38" t="s">
        <v>21</v>
      </c>
      <c r="B153" s="3" t="s">
        <v>22</v>
      </c>
      <c r="C153" s="3" t="s">
        <v>178</v>
      </c>
      <c r="D153" s="3" t="s">
        <v>41</v>
      </c>
      <c r="E153" s="8">
        <v>45433</v>
      </c>
      <c r="F153" s="3"/>
    </row>
    <row r="154" spans="1:6" x14ac:dyDescent="0.3">
      <c r="A154" s="4" t="s">
        <v>375</v>
      </c>
      <c r="B154" s="3" t="s">
        <v>369</v>
      </c>
      <c r="C154" s="3" t="s">
        <v>58</v>
      </c>
      <c r="D154" s="3" t="s">
        <v>41</v>
      </c>
      <c r="E154" s="8">
        <v>45695</v>
      </c>
      <c r="F154" s="3"/>
    </row>
    <row r="155" spans="1:6" x14ac:dyDescent="0.3">
      <c r="A155" s="4" t="s">
        <v>189</v>
      </c>
      <c r="B155" s="3" t="s">
        <v>190</v>
      </c>
      <c r="C155" s="3" t="s">
        <v>58</v>
      </c>
      <c r="D155" s="3" t="s">
        <v>41</v>
      </c>
      <c r="E155" s="8">
        <v>45518</v>
      </c>
      <c r="F155" s="3"/>
    </row>
    <row r="156" spans="1:6" x14ac:dyDescent="0.3">
      <c r="A156" s="4" t="s">
        <v>142</v>
      </c>
      <c r="B156" s="3" t="s">
        <v>143</v>
      </c>
      <c r="C156" s="3" t="s">
        <v>178</v>
      </c>
      <c r="D156" s="3" t="s">
        <v>61</v>
      </c>
      <c r="E156" s="8">
        <v>44543</v>
      </c>
      <c r="F156" s="3"/>
    </row>
    <row r="157" spans="1:6" x14ac:dyDescent="0.3">
      <c r="A157" s="38" t="s">
        <v>144</v>
      </c>
      <c r="B157" s="3" t="s">
        <v>145</v>
      </c>
      <c r="C157" s="3" t="s">
        <v>178</v>
      </c>
      <c r="D157" s="3" t="s">
        <v>41</v>
      </c>
      <c r="E157" s="8">
        <v>45433</v>
      </c>
      <c r="F157" s="3"/>
    </row>
    <row r="158" spans="1:6" x14ac:dyDescent="0.3">
      <c r="A158" s="38" t="s">
        <v>146</v>
      </c>
      <c r="B158" s="35" t="s">
        <v>376</v>
      </c>
      <c r="C158" s="3" t="s">
        <v>178</v>
      </c>
      <c r="D158" s="3" t="s">
        <v>42</v>
      </c>
      <c r="E158" s="8">
        <v>45433</v>
      </c>
      <c r="F158" s="3"/>
    </row>
    <row r="159" spans="1:6" x14ac:dyDescent="0.3">
      <c r="A159" s="4" t="s">
        <v>209</v>
      </c>
      <c r="B159" s="3" t="s">
        <v>214</v>
      </c>
      <c r="C159" s="3" t="s">
        <v>178</v>
      </c>
      <c r="D159" s="3" t="s">
        <v>41</v>
      </c>
      <c r="E159" s="8">
        <v>45593</v>
      </c>
      <c r="F159" s="3"/>
    </row>
    <row r="160" spans="1:6" x14ac:dyDescent="0.3">
      <c r="A160" s="38" t="s">
        <v>147</v>
      </c>
      <c r="B160" s="3" t="s">
        <v>148</v>
      </c>
      <c r="C160" s="3" t="s">
        <v>178</v>
      </c>
      <c r="D160" s="3" t="s">
        <v>61</v>
      </c>
      <c r="E160" s="8">
        <v>43073</v>
      </c>
      <c r="F160" s="3"/>
    </row>
    <row r="161" spans="1:6" x14ac:dyDescent="0.3">
      <c r="A161" s="9" t="s">
        <v>280</v>
      </c>
      <c r="B161" s="10" t="str">
        <f>VLOOKUP(A161,Liste_Employés_Full,3)</f>
        <v>SON</v>
      </c>
      <c r="C161" s="10" t="s">
        <v>178</v>
      </c>
      <c r="D161" s="10" t="s">
        <v>61</v>
      </c>
      <c r="E161" s="11">
        <v>43346</v>
      </c>
      <c r="F161" s="11">
        <v>44627</v>
      </c>
    </row>
    <row r="162" spans="1:6" x14ac:dyDescent="0.3">
      <c r="A162" s="4" t="s">
        <v>227</v>
      </c>
      <c r="B162" s="3" t="s">
        <v>329</v>
      </c>
      <c r="C162" s="3" t="s">
        <v>178</v>
      </c>
      <c r="D162" s="3" t="s">
        <v>61</v>
      </c>
      <c r="E162" s="8">
        <v>44481</v>
      </c>
      <c r="F162" s="3"/>
    </row>
    <row r="163" spans="1:6" x14ac:dyDescent="0.3">
      <c r="A163" s="9" t="s">
        <v>281</v>
      </c>
      <c r="B163" s="10" t="s">
        <v>282</v>
      </c>
      <c r="C163" s="10"/>
      <c r="D163" s="10"/>
      <c r="E163" s="11">
        <v>44494</v>
      </c>
      <c r="F163" s="40"/>
    </row>
    <row r="164" spans="1:6" x14ac:dyDescent="0.3">
      <c r="A164" s="38" t="s">
        <v>228</v>
      </c>
      <c r="B164" s="3" t="s">
        <v>294</v>
      </c>
      <c r="C164" s="3" t="s">
        <v>178</v>
      </c>
      <c r="D164" s="3" t="s">
        <v>61</v>
      </c>
      <c r="E164" s="8">
        <v>45593</v>
      </c>
      <c r="F164" s="3"/>
    </row>
    <row r="165" spans="1:6" x14ac:dyDescent="0.3">
      <c r="A165" s="9" t="s">
        <v>283</v>
      </c>
      <c r="B165" s="10" t="str">
        <f>VLOOKUP(A165,Liste_Employés_Full,3)</f>
        <v>TPA</v>
      </c>
      <c r="C165" s="10" t="s">
        <v>178</v>
      </c>
      <c r="D165" s="10" t="s">
        <v>61</v>
      </c>
      <c r="E165" s="11">
        <v>43466</v>
      </c>
      <c r="F165" s="11">
        <v>44728</v>
      </c>
    </row>
    <row r="166" spans="1:6" x14ac:dyDescent="0.3">
      <c r="A166" s="4" t="s">
        <v>149</v>
      </c>
      <c r="B166" s="3" t="s">
        <v>150</v>
      </c>
      <c r="C166" s="3" t="s">
        <v>178</v>
      </c>
      <c r="D166" s="3" t="s">
        <v>61</v>
      </c>
      <c r="E166" s="8">
        <v>44473</v>
      </c>
      <c r="F166" s="3"/>
    </row>
    <row r="167" spans="1:6" x14ac:dyDescent="0.3">
      <c r="A167" s="4" t="s">
        <v>206</v>
      </c>
      <c r="B167" s="3" t="s">
        <v>207</v>
      </c>
      <c r="C167" s="3" t="s">
        <v>58</v>
      </c>
      <c r="D167" s="3" t="s">
        <v>41</v>
      </c>
      <c r="E167" s="8">
        <v>45593</v>
      </c>
      <c r="F167" s="3"/>
    </row>
    <row r="168" spans="1:6" x14ac:dyDescent="0.3">
      <c r="A168" s="4" t="s">
        <v>385</v>
      </c>
      <c r="B168" s="35" t="s">
        <v>410</v>
      </c>
      <c r="C168" s="3" t="s">
        <v>178</v>
      </c>
      <c r="D168" s="3" t="s">
        <v>42</v>
      </c>
      <c r="E168" s="8">
        <v>45593</v>
      </c>
      <c r="F168" s="3"/>
    </row>
    <row r="169" spans="1:6" x14ac:dyDescent="0.3">
      <c r="A169" s="38" t="s">
        <v>151</v>
      </c>
      <c r="B169" s="3" t="s">
        <v>152</v>
      </c>
      <c r="C169" s="3" t="s">
        <v>178</v>
      </c>
      <c r="D169" s="3" t="s">
        <v>42</v>
      </c>
      <c r="E169" s="8">
        <v>45433</v>
      </c>
      <c r="F169" s="3"/>
    </row>
    <row r="170" spans="1:6" x14ac:dyDescent="0.3">
      <c r="A170" s="38" t="s">
        <v>11</v>
      </c>
      <c r="B170" s="3" t="s">
        <v>12</v>
      </c>
      <c r="C170" s="3" t="s">
        <v>178</v>
      </c>
      <c r="D170" s="3" t="s">
        <v>41</v>
      </c>
      <c r="E170" s="8">
        <v>45433</v>
      </c>
      <c r="F170" s="3"/>
    </row>
    <row r="171" spans="1:6" x14ac:dyDescent="0.3">
      <c r="A171" s="34" t="s">
        <v>197</v>
      </c>
      <c r="B171" s="30" t="s">
        <v>198</v>
      </c>
      <c r="C171" s="30" t="s">
        <v>178</v>
      </c>
      <c r="D171" s="30" t="s">
        <v>41</v>
      </c>
      <c r="E171" s="31">
        <v>45496</v>
      </c>
      <c r="F171" s="31">
        <v>45611</v>
      </c>
    </row>
    <row r="172" spans="1:6" x14ac:dyDescent="0.3">
      <c r="A172" s="4" t="s">
        <v>384</v>
      </c>
      <c r="B172" s="3" t="s">
        <v>242</v>
      </c>
      <c r="C172" s="3" t="s">
        <v>178</v>
      </c>
      <c r="D172" s="3" t="s">
        <v>61</v>
      </c>
      <c r="E172" s="8">
        <v>45418</v>
      </c>
      <c r="F172" s="3"/>
    </row>
    <row r="173" spans="1:6" x14ac:dyDescent="0.3">
      <c r="A173" s="38" t="s">
        <v>191</v>
      </c>
      <c r="B173" s="3" t="s">
        <v>192</v>
      </c>
      <c r="C173" s="3" t="s">
        <v>178</v>
      </c>
      <c r="D173" s="3" t="s">
        <v>41</v>
      </c>
      <c r="E173" s="8">
        <v>45518</v>
      </c>
      <c r="F173" s="3"/>
    </row>
    <row r="174" spans="1:6" x14ac:dyDescent="0.3">
      <c r="A174" s="38" t="s">
        <v>153</v>
      </c>
      <c r="B174" s="3" t="s">
        <v>34</v>
      </c>
      <c r="C174" s="3" t="s">
        <v>178</v>
      </c>
      <c r="D174" s="3" t="s">
        <v>42</v>
      </c>
      <c r="E174" s="8">
        <v>45433</v>
      </c>
      <c r="F174" s="3"/>
    </row>
    <row r="175" spans="1:6" ht="24" x14ac:dyDescent="0.3">
      <c r="A175" s="38" t="s">
        <v>154</v>
      </c>
      <c r="B175" s="3" t="s">
        <v>155</v>
      </c>
      <c r="C175" s="3" t="s">
        <v>178</v>
      </c>
      <c r="D175" s="3" t="s">
        <v>41</v>
      </c>
      <c r="E175" s="8">
        <v>45433</v>
      </c>
      <c r="F175" s="44" t="s">
        <v>391</v>
      </c>
    </row>
    <row r="176" spans="1:6" x14ac:dyDescent="0.3">
      <c r="A176" s="4" t="s">
        <v>322</v>
      </c>
      <c r="B176" s="3" t="s">
        <v>323</v>
      </c>
      <c r="C176" s="3" t="s">
        <v>58</v>
      </c>
      <c r="D176" s="3" t="s">
        <v>43</v>
      </c>
      <c r="E176" s="8">
        <v>45141</v>
      </c>
      <c r="F176" s="3"/>
    </row>
    <row r="177" spans="1:6" x14ac:dyDescent="0.3">
      <c r="A177" s="66" t="s">
        <v>425</v>
      </c>
      <c r="B177" s="67" t="s">
        <v>429</v>
      </c>
      <c r="C177" s="67" t="s">
        <v>58</v>
      </c>
      <c r="D177" s="67" t="s">
        <v>61</v>
      </c>
      <c r="E177" s="68">
        <v>45790</v>
      </c>
      <c r="F177" s="3"/>
    </row>
    <row r="178" spans="1:6" x14ac:dyDescent="0.3">
      <c r="A178" s="4" t="s">
        <v>422</v>
      </c>
      <c r="B178" s="3" t="s">
        <v>423</v>
      </c>
      <c r="C178" s="3" t="s">
        <v>178</v>
      </c>
      <c r="D178" s="3" t="s">
        <v>61</v>
      </c>
      <c r="E178" s="8">
        <v>45778</v>
      </c>
      <c r="F178" s="3"/>
    </row>
    <row r="179" spans="1:6" x14ac:dyDescent="0.3">
      <c r="A179" s="4" t="s">
        <v>156</v>
      </c>
      <c r="B179" s="3" t="s">
        <v>157</v>
      </c>
      <c r="C179" s="3" t="s">
        <v>178</v>
      </c>
      <c r="D179" s="3" t="s">
        <v>61</v>
      </c>
      <c r="E179" s="8">
        <v>44749</v>
      </c>
      <c r="F179" s="3"/>
    </row>
    <row r="180" spans="1:6" ht="13.8" customHeight="1" x14ac:dyDescent="0.3">
      <c r="A180" s="4" t="s">
        <v>158</v>
      </c>
      <c r="B180" s="3" t="s">
        <v>159</v>
      </c>
      <c r="C180" s="3" t="s">
        <v>178</v>
      </c>
      <c r="D180" s="3" t="s">
        <v>61</v>
      </c>
      <c r="E180" s="8">
        <v>41988</v>
      </c>
      <c r="F180" s="3"/>
    </row>
    <row r="181" spans="1:6" ht="14.4" customHeight="1" x14ac:dyDescent="0.3">
      <c r="A181" s="38" t="s">
        <v>10</v>
      </c>
      <c r="B181" s="3" t="s">
        <v>200</v>
      </c>
      <c r="C181" s="3" t="s">
        <v>178</v>
      </c>
      <c r="D181" s="3" t="s">
        <v>41</v>
      </c>
      <c r="E181" s="8">
        <v>45433</v>
      </c>
      <c r="F181" s="3"/>
    </row>
    <row r="182" spans="1:6" x14ac:dyDescent="0.3">
      <c r="A182" s="4" t="s">
        <v>160</v>
      </c>
      <c r="B182" s="3" t="s">
        <v>25</v>
      </c>
      <c r="C182" s="3" t="s">
        <v>58</v>
      </c>
      <c r="D182" s="3" t="s">
        <v>300</v>
      </c>
      <c r="E182" s="8">
        <v>45433</v>
      </c>
      <c r="F182" s="3"/>
    </row>
    <row r="183" spans="1:6" x14ac:dyDescent="0.3">
      <c r="A183" s="34" t="s">
        <v>401</v>
      </c>
      <c r="B183" s="30" t="s">
        <v>404</v>
      </c>
      <c r="C183" s="30" t="s">
        <v>178</v>
      </c>
      <c r="D183" s="30" t="s">
        <v>61</v>
      </c>
      <c r="E183" s="31">
        <v>45748</v>
      </c>
      <c r="F183" s="31">
        <v>45786</v>
      </c>
    </row>
    <row r="184" spans="1:6" x14ac:dyDescent="0.3">
      <c r="A184" s="9" t="s">
        <v>286</v>
      </c>
      <c r="B184" s="10" t="str">
        <f>VLOOKUP(A184,Liste_Employés_Full,3)</f>
        <v>CSM</v>
      </c>
      <c r="C184" s="10"/>
      <c r="D184" s="10"/>
      <c r="E184" s="11">
        <v>43892</v>
      </c>
      <c r="F184" s="11">
        <v>44236</v>
      </c>
    </row>
    <row r="185" spans="1:6" x14ac:dyDescent="0.3">
      <c r="A185" s="4" t="s">
        <v>284</v>
      </c>
      <c r="B185" s="3" t="s">
        <v>285</v>
      </c>
      <c r="C185" s="3" t="s">
        <v>58</v>
      </c>
      <c r="D185" s="3" t="s">
        <v>61</v>
      </c>
      <c r="E185" s="8" t="s">
        <v>293</v>
      </c>
      <c r="F185" s="3"/>
    </row>
    <row r="186" spans="1:6" x14ac:dyDescent="0.3">
      <c r="A186" s="4" t="s">
        <v>359</v>
      </c>
      <c r="B186" s="3" t="s">
        <v>328</v>
      </c>
      <c r="C186" s="3" t="s">
        <v>178</v>
      </c>
      <c r="D186" s="3" t="s">
        <v>61</v>
      </c>
      <c r="E186" s="8">
        <v>45244</v>
      </c>
      <c r="F186" s="3"/>
    </row>
    <row r="187" spans="1:6" x14ac:dyDescent="0.3">
      <c r="A187" s="38" t="s">
        <v>161</v>
      </c>
      <c r="B187" s="3" t="s">
        <v>9</v>
      </c>
      <c r="C187" s="3" t="s">
        <v>178</v>
      </c>
      <c r="D187" s="3" t="s">
        <v>41</v>
      </c>
      <c r="E187" s="8">
        <v>45433</v>
      </c>
      <c r="F187" s="3"/>
    </row>
    <row r="188" spans="1:6" x14ac:dyDescent="0.3">
      <c r="A188" s="38" t="s">
        <v>162</v>
      </c>
      <c r="B188" s="3" t="s">
        <v>163</v>
      </c>
      <c r="C188" s="3" t="s">
        <v>178</v>
      </c>
      <c r="D188" s="3" t="s">
        <v>41</v>
      </c>
      <c r="E188" s="8">
        <v>45433</v>
      </c>
      <c r="F188" s="3"/>
    </row>
    <row r="189" spans="1:6" x14ac:dyDescent="0.3">
      <c r="A189" s="4" t="s">
        <v>164</v>
      </c>
      <c r="B189" s="3" t="s">
        <v>165</v>
      </c>
      <c r="C189" s="3" t="s">
        <v>178</v>
      </c>
      <c r="D189" s="3" t="s">
        <v>61</v>
      </c>
      <c r="E189" s="8">
        <v>44508</v>
      </c>
      <c r="F189" s="3"/>
    </row>
    <row r="190" spans="1:6" x14ac:dyDescent="0.3">
      <c r="A190" s="9" t="s">
        <v>7</v>
      </c>
      <c r="B190" s="10" t="s">
        <v>8</v>
      </c>
      <c r="C190" s="10" t="s">
        <v>58</v>
      </c>
      <c r="D190" s="10" t="s">
        <v>41</v>
      </c>
      <c r="E190" s="11">
        <v>45433</v>
      </c>
      <c r="F190" s="11">
        <v>45588</v>
      </c>
    </row>
    <row r="191" spans="1:6" x14ac:dyDescent="0.3">
      <c r="A191" s="4" t="s">
        <v>166</v>
      </c>
      <c r="B191" s="3" t="s">
        <v>167</v>
      </c>
      <c r="C191" s="3" t="s">
        <v>178</v>
      </c>
      <c r="D191" s="3" t="s">
        <v>61</v>
      </c>
      <c r="E191" s="8">
        <v>43012</v>
      </c>
      <c r="F191" s="3"/>
    </row>
    <row r="192" spans="1:6" x14ac:dyDescent="0.3">
      <c r="A192" s="34" t="s">
        <v>212</v>
      </c>
      <c r="B192" s="30" t="s">
        <v>213</v>
      </c>
      <c r="C192" s="30" t="s">
        <v>178</v>
      </c>
      <c r="D192" s="30" t="s">
        <v>61</v>
      </c>
      <c r="E192" s="31">
        <v>45593</v>
      </c>
      <c r="F192" s="31">
        <v>45757</v>
      </c>
    </row>
    <row r="193" spans="1:6" x14ac:dyDescent="0.3">
      <c r="A193" s="4" t="s">
        <v>168</v>
      </c>
      <c r="B193" s="3" t="s">
        <v>169</v>
      </c>
      <c r="C193" s="3" t="s">
        <v>178</v>
      </c>
      <c r="D193" s="3" t="s">
        <v>61</v>
      </c>
      <c r="E193" s="8">
        <v>43832</v>
      </c>
      <c r="F193" s="3"/>
    </row>
    <row r="194" spans="1:6" x14ac:dyDescent="0.3">
      <c r="A194" s="4" t="s">
        <v>287</v>
      </c>
      <c r="B194" s="3" t="s">
        <v>170</v>
      </c>
      <c r="C194" s="3" t="s">
        <v>178</v>
      </c>
      <c r="D194" s="3" t="s">
        <v>61</v>
      </c>
      <c r="E194" s="8">
        <v>43466</v>
      </c>
      <c r="F194" s="3"/>
    </row>
    <row r="195" spans="1:6" x14ac:dyDescent="0.3">
      <c r="A195" s="62" t="s">
        <v>171</v>
      </c>
      <c r="B195" s="10" t="s">
        <v>172</v>
      </c>
      <c r="C195" s="10" t="s">
        <v>178</v>
      </c>
      <c r="D195" s="10" t="s">
        <v>41</v>
      </c>
      <c r="E195" s="11">
        <v>45433</v>
      </c>
      <c r="F195" s="11">
        <v>45538</v>
      </c>
    </row>
    <row r="196" spans="1:6" x14ac:dyDescent="0.3">
      <c r="A196" s="38" t="s">
        <v>173</v>
      </c>
      <c r="B196" s="3" t="s">
        <v>371</v>
      </c>
      <c r="C196" s="3" t="s">
        <v>178</v>
      </c>
      <c r="D196" s="3" t="s">
        <v>42</v>
      </c>
      <c r="E196" s="8">
        <v>45433</v>
      </c>
      <c r="F196" s="3"/>
    </row>
    <row r="197" spans="1:6" x14ac:dyDescent="0.3">
      <c r="A197" s="41" t="s">
        <v>301</v>
      </c>
      <c r="B197" s="3" t="s">
        <v>288</v>
      </c>
      <c r="C197" s="3" t="s">
        <v>58</v>
      </c>
      <c r="D197" s="3" t="s">
        <v>61</v>
      </c>
      <c r="E197" s="8" t="s">
        <v>293</v>
      </c>
      <c r="F197" s="3"/>
    </row>
    <row r="198" spans="1:6" x14ac:dyDescent="0.3">
      <c r="A198" s="4" t="s">
        <v>335</v>
      </c>
      <c r="B198" s="3" t="s">
        <v>336</v>
      </c>
      <c r="C198" s="3" t="s">
        <v>178</v>
      </c>
      <c r="D198" s="3" t="s">
        <v>41</v>
      </c>
      <c r="E198" s="8">
        <v>45663</v>
      </c>
      <c r="F198" s="3"/>
    </row>
    <row r="199" spans="1:6" x14ac:dyDescent="0.3">
      <c r="A199" s="9" t="s">
        <v>289</v>
      </c>
      <c r="B199" s="10" t="str">
        <f>VLOOKUP(A199,Liste_Employés_Full,3)</f>
        <v>DVE</v>
      </c>
      <c r="C199" s="10" t="s">
        <v>178</v>
      </c>
      <c r="D199" s="10" t="s">
        <v>61</v>
      </c>
      <c r="E199" s="11">
        <v>41792</v>
      </c>
      <c r="F199" s="11">
        <v>45212</v>
      </c>
    </row>
    <row r="200" spans="1:6" x14ac:dyDescent="0.3">
      <c r="A200" s="4" t="s">
        <v>324</v>
      </c>
      <c r="B200" s="3" t="s">
        <v>325</v>
      </c>
      <c r="C200" s="3" t="s">
        <v>58</v>
      </c>
      <c r="D200" s="3" t="s">
        <v>326</v>
      </c>
      <c r="E200" s="8">
        <v>45141</v>
      </c>
      <c r="F200" s="3"/>
    </row>
    <row r="201" spans="1:6" x14ac:dyDescent="0.3">
      <c r="A201" s="71" t="s">
        <v>428</v>
      </c>
      <c r="B201" s="69" t="s">
        <v>427</v>
      </c>
      <c r="C201" s="69" t="s">
        <v>58</v>
      </c>
      <c r="D201" s="69" t="s">
        <v>305</v>
      </c>
      <c r="E201" s="70">
        <v>45792</v>
      </c>
      <c r="F201" s="3"/>
    </row>
    <row r="202" spans="1:6" x14ac:dyDescent="0.3">
      <c r="A202" s="38" t="s">
        <v>187</v>
      </c>
      <c r="B202" s="3" t="s">
        <v>188</v>
      </c>
      <c r="C202" s="3" t="s">
        <v>178</v>
      </c>
      <c r="D202" s="3" t="s">
        <v>41</v>
      </c>
      <c r="E202" s="8">
        <v>45435</v>
      </c>
      <c r="F202" s="3"/>
    </row>
    <row r="203" spans="1:6" x14ac:dyDescent="0.3">
      <c r="A203" s="4" t="s">
        <v>174</v>
      </c>
      <c r="B203" s="3" t="s">
        <v>175</v>
      </c>
      <c r="C203" s="3" t="s">
        <v>178</v>
      </c>
      <c r="D203" s="3" t="s">
        <v>61</v>
      </c>
      <c r="E203" s="8">
        <v>44652</v>
      </c>
      <c r="F203" s="3"/>
    </row>
    <row r="204" spans="1:6" x14ac:dyDescent="0.3">
      <c r="A204" s="63" t="s">
        <v>393</v>
      </c>
      <c r="B204" s="30" t="s">
        <v>392</v>
      </c>
      <c r="C204" s="30" t="s">
        <v>58</v>
      </c>
      <c r="D204" s="30" t="s">
        <v>318</v>
      </c>
      <c r="E204" s="64"/>
      <c r="F204" s="65">
        <v>45765</v>
      </c>
    </row>
    <row r="205" spans="1:6" x14ac:dyDescent="0.3">
      <c r="A205" s="9" t="s">
        <v>290</v>
      </c>
      <c r="B205" s="10" t="str">
        <f>VLOOKUP(A205,Liste_Employés_Full,3)</f>
        <v>CZA</v>
      </c>
      <c r="C205" s="10" t="s">
        <v>178</v>
      </c>
      <c r="D205" s="10" t="s">
        <v>61</v>
      </c>
      <c r="E205" s="11">
        <v>43353</v>
      </c>
      <c r="F205" s="11">
        <v>44499</v>
      </c>
    </row>
    <row r="206" spans="1:6" x14ac:dyDescent="0.3">
      <c r="A206" s="72" t="s">
        <v>199</v>
      </c>
      <c r="B206" s="3" t="s">
        <v>389</v>
      </c>
      <c r="C206" s="3" t="s">
        <v>178</v>
      </c>
      <c r="D206" s="3" t="s">
        <v>41</v>
      </c>
      <c r="E206" s="8">
        <v>45551</v>
      </c>
      <c r="F206" s="3"/>
    </row>
    <row r="207" spans="1:6" x14ac:dyDescent="0.3">
      <c r="A207" s="56" t="s">
        <v>291</v>
      </c>
      <c r="B207" s="10" t="s">
        <v>292</v>
      </c>
      <c r="C207" s="10" t="s">
        <v>178</v>
      </c>
      <c r="D207" s="10" t="s">
        <v>61</v>
      </c>
      <c r="E207" s="11">
        <v>44966</v>
      </c>
      <c r="F207" s="11">
        <v>45443</v>
      </c>
    </row>
    <row r="208" spans="1:6" x14ac:dyDescent="0.3">
      <c r="A208" s="56" t="s">
        <v>176</v>
      </c>
      <c r="B208" s="10" t="s">
        <v>177</v>
      </c>
      <c r="C208" s="10" t="s">
        <v>178</v>
      </c>
      <c r="D208" s="10" t="s">
        <v>41</v>
      </c>
      <c r="E208" s="11">
        <v>45433</v>
      </c>
      <c r="F208" s="11">
        <v>45473</v>
      </c>
    </row>
    <row r="209" spans="1:6" x14ac:dyDescent="0.3">
      <c r="A209" s="55" t="s">
        <v>378</v>
      </c>
      <c r="B209" s="3" t="s">
        <v>381</v>
      </c>
      <c r="C209" s="3" t="s">
        <v>178</v>
      </c>
      <c r="D209" s="3" t="s">
        <v>61</v>
      </c>
      <c r="E209" s="8">
        <v>45790</v>
      </c>
      <c r="F209" s="3"/>
    </row>
    <row r="210" spans="1:6" x14ac:dyDescent="0.3">
      <c r="A210" s="55" t="s">
        <v>378</v>
      </c>
      <c r="B210" s="3" t="s">
        <v>381</v>
      </c>
      <c r="C210" s="3" t="s">
        <v>178</v>
      </c>
      <c r="D210" s="3" t="s">
        <v>61</v>
      </c>
      <c r="E210" s="8">
        <v>45789</v>
      </c>
      <c r="F210" s="3"/>
    </row>
  </sheetData>
  <autoFilter ref="A9:G209" xr:uid="{0B898702-3F16-444B-977A-22E9B2FB840B}">
    <sortState xmlns:xlrd2="http://schemas.microsoft.com/office/spreadsheetml/2017/richdata2" ref="A10:G210">
      <sortCondition ref="A9:A209"/>
    </sortState>
  </autoFilter>
  <sortState xmlns:xlrd2="http://schemas.microsoft.com/office/spreadsheetml/2017/richdata2" ref="A10:G187">
    <sortCondition ref="A10:A187"/>
  </sortState>
  <mergeCells count="4">
    <mergeCell ref="B3:F3"/>
    <mergeCell ref="B4:F4"/>
    <mergeCell ref="B5:F5"/>
    <mergeCell ref="B1:G1"/>
  </mergeCells>
  <dataValidations count="1">
    <dataValidation type="list" allowBlank="1" showInputMessage="1" showErrorMessage="1" sqref="A127:A131 A175:A177 A134:A169" xr:uid="{D7E46F29-6730-42DE-9E58-FB20F83F6626}">
      <formula1>Liste_Employés_Name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portrait" r:id="rId1"/>
  <headerFooter differentFirst="1">
    <oddFooter>&amp;C&amp;F&amp;R&amp;P /&amp;N</oddFooter>
    <firstFooter>&amp;R&amp;P/&amp;N</first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PDG</vt:lpstr>
      <vt:lpstr>Liste</vt:lpstr>
      <vt:lpstr>Liste!Impression_des_titres</vt:lpstr>
      <vt:lpstr>PDG!Print_Area</vt:lpstr>
      <vt:lpstr>PDG!Print_Titles</vt:lpstr>
      <vt:lpstr>Liste!Zone_d_impression</vt:lpstr>
      <vt:lpstr>PDG!Zone_d_impression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CELARIES</dc:creator>
  <cp:lastModifiedBy>Stéphanie GARGAM</cp:lastModifiedBy>
  <cp:lastPrinted>2025-01-31T10:23:37Z</cp:lastPrinted>
  <dcterms:created xsi:type="dcterms:W3CDTF">2024-05-20T09:51:39Z</dcterms:created>
  <dcterms:modified xsi:type="dcterms:W3CDTF">2025-06-02T13:56:33Z</dcterms:modified>
</cp:coreProperties>
</file>